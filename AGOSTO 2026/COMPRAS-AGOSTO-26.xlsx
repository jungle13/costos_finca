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3" activeTab="7" autoFilterDateGrouping="1"/>
  </bookViews>
  <sheets>
    <sheet xmlns:r="http://schemas.openxmlformats.org/officeDocument/2006/relationships" name="Carnes" sheetId="1" state="visible" r:id="rId1"/>
    <sheet xmlns:r="http://schemas.openxmlformats.org/officeDocument/2006/relationships" name="Verduras" sheetId="2" state="visible" r:id="rId2"/>
    <sheet xmlns:r="http://schemas.openxmlformats.org/officeDocument/2006/relationships" name="Grano" sheetId="3" state="visible" r:id="rId3"/>
    <sheet xmlns:r="http://schemas.openxmlformats.org/officeDocument/2006/relationships" name="Servicios" sheetId="4" state="visible" r:id="rId4"/>
    <sheet xmlns:r="http://schemas.openxmlformats.org/officeDocument/2006/relationships" name="Desechables" sheetId="5" state="visible" r:id="rId5"/>
    <sheet xmlns:r="http://schemas.openxmlformats.org/officeDocument/2006/relationships" name="Bebidas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Hoja1" sheetId="8" state="visible" r:id="rId8"/>
  </sheets>
  <definedNames>
    <definedName name="_xlnm._FilterDatabase" localSheetId="0" hidden="1">'Carnes'!$A$2:$CW$74</definedName>
    <definedName name="_xlnm._FilterDatabase" localSheetId="1" hidden="1">'Verduras'!$A$2:$CW$98</definedName>
    <definedName name="_xlnm._FilterDatabase" localSheetId="2" hidden="1">'Grano'!$A$2:$CW$55</definedName>
    <definedName name="_xlnm._FilterDatabase" localSheetId="3" hidden="1">'Servicios'!$A$2:$CW$38</definedName>
    <definedName name="_xlnm._FilterDatabase" localSheetId="4" hidden="1">'Desechables'!$A$2:$CW$151</definedName>
    <definedName name="_xlnm._FilterDatabase" localSheetId="5" hidden="1">'Bebidas'!$A$2:$CW$60</definedName>
    <definedName name="_xlnm._FilterDatabase" localSheetId="7" hidden="1">'Hoja1'!$A$1:$G$333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.00_-;\-* #,##0.00_-;_-* \-??_-;_-@_-"/>
    <numFmt numFmtId="165" formatCode="0.0"/>
    <numFmt numFmtId="166" formatCode="_-* #,##0.0_-;\-* #,##0.0_-;_-* \-??_-;_-@_-"/>
    <numFmt numFmtId="167" formatCode="_-* #,##0_-;\-* #,##0_-;_-* \-??_-;_-@_-"/>
    <numFmt numFmtId="168" formatCode="&quot;$ &quot;#,##0.00"/>
    <numFmt numFmtId="169" formatCode="_-&quot;$ &quot;* #,##0.00_-;&quot;-$ &quot;* #,##0.00_-;_-&quot;$ &quot;* \-??_-;_-@_-"/>
    <numFmt numFmtId="170" formatCode="_-&quot;$&quot;\ * #,##0_-;\-&quot;$&quot;\ * #,##0_-;_-&quot;$&quot;\ * &quot;-&quot;??_-;_-@_-"/>
    <numFmt numFmtId="171" formatCode="\$#,##0"/>
    <numFmt numFmtId="172" formatCode="\$#,##0.00"/>
  </numFmts>
  <fonts count="18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Calibri"/>
      <charset val="1"/>
      <b val="1"/>
      <color theme="1"/>
      <sz val="11"/>
    </font>
    <font>
      <name val="Calibri"/>
      <charset val="1"/>
      <family val="2"/>
      <b val="1"/>
      <color theme="1"/>
      <sz val="18"/>
    </font>
    <font>
      <name val="Arial"/>
      <charset val="1"/>
      <color theme="1"/>
      <sz val="11"/>
    </font>
    <font>
      <name val="Arial"/>
      <charset val="1"/>
      <family val="2"/>
      <color theme="1"/>
      <sz val="12"/>
    </font>
    <font>
      <name val="Calibri"/>
      <charset val="1"/>
      <color theme="1"/>
      <sz val="11"/>
    </font>
    <font>
      <name val="Calibri"/>
      <charset val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8"/>
    </font>
    <font>
      <name val="Arial"/>
      <family val="2"/>
      <color theme="1"/>
      <sz val="11"/>
      <u val="single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  <u val="single"/>
    </font>
    <font>
      <name val="Calibri"/>
      <charset val="1"/>
      <family val="2"/>
      <color theme="1"/>
      <sz val="11"/>
    </font>
    <font>
      <name val="Calibri"/>
      <sz val="11"/>
    </font>
    <font>
      <name val="Calibri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4F81B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5" fillId="0" borderId="0"/>
    <xf numFmtId="44" fontId="15" fillId="0" borderId="0"/>
  </cellStyleXfs>
  <cellXfs count="137"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4" fontId="3" fillId="0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4" fontId="4" fillId="3" borderId="1" pivotButton="0" quotePrefix="0" xfId="0"/>
    <xf numFmtId="3" fontId="5" fillId="3" borderId="1" pivotButton="0" quotePrefix="0" xfId="0"/>
    <xf numFmtId="168" fontId="5" fillId="3" borderId="1" pivotButton="0" quotePrefix="0" xfId="0"/>
    <xf numFmtId="3" fontId="5" fillId="0" borderId="1" pivotButton="0" quotePrefix="0" xfId="0"/>
    <xf numFmtId="168" fontId="5" fillId="0" borderId="1" pivotButton="0" quotePrefix="0" xfId="0"/>
    <xf numFmtId="168" fontId="4" fillId="0" borderId="1" pivotButton="0" quotePrefix="0" xfId="0"/>
    <xf numFmtId="3" fontId="4" fillId="0" borderId="1" pivotButton="0" quotePrefix="0" xfId="0"/>
    <xf numFmtId="164" fontId="5" fillId="0" borderId="0" pivotButton="0" quotePrefix="0" xfId="0"/>
    <xf numFmtId="3" fontId="0" fillId="0" borderId="1" pivotButton="0" quotePrefix="0" xfId="0"/>
    <xf numFmtId="168" fontId="0" fillId="0" borderId="1" pivotButton="0" quotePrefix="0" xfId="0"/>
    <xf numFmtId="0" fontId="7" fillId="0" borderId="1" pivotButton="0" quotePrefix="0" xfId="0"/>
    <xf numFmtId="168" fontId="7" fillId="0" borderId="1" pivotButton="0" quotePrefix="0" xfId="0"/>
    <xf numFmtId="167" fontId="8" fillId="0" borderId="0" pivotButton="0" quotePrefix="0" xfId="0"/>
    <xf numFmtId="166" fontId="8" fillId="0" borderId="0" pivotButton="0" quotePrefix="0" xfId="0"/>
    <xf numFmtId="167" fontId="9" fillId="0" borderId="1" applyAlignment="1" pivotButton="0" quotePrefix="0" xfId="0">
      <alignment horizontal="center"/>
    </xf>
    <xf numFmtId="167" fontId="2" fillId="2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7" fontId="6" fillId="3" borderId="1" pivotButton="0" quotePrefix="0" xfId="0"/>
    <xf numFmtId="164" fontId="6" fillId="3" borderId="1" pivotButton="0" quotePrefix="0" xfId="0"/>
    <xf numFmtId="168" fontId="6" fillId="3" borderId="1" pivotButton="0" quotePrefix="0" xfId="0"/>
    <xf numFmtId="3" fontId="8" fillId="3" borderId="1" pivotButton="0" quotePrefix="0" xfId="0"/>
    <xf numFmtId="168" fontId="8" fillId="3" borderId="1" pivotButton="0" quotePrefix="0" xfId="0"/>
    <xf numFmtId="3" fontId="6" fillId="3" borderId="1" pivotButton="0" quotePrefix="0" xfId="0"/>
    <xf numFmtId="164" fontId="8" fillId="3" borderId="1" pivotButton="0" quotePrefix="0" xfId="0"/>
    <xf numFmtId="167" fontId="8" fillId="0" borderId="1" pivotButton="0" quotePrefix="0" xfId="0"/>
    <xf numFmtId="167" fontId="8" fillId="3" borderId="1" pivotButton="0" quotePrefix="0" xfId="0"/>
    <xf numFmtId="0" fontId="6" fillId="0" borderId="1" pivotButton="0" quotePrefix="0" xfId="0"/>
    <xf numFmtId="167" fontId="6" fillId="0" borderId="1" pivotButton="0" quotePrefix="0" xfId="0"/>
    <xf numFmtId="164" fontId="8" fillId="0" borderId="0" pivotButton="0" quotePrefix="0" xfId="0"/>
    <xf numFmtId="164" fontId="9" fillId="0" borderId="1" applyAlignment="1" pivotButton="0" quotePrefix="0" xfId="0">
      <alignment horizontal="center"/>
    </xf>
    <xf numFmtId="164" fontId="6" fillId="0" borderId="1" pivotButton="0" quotePrefix="0" xfId="0"/>
    <xf numFmtId="3" fontId="8" fillId="0" borderId="1" pivotButton="0" quotePrefix="0" xfId="0"/>
    <xf numFmtId="168" fontId="8" fillId="0" borderId="1" pivotButton="0" quotePrefix="0" xfId="0"/>
    <xf numFmtId="3" fontId="7" fillId="0" borderId="1" pivotButton="0" quotePrefix="0" xfId="0"/>
    <xf numFmtId="164" fontId="9" fillId="0" borderId="2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4" fontId="6" fillId="2" borderId="1" pivotButton="0" quotePrefix="0" xfId="0"/>
    <xf numFmtId="164" fontId="6" fillId="2" borderId="1" applyAlignment="1" pivotButton="0" quotePrefix="0" xfId="0">
      <alignment horizontal="center"/>
    </xf>
    <xf numFmtId="3" fontId="9" fillId="0" borderId="1" pivotButton="0" quotePrefix="0" xfId="0"/>
    <xf numFmtId="168" fontId="9" fillId="0" borderId="1" pivotButton="0" quotePrefix="0" xfId="0"/>
    <xf numFmtId="164" fontId="9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168" fontId="8" fillId="0" borderId="1" applyAlignment="1" pivotButton="0" quotePrefix="0" xfId="0">
      <alignment horizontal="left"/>
    </xf>
    <xf numFmtId="168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left"/>
    </xf>
    <xf numFmtId="169" fontId="6" fillId="4" borderId="1" applyAlignment="1" pivotButton="0" quotePrefix="0" xfId="0">
      <alignment horizontal="left"/>
    </xf>
    <xf numFmtId="3" fontId="8" fillId="4" borderId="1" applyAlignment="1" pivotButton="0" quotePrefix="0" xfId="0">
      <alignment horizontal="left"/>
    </xf>
    <xf numFmtId="168" fontId="8" fillId="4" borderId="1" applyAlignment="1" pivotButton="0" quotePrefix="0" xfId="0">
      <alignment horizontal="left"/>
    </xf>
    <xf numFmtId="169" fontId="2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168" fontId="9" fillId="0" borderId="1" applyAlignment="1" pivotButton="0" quotePrefix="0" xfId="0">
      <alignment horizontal="left"/>
    </xf>
    <xf numFmtId="3" fontId="6" fillId="2" borderId="1" applyAlignment="1" pivotButton="0" quotePrefix="0" xfId="0">
      <alignment horizontal="left"/>
    </xf>
    <xf numFmtId="168" fontId="6" fillId="2" borderId="1" applyAlignment="1" pivotButton="0" quotePrefix="0" xfId="0">
      <alignment horizontal="left"/>
    </xf>
    <xf numFmtId="169" fontId="2" fillId="3" borderId="1" applyAlignment="1" pivotButton="0" quotePrefix="0" xfId="0">
      <alignment horizontal="left"/>
    </xf>
    <xf numFmtId="3" fontId="9" fillId="3" borderId="1" applyAlignment="1" pivotButton="0" quotePrefix="0" xfId="0">
      <alignment horizontal="left"/>
    </xf>
    <xf numFmtId="168" fontId="9" fillId="3" borderId="1" applyAlignment="1" pivotButton="0" quotePrefix="0" xfId="0">
      <alignment horizontal="left"/>
    </xf>
    <xf numFmtId="169" fontId="6" fillId="0" borderId="1" applyAlignment="1" pivotButton="0" quotePrefix="0" xfId="0">
      <alignment horizontal="left" vertical="center"/>
    </xf>
    <xf numFmtId="167" fontId="0" fillId="0" borderId="0" pivotButton="0" quotePrefix="0" xfId="0"/>
    <xf numFmtId="0" fontId="10" fillId="0" borderId="0" pivotButton="0" quotePrefix="0" xfId="0"/>
    <xf numFmtId="167" fontId="10" fillId="0" borderId="0" pivotButton="0" quotePrefix="0" xfId="0"/>
    <xf numFmtId="0" fontId="6" fillId="5" borderId="1" pivotButton="0" quotePrefix="0" xfId="0"/>
    <xf numFmtId="168" fontId="6" fillId="5" borderId="1" pivotButton="0" quotePrefix="0" xfId="0"/>
    <xf numFmtId="164" fontId="8" fillId="0" borderId="1" pivotButton="0" quotePrefix="0" xfId="0"/>
    <xf numFmtId="168" fontId="11" fillId="0" borderId="1" pivotButton="0" quotePrefix="0" xfId="0"/>
    <xf numFmtId="168" fontId="6" fillId="0" borderId="1" pivotButton="0" quotePrefix="0" xfId="0"/>
    <xf numFmtId="0" fontId="12" fillId="0" borderId="1" pivotButton="0" quotePrefix="0" xfId="0"/>
    <xf numFmtId="0" fontId="0" fillId="0" borderId="1" pivotButton="0" quotePrefix="0" xfId="0"/>
    <xf numFmtId="164" fontId="6" fillId="0" borderId="4" pivotButton="0" quotePrefix="0" xfId="0"/>
    <xf numFmtId="0" fontId="7" fillId="0" borderId="4" pivotButton="0" quotePrefix="0" xfId="0"/>
    <xf numFmtId="164" fontId="4" fillId="6" borderId="1" pivotButton="0" quotePrefix="0" xfId="0"/>
    <xf numFmtId="3" fontId="5" fillId="6" borderId="1" pivotButton="0" quotePrefix="0" xfId="0"/>
    <xf numFmtId="168" fontId="5" fillId="6" borderId="1" pivotButton="0" quotePrefix="0" xfId="0"/>
    <xf numFmtId="3" fontId="5" fillId="7" borderId="1" pivotButton="0" quotePrefix="0" xfId="0"/>
    <xf numFmtId="168" fontId="5" fillId="7" borderId="1" pivotButton="0" quotePrefix="0" xfId="0"/>
    <xf numFmtId="168" fontId="4" fillId="7" borderId="1" pivotButton="0" quotePrefix="0" xfId="0"/>
    <xf numFmtId="3" fontId="4" fillId="7" borderId="1" pivotButton="0" quotePrefix="0" xfId="0"/>
    <xf numFmtId="0" fontId="13" fillId="8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7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4" fillId="8" borderId="1" applyAlignment="1" pivotButton="0" quotePrefix="0" xfId="0">
      <alignment vertical="center"/>
    </xf>
    <xf numFmtId="170" fontId="13" fillId="8" borderId="1" applyAlignment="1" pivotButton="0" quotePrefix="0" xfId="1">
      <alignment vertical="center"/>
    </xf>
    <xf numFmtId="170" fontId="0" fillId="0" borderId="0" applyAlignment="1" pivotButton="0" quotePrefix="0" xfId="1">
      <alignment vertical="center"/>
    </xf>
    <xf numFmtId="0" fontId="16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left"/>
    </xf>
    <xf numFmtId="3" fontId="16" fillId="0" borderId="5" applyAlignment="1" pivotButton="0" quotePrefix="0" xfId="0">
      <alignment horizontal="right"/>
    </xf>
    <xf numFmtId="171" fontId="16" fillId="0" borderId="5" applyAlignment="1" pivotButton="0" quotePrefix="0" xfId="0">
      <alignment horizontal="right"/>
    </xf>
    <xf numFmtId="4" fontId="16" fillId="0" borderId="5" applyAlignment="1" pivotButton="0" quotePrefix="0" xfId="0">
      <alignment horizontal="right"/>
    </xf>
    <xf numFmtId="172" fontId="16" fillId="0" borderId="5" applyAlignment="1" pivotButton="0" quotePrefix="0" xfId="0">
      <alignment horizontal="right"/>
    </xf>
    <xf numFmtId="0" fontId="16" fillId="0" borderId="6" applyAlignment="1" pivotButton="0" quotePrefix="0" xfId="0">
      <alignment horizontal="center"/>
    </xf>
    <xf numFmtId="0" fontId="16" fillId="0" borderId="6" applyAlignment="1" pivotButton="0" quotePrefix="0" xfId="0">
      <alignment horizontal="left"/>
    </xf>
    <xf numFmtId="4" fontId="16" fillId="0" borderId="6" applyAlignment="1" pivotButton="0" quotePrefix="0" xfId="0">
      <alignment horizontal="right"/>
    </xf>
    <xf numFmtId="171" fontId="16" fillId="0" borderId="6" applyAlignment="1" pivotButton="0" quotePrefix="0" xfId="0">
      <alignment horizontal="right"/>
    </xf>
    <xf numFmtId="3" fontId="16" fillId="0" borderId="6" applyAlignment="1" pivotButton="0" quotePrefix="0" xfId="0">
      <alignment horizontal="right"/>
    </xf>
    <xf numFmtId="172" fontId="16" fillId="0" borderId="6" applyAlignment="1" pivotButton="0" quotePrefix="0" xfId="0">
      <alignment horizontal="right"/>
    </xf>
    <xf numFmtId="0" fontId="17" fillId="0" borderId="6" applyAlignment="1" pivotButton="0" quotePrefix="0" xfId="0">
      <alignment horizontal="center"/>
    </xf>
    <xf numFmtId="0" fontId="17" fillId="0" borderId="6" applyAlignment="1" pivotButton="0" quotePrefix="0" xfId="0">
      <alignment horizontal="left"/>
    </xf>
    <xf numFmtId="3" fontId="17" fillId="0" borderId="6" applyAlignment="1" pivotButton="0" quotePrefix="0" xfId="0">
      <alignment horizontal="right"/>
    </xf>
    <xf numFmtId="171" fontId="17" fillId="0" borderId="6" applyAlignment="1" pivotButton="0" quotePrefix="0" xfId="0">
      <alignment horizontal="right"/>
    </xf>
    <xf numFmtId="4" fontId="17" fillId="0" borderId="6" applyAlignment="1" pivotButton="0" quotePrefix="0" xfId="0">
      <alignment horizontal="right"/>
    </xf>
    <xf numFmtId="172" fontId="17" fillId="0" borderId="6" applyAlignment="1" pivotButton="0" quotePrefix="0" xfId="0">
      <alignment horizontal="right"/>
    </xf>
    <xf numFmtId="0" fontId="17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left"/>
    </xf>
    <xf numFmtId="4" fontId="17" fillId="0" borderId="5" applyAlignment="1" pivotButton="0" quotePrefix="0" xfId="0">
      <alignment horizontal="right"/>
    </xf>
    <xf numFmtId="3" fontId="17" fillId="0" borderId="5" applyAlignment="1" pivotButton="0" quotePrefix="0" xfId="0">
      <alignment horizontal="right"/>
    </xf>
    <xf numFmtId="171" fontId="17" fillId="0" borderId="5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7" fontId="2" fillId="5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5" pivotButton="0" quotePrefix="0" xfId="0"/>
    <xf numFmtId="0" fontId="17" fillId="0" borderId="0" applyAlignment="1" pivotButton="0" quotePrefix="0" xfId="0">
      <alignment horizontal="center"/>
    </xf>
    <xf numFmtId="0" fontId="0" fillId="0" borderId="6" pivotButton="0" quotePrefix="0" xfId="0"/>
    <xf numFmtId="0" fontId="17" fillId="0" borderId="0" applyAlignment="1" pivotButton="0" quotePrefix="0" xfId="0">
      <alignment horizontal="left"/>
    </xf>
    <xf numFmtId="4" fontId="17" fillId="0" borderId="0" applyAlignment="1" pivotButton="0" quotePrefix="0" xfId="0">
      <alignment horizontal="right"/>
    </xf>
    <xf numFmtId="3" fontId="17" fillId="0" borderId="0" applyAlignment="1" pivotButton="0" quotePrefix="0" xfId="0">
      <alignment horizontal="right"/>
    </xf>
    <xf numFmtId="171" fontId="17" fillId="0" borderId="0" applyAlignment="1" pivotButton="0" quotePrefix="0" xfId="0">
      <alignment horizontal="right"/>
    </xf>
    <xf numFmtId="172" fontId="17" fillId="0" borderId="0" applyAlignment="1" pivotButton="0" quotePrefix="0" xfId="0">
      <alignment horizontal="right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CW75"/>
  <sheetViews>
    <sheetView zoomScale="91" zoomScaleNormal="91" workbookViewId="0">
      <pane xSplit="1" topLeftCell="BK1" activePane="topRight" state="frozen"/>
      <selection activeCell="A40" sqref="A40"/>
      <selection pane="topRight" activeCell="A8" sqref="A8"/>
    </sheetView>
  </sheetViews>
  <sheetFormatPr baseColWidth="10" defaultColWidth="11.453125" defaultRowHeight="18.5"/>
  <cols>
    <col width="34" customWidth="1" style="1" min="1" max="1"/>
    <col width="14.7265625" customWidth="1" style="1" min="2" max="2"/>
    <col width="14.81640625" customWidth="1" style="1" min="3" max="3"/>
    <col width="12.453125" customWidth="1" style="1" min="4" max="4"/>
    <col width="11.54296875" customWidth="1" style="1" min="5" max="5"/>
    <col width="9.1796875" customWidth="1" style="2" min="6" max="6"/>
    <col width="13.7265625" customWidth="1" style="3" min="7" max="7"/>
    <col width="14.26953125" customWidth="1" style="4" min="8" max="8"/>
    <col width="10.453125" customWidth="1" style="1" min="9" max="9"/>
    <col width="13.7265625" customWidth="1" style="1" min="10" max="10"/>
    <col width="14.26953125" customWidth="1" style="1" min="11" max="11"/>
    <col width="10.453125" customWidth="1" style="1" min="12" max="12"/>
    <col width="14.54296875" bestFit="1" customWidth="1" style="1" min="13" max="13"/>
    <col width="14.26953125" customWidth="1" style="1" min="14" max="14"/>
    <col width="10.453125" customWidth="1" style="1" min="15" max="15"/>
    <col width="13.7265625" customWidth="1" style="1" min="16" max="16"/>
    <col width="14.7265625" customWidth="1" style="1" min="17" max="17"/>
    <col width="10.453125" customWidth="1" style="1" min="18" max="18"/>
    <col width="13.26953125" bestFit="1" customWidth="1" style="1" min="19" max="19"/>
    <col width="14.26953125" bestFit="1" customWidth="1" style="1" min="20" max="20"/>
    <col width="10.453125" customWidth="1" style="1" min="21" max="21"/>
    <col width="13.7265625" customWidth="1" style="1" min="22" max="22"/>
    <col width="14.7265625" customWidth="1" style="1" min="23" max="23"/>
    <col width="10.453125" customWidth="1" style="1" min="24" max="24"/>
    <col width="13.7265625" customWidth="1" style="1" min="25" max="25"/>
    <col width="14.26953125" customWidth="1" style="1" min="26" max="26"/>
    <col width="10.453125" customWidth="1" style="1" min="27" max="27"/>
    <col width="13.7265625" customWidth="1" style="1" min="28" max="28"/>
    <col width="14.26953125" customWidth="1" style="1" min="29" max="29"/>
    <col width="10.453125" customWidth="1" style="1" min="30" max="30"/>
    <col width="13.7265625" customWidth="1" style="1" min="31" max="31"/>
    <col width="17.1796875" customWidth="1" style="1" min="32" max="32"/>
    <col width="10.453125" customWidth="1" style="1" min="33" max="33"/>
    <col width="14.54296875" bestFit="1" customWidth="1" style="1" min="34" max="34"/>
    <col width="15.81640625" bestFit="1" customWidth="1" style="1" min="35" max="35"/>
    <col width="10.453125" customWidth="1" style="1" min="36" max="36"/>
    <col width="14.453125" customWidth="1" style="1" min="37" max="37"/>
    <col width="14.7265625" customWidth="1" style="1" min="38" max="38"/>
    <col width="10.453125" customWidth="1" style="1" min="39" max="39"/>
    <col width="13.7265625" customWidth="1" style="1" min="40" max="40"/>
    <col width="14.26953125" customWidth="1" style="1" min="41" max="41"/>
    <col width="10.453125" customWidth="1" style="1" min="42" max="42"/>
    <col width="15.453125" customWidth="1" style="1" min="43" max="43"/>
    <col width="14.26953125" customWidth="1" style="1" min="44" max="44"/>
    <col width="10.453125" customWidth="1" style="1" min="45" max="45"/>
    <col width="13.7265625" customWidth="1" style="1" min="46" max="46"/>
    <col width="14.7265625" customWidth="1" style="1" min="47" max="47"/>
    <col width="10.453125" customWidth="1" style="1" min="48" max="48"/>
    <col width="14.54296875" bestFit="1" customWidth="1" style="1" min="49" max="49"/>
    <col width="14.26953125" customWidth="1" style="1" min="50" max="50"/>
    <col width="10.453125" customWidth="1" style="1" min="51" max="51"/>
    <col width="13.7265625" customWidth="1" style="1" min="52" max="52"/>
    <col width="14.26953125" customWidth="1" style="1" min="53" max="53"/>
    <col width="10.453125" customWidth="1" style="1" min="54" max="54"/>
    <col width="14.453125" customWidth="1" style="1" min="55" max="55"/>
    <col width="14.26953125" customWidth="1" style="1" min="56" max="56"/>
    <col width="10.453125" customWidth="1" style="1" min="57" max="57"/>
    <col width="13.7265625" customWidth="1" style="1" min="58" max="58"/>
    <col width="14.26953125" customWidth="1" style="1" min="59" max="59"/>
    <col width="10.453125" customWidth="1" style="1" min="60" max="60"/>
    <col width="13.7265625" customWidth="1" style="1" min="61" max="61"/>
    <col width="14.26953125" customWidth="1" style="1" min="62" max="62"/>
    <col width="10.453125" customWidth="1" style="1" min="63" max="63"/>
    <col width="14.453125" bestFit="1" customWidth="1" style="1" min="64" max="64"/>
    <col width="14.26953125" customWidth="1" style="1" min="65" max="65"/>
    <col width="10.453125" customWidth="1" style="1" min="66" max="66"/>
    <col width="14.54296875" bestFit="1" customWidth="1" style="1" min="67" max="67"/>
    <col width="14.26953125" customWidth="1" style="1" min="68" max="68"/>
    <col width="10.453125" customWidth="1" style="1" min="69" max="69"/>
    <col width="13.7265625" customWidth="1" style="1" min="70" max="70"/>
    <col width="14.26953125" customWidth="1" style="1" min="71" max="71"/>
    <col width="10.453125" customWidth="1" style="1" min="72" max="72"/>
    <col width="13.7265625" customWidth="1" style="1" min="73" max="73"/>
    <col width="14.26953125" customWidth="1" style="1" min="74" max="74"/>
    <col width="10.453125" customWidth="1" style="1" min="75" max="75"/>
    <col width="13.7265625" customWidth="1" style="1" min="76" max="76"/>
    <col width="14.26953125" customWidth="1" style="1" min="77" max="77"/>
    <col width="10.453125" customWidth="1" style="1" min="78" max="78"/>
    <col width="13.7265625" customWidth="1" style="1" min="79" max="79"/>
    <col width="14.26953125" customWidth="1" style="1" min="80" max="80"/>
    <col width="10.453125" customWidth="1" style="1" min="81" max="81"/>
    <col width="13.7265625" customWidth="1" style="1" min="82" max="82"/>
    <col width="14.26953125" customWidth="1" style="1" min="83" max="83"/>
    <col width="10.453125" customWidth="1" style="1" min="84" max="84"/>
    <col width="13.7265625" customWidth="1" style="1" min="85" max="85"/>
    <col width="14.26953125" customWidth="1" style="1" min="86" max="86"/>
    <col width="10.453125" customWidth="1" style="1" min="87" max="87"/>
    <col width="13.7265625" customWidth="1" style="1" min="88" max="88"/>
    <col width="14.26953125" customWidth="1" style="1" min="89" max="89"/>
    <col width="10.453125" customWidth="1" style="1" min="90" max="90"/>
    <col width="13.7265625" customWidth="1" style="1" min="91" max="91"/>
    <col width="14.26953125" customWidth="1" style="1" min="92" max="92"/>
    <col width="10.453125" customWidth="1" style="1" min="93" max="93"/>
    <col width="13.7265625" customWidth="1" style="1" min="94" max="94"/>
    <col width="14.26953125" customWidth="1" style="1" min="95" max="95"/>
    <col width="10.453125" customWidth="1" style="1" min="96" max="96"/>
    <col width="13.7265625" customWidth="1" style="1" min="97" max="97"/>
    <col width="14.26953125" customWidth="1" style="1" min="98" max="98"/>
    <col width="14.453125" bestFit="1" customWidth="1" style="1" min="99" max="99"/>
    <col width="18.1796875" bestFit="1" customWidth="1" style="1" min="100" max="100"/>
    <col width="21" bestFit="1" customWidth="1" style="1" min="101" max="101"/>
    <col width="18.1796875" customWidth="1" style="1" min="102" max="105"/>
    <col width="23.54296875" customWidth="1" style="1" min="106" max="106"/>
    <col width="18.1796875" customWidth="1" style="1" min="107" max="111"/>
    <col width="15.81640625" customWidth="1" style="4" min="112" max="112"/>
    <col width="16" customWidth="1" style="4" min="113" max="113"/>
    <col width="19.54296875" customWidth="1" style="4" min="114" max="114"/>
    <col width="11.453125" customWidth="1" style="1" min="115" max="127"/>
    <col width="11.453125" customWidth="1" style="1" min="128" max="16384"/>
  </cols>
  <sheetData>
    <row r="1" ht="23.25" customHeight="1">
      <c r="A1" s="125" t="inlineStr">
        <is>
          <t>Carnes</t>
        </is>
      </c>
      <c r="B1" s="5" t="n"/>
      <c r="C1" s="5" t="n"/>
      <c r="D1" s="5" t="n"/>
      <c r="E1" s="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3" t="inlineStr">
        <is>
          <t>Total mes</t>
        </is>
      </c>
      <c r="CV1" s="121" t="n"/>
      <c r="CW1" s="122" t="n"/>
    </row>
    <row r="2" ht="19.5" customHeight="1">
      <c r="A2" s="6" t="inlineStr">
        <is>
          <t>Producto</t>
        </is>
      </c>
      <c r="B2" s="6" t="inlineStr">
        <is>
          <t>Medidas</t>
        </is>
      </c>
      <c r="C2" s="6" t="inlineStr">
        <is>
          <t>Cantidad</t>
        </is>
      </c>
      <c r="D2" s="6" t="inlineStr">
        <is>
          <t xml:space="preserve">Valor </t>
        </is>
      </c>
      <c r="E2" s="6" t="inlineStr">
        <is>
          <t>Total</t>
        </is>
      </c>
      <c r="F2" s="7" t="inlineStr">
        <is>
          <t>Cantid</t>
        </is>
      </c>
      <c r="G2" s="8" t="inlineStr">
        <is>
          <t>Costo unit</t>
        </is>
      </c>
      <c r="H2" s="9" t="inlineStr">
        <is>
          <t>Vr. compra</t>
        </is>
      </c>
      <c r="I2" s="10" t="inlineStr">
        <is>
          <t>Cantid</t>
        </is>
      </c>
      <c r="J2" s="9" t="inlineStr">
        <is>
          <t>Costo unit</t>
        </is>
      </c>
      <c r="K2" s="9" t="inlineStr">
        <is>
          <t>Vr. compra</t>
        </is>
      </c>
      <c r="L2" s="10" t="inlineStr">
        <is>
          <t>Cantid</t>
        </is>
      </c>
      <c r="M2" s="9" t="inlineStr">
        <is>
          <t>Costo unit</t>
        </is>
      </c>
      <c r="N2" s="9" t="inlineStr">
        <is>
          <t>Vr. compra</t>
        </is>
      </c>
      <c r="O2" s="10" t="inlineStr">
        <is>
          <t>Cantid</t>
        </is>
      </c>
      <c r="P2" s="9" t="inlineStr">
        <is>
          <t>Costo unit</t>
        </is>
      </c>
      <c r="Q2" s="9" t="inlineStr">
        <is>
          <t>Vr. compra</t>
        </is>
      </c>
      <c r="R2" s="10" t="inlineStr">
        <is>
          <t>Cantid</t>
        </is>
      </c>
      <c r="S2" s="10" t="inlineStr">
        <is>
          <t>Costo</t>
        </is>
      </c>
      <c r="T2" s="9" t="inlineStr">
        <is>
          <t>Vr. compra</t>
        </is>
      </c>
      <c r="U2" s="10" t="inlineStr">
        <is>
          <t>Cantid</t>
        </is>
      </c>
      <c r="V2" s="9" t="inlineStr">
        <is>
          <t>Costo unit</t>
        </is>
      </c>
      <c r="W2" s="9" t="inlineStr">
        <is>
          <t>Vr. compra</t>
        </is>
      </c>
      <c r="X2" s="10" t="inlineStr">
        <is>
          <t>Cantid</t>
        </is>
      </c>
      <c r="Y2" s="9" t="inlineStr">
        <is>
          <t>Costo unit</t>
        </is>
      </c>
      <c r="Z2" s="9" t="inlineStr">
        <is>
          <t>Vr. compra</t>
        </is>
      </c>
      <c r="AA2" s="10" t="inlineStr">
        <is>
          <t>Cantid</t>
        </is>
      </c>
      <c r="AB2" s="9" t="inlineStr">
        <is>
          <t>Costo unit</t>
        </is>
      </c>
      <c r="AC2" s="9" t="inlineStr">
        <is>
          <t>Vr. compra</t>
        </is>
      </c>
      <c r="AD2" s="10" t="inlineStr">
        <is>
          <t>Cantid</t>
        </is>
      </c>
      <c r="AE2" s="9" t="inlineStr">
        <is>
          <t>Costo unit</t>
        </is>
      </c>
      <c r="AF2" s="9" t="inlineStr">
        <is>
          <t>Vr. compra</t>
        </is>
      </c>
      <c r="AG2" s="10" t="inlineStr">
        <is>
          <t>Cantid</t>
        </is>
      </c>
      <c r="AH2" s="9" t="inlineStr">
        <is>
          <t>Costo unit</t>
        </is>
      </c>
      <c r="AI2" s="9" t="inlineStr">
        <is>
          <t>Vr. compra</t>
        </is>
      </c>
      <c r="AJ2" s="10" t="inlineStr">
        <is>
          <t>Cantid</t>
        </is>
      </c>
      <c r="AK2" s="9" t="inlineStr">
        <is>
          <t>Costo unit</t>
        </is>
      </c>
      <c r="AL2" s="9" t="inlineStr">
        <is>
          <t>Vr. compra</t>
        </is>
      </c>
      <c r="AM2" s="10" t="inlineStr">
        <is>
          <t>Cantid</t>
        </is>
      </c>
      <c r="AN2" s="9" t="inlineStr">
        <is>
          <t>Costo unit</t>
        </is>
      </c>
      <c r="AO2" s="9" t="inlineStr">
        <is>
          <t>Vr. compra</t>
        </is>
      </c>
      <c r="AP2" s="10" t="inlineStr">
        <is>
          <t>Cantid</t>
        </is>
      </c>
      <c r="AQ2" s="10" t="inlineStr">
        <is>
          <t>Costo</t>
        </is>
      </c>
      <c r="AR2" s="9" t="inlineStr">
        <is>
          <t>Vr. compra</t>
        </is>
      </c>
      <c r="AS2" s="10" t="inlineStr">
        <is>
          <t>Cantid</t>
        </is>
      </c>
      <c r="AT2" s="9" t="inlineStr">
        <is>
          <t>Costo unit</t>
        </is>
      </c>
      <c r="AU2" s="9" t="inlineStr">
        <is>
          <t>Vr. compra</t>
        </is>
      </c>
      <c r="AV2" s="10" t="inlineStr">
        <is>
          <t>Cantid</t>
        </is>
      </c>
      <c r="AW2" s="9" t="inlineStr">
        <is>
          <t>Costo unit</t>
        </is>
      </c>
      <c r="AX2" s="9" t="inlineStr">
        <is>
          <t>Vr. compra</t>
        </is>
      </c>
      <c r="AY2" s="10" t="inlineStr">
        <is>
          <t>Cantid</t>
        </is>
      </c>
      <c r="AZ2" s="9" t="inlineStr">
        <is>
          <t>Costo unit</t>
        </is>
      </c>
      <c r="BA2" s="9" t="inlineStr">
        <is>
          <t>Vr. compra</t>
        </is>
      </c>
      <c r="BB2" s="10" t="inlineStr">
        <is>
          <t>Cantid</t>
        </is>
      </c>
      <c r="BC2" s="9" t="inlineStr">
        <is>
          <t>Costo unit</t>
        </is>
      </c>
      <c r="BD2" s="9" t="inlineStr">
        <is>
          <t>Vr. compra</t>
        </is>
      </c>
      <c r="BE2" s="10" t="inlineStr">
        <is>
          <t>Cantid</t>
        </is>
      </c>
      <c r="BF2" s="9" t="inlineStr">
        <is>
          <t>Costo unit</t>
        </is>
      </c>
      <c r="BG2" s="9" t="inlineStr">
        <is>
          <t>Vr. compra</t>
        </is>
      </c>
      <c r="BH2" s="10" t="inlineStr">
        <is>
          <t>Cantid</t>
        </is>
      </c>
      <c r="BI2" s="9" t="inlineStr">
        <is>
          <t>Costo unit</t>
        </is>
      </c>
      <c r="BJ2" s="9" t="inlineStr">
        <is>
          <t>Vr. compra</t>
        </is>
      </c>
      <c r="BK2" s="10" t="inlineStr">
        <is>
          <t>Cantid</t>
        </is>
      </c>
      <c r="BL2" s="9" t="inlineStr">
        <is>
          <t>Costo unit</t>
        </is>
      </c>
      <c r="BM2" s="9" t="inlineStr">
        <is>
          <t>Vr. compra</t>
        </is>
      </c>
      <c r="BN2" s="10" t="inlineStr">
        <is>
          <t>Cantid</t>
        </is>
      </c>
      <c r="BO2" s="10" t="inlineStr">
        <is>
          <t>Costo</t>
        </is>
      </c>
      <c r="BP2" s="9" t="inlineStr">
        <is>
          <t>Vr. compra</t>
        </is>
      </c>
      <c r="BQ2" s="10" t="inlineStr">
        <is>
          <t>Cantid</t>
        </is>
      </c>
      <c r="BR2" s="9" t="inlineStr">
        <is>
          <t>Costo unit</t>
        </is>
      </c>
      <c r="BS2" s="9" t="inlineStr">
        <is>
          <t>Vr. compra</t>
        </is>
      </c>
      <c r="BT2" s="10" t="inlineStr">
        <is>
          <t>Cantid</t>
        </is>
      </c>
      <c r="BU2" s="9" t="inlineStr">
        <is>
          <t>Costo unit</t>
        </is>
      </c>
      <c r="BV2" s="9" t="inlineStr">
        <is>
          <t>Vr. compra</t>
        </is>
      </c>
      <c r="BW2" s="10" t="inlineStr">
        <is>
          <t>Cantid</t>
        </is>
      </c>
      <c r="BX2" s="9" t="inlineStr">
        <is>
          <t>Costo unit</t>
        </is>
      </c>
      <c r="BY2" s="9" t="inlineStr">
        <is>
          <t>Vr. compra</t>
        </is>
      </c>
      <c r="BZ2" s="10" t="inlineStr">
        <is>
          <t>Cantid</t>
        </is>
      </c>
      <c r="CA2" s="9" t="inlineStr">
        <is>
          <t>Costo unit</t>
        </is>
      </c>
      <c r="CB2" s="9" t="inlineStr">
        <is>
          <t>Vr. compra</t>
        </is>
      </c>
      <c r="CC2" s="10" t="inlineStr">
        <is>
          <t>Cantid</t>
        </is>
      </c>
      <c r="CD2" s="9" t="inlineStr">
        <is>
          <t>Costo unit</t>
        </is>
      </c>
      <c r="CE2" s="9" t="inlineStr">
        <is>
          <t>Vr. compra</t>
        </is>
      </c>
      <c r="CF2" s="10" t="inlineStr">
        <is>
          <t>Cantid</t>
        </is>
      </c>
      <c r="CG2" s="9" t="inlineStr">
        <is>
          <t>Costo unit</t>
        </is>
      </c>
      <c r="CH2" s="9" t="inlineStr">
        <is>
          <t>Vr. compra</t>
        </is>
      </c>
      <c r="CI2" s="10" t="inlineStr">
        <is>
          <t>Cantid</t>
        </is>
      </c>
      <c r="CJ2" s="9" t="inlineStr">
        <is>
          <t>Costo unit</t>
        </is>
      </c>
      <c r="CK2" s="9" t="inlineStr">
        <is>
          <t>Vr. compra</t>
        </is>
      </c>
      <c r="CL2" s="10" t="inlineStr">
        <is>
          <t>Cantid</t>
        </is>
      </c>
      <c r="CM2" s="9" t="inlineStr">
        <is>
          <t>Costo unit</t>
        </is>
      </c>
      <c r="CN2" s="9" t="inlineStr">
        <is>
          <t>Vr. compra</t>
        </is>
      </c>
      <c r="CO2" s="10" t="inlineStr">
        <is>
          <t>Cantid</t>
        </is>
      </c>
      <c r="CP2" s="9" t="inlineStr">
        <is>
          <t>Costo unit</t>
        </is>
      </c>
      <c r="CQ2" s="9" t="inlineStr">
        <is>
          <t>Vr. compra</t>
        </is>
      </c>
      <c r="CR2" s="10" t="inlineStr">
        <is>
          <t>Cantid</t>
        </is>
      </c>
      <c r="CS2" s="9" t="inlineStr">
        <is>
          <t>Costo unit</t>
        </is>
      </c>
      <c r="CT2" s="9" t="inlineStr">
        <is>
          <t>Vr. compra</t>
        </is>
      </c>
      <c r="CU2" s="9" t="inlineStr">
        <is>
          <t>Cantid</t>
        </is>
      </c>
      <c r="CV2" s="9" t="inlineStr">
        <is>
          <t>Costo unit</t>
        </is>
      </c>
      <c r="CW2" s="9" t="inlineStr">
        <is>
          <t>Vr. compra</t>
        </is>
      </c>
    </row>
    <row r="3" ht="15" customFormat="1" customHeight="1" s="18">
      <c r="A3" s="11" t="inlineStr">
        <is>
          <t>Alas de pollo</t>
        </is>
      </c>
      <c r="B3" s="11" t="inlineStr">
        <is>
          <t>Kg</t>
        </is>
      </c>
      <c r="C3" s="12" t="n"/>
      <c r="D3" s="13" t="n"/>
      <c r="E3" s="13" t="n">
        <v>0</v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>
        <v>3.176</v>
      </c>
      <c r="Y3" s="15" t="n">
        <v>14500</v>
      </c>
      <c r="Z3" s="16" t="n">
        <v>46052</v>
      </c>
      <c r="AA3" s="14" t="n">
        <v>3.145</v>
      </c>
      <c r="AB3" s="15" t="n">
        <v>14500</v>
      </c>
      <c r="AC3" s="16" t="n">
        <v>45603</v>
      </c>
      <c r="AD3" s="14" t="n"/>
      <c r="AE3" s="15" t="n"/>
      <c r="AF3" s="16">
        <f>IFERROR(AD3*AE3, 0)</f>
        <v/>
      </c>
      <c r="AG3" s="14" t="n"/>
      <c r="AH3" s="15" t="n"/>
      <c r="AI3" s="16">
        <f>IFERROR(AG3*AH3, 0)</f>
        <v/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>
        <v>10</v>
      </c>
      <c r="BX3" s="15" t="n">
        <v>5000</v>
      </c>
      <c r="BY3" s="16" t="n">
        <v>50000</v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" customFormat="1" customHeight="1" s="18">
      <c r="A4" s="11" t="inlineStr">
        <is>
          <t>Bagre de mar</t>
        </is>
      </c>
      <c r="B4" s="11" t="inlineStr">
        <is>
          <t>Kg</t>
        </is>
      </c>
      <c r="C4" s="12" t="n"/>
      <c r="D4" s="13" t="n"/>
      <c r="E4" s="13" t="n">
        <v>0</v>
      </c>
      <c r="F4" s="14" t="n"/>
      <c r="G4" s="15" t="n"/>
      <c r="H4" s="16">
        <f>IFERROR(F4*G4, 0)</f>
        <v/>
      </c>
      <c r="I4" s="14" t="n">
        <v>20</v>
      </c>
      <c r="J4" s="15" t="n">
        <v>16500</v>
      </c>
      <c r="K4" s="16" t="n">
        <v>330000</v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>
        <v>21</v>
      </c>
      <c r="AB4" s="15" t="n">
        <v>16500</v>
      </c>
      <c r="AC4" s="16" t="n">
        <v>759000</v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>
        <v>26</v>
      </c>
      <c r="AW4" s="15" t="n">
        <v>16500</v>
      </c>
      <c r="AX4" s="16" t="n">
        <v>429000</v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>
        <v>22.12</v>
      </c>
      <c r="BU4" s="15" t="n">
        <v>17000</v>
      </c>
      <c r="BV4" s="16" t="n">
        <v>376040</v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Format="1" customHeight="1" s="18">
      <c r="A5" s="11" t="inlineStr">
        <is>
          <t>Barcino de res</t>
        </is>
      </c>
      <c r="B5" s="11" t="inlineStr">
        <is>
          <t>Kg</t>
        </is>
      </c>
      <c r="C5" s="12" t="n"/>
      <c r="D5" s="13" t="n"/>
      <c r="E5" s="13" t="n">
        <v>0</v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>
        <v>19.55</v>
      </c>
      <c r="Y5" s="15" t="n">
        <v>26900</v>
      </c>
      <c r="Z5" s="16" t="n">
        <v>525895</v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>
        <v>27.1</v>
      </c>
      <c r="AH5" s="15" t="n">
        <v>26900</v>
      </c>
      <c r="AI5" s="16" t="n">
        <v>728990</v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>
        <v>23.2</v>
      </c>
      <c r="AW5" s="15" t="n">
        <v>26900</v>
      </c>
      <c r="AX5" s="16" t="n">
        <v>624080</v>
      </c>
      <c r="AY5" s="14" t="n"/>
      <c r="AZ5" s="15" t="n"/>
      <c r="BA5" s="16">
        <f>IFERROR(AY5*AZ5, 0)</f>
        <v/>
      </c>
      <c r="BB5" s="14" t="n">
        <v>24.2</v>
      </c>
      <c r="BC5" s="15" t="n">
        <v>26900</v>
      </c>
      <c r="BD5" s="16" t="n">
        <v>650980</v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>
        <v>21.5</v>
      </c>
      <c r="BU5" s="15" t="n">
        <v>26900</v>
      </c>
      <c r="BV5" s="16" t="n">
        <v>578350</v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" customFormat="1" customHeight="1" s="18">
      <c r="A6" s="11" t="inlineStr">
        <is>
          <t>Bola negra</t>
        </is>
      </c>
      <c r="B6" s="11" t="inlineStr">
        <is>
          <t>Kg</t>
        </is>
      </c>
      <c r="C6" s="12" t="n"/>
      <c r="D6" s="13" t="n"/>
      <c r="E6" s="13" t="n">
        <v>0</v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>
        <v>8.07</v>
      </c>
      <c r="AK6" s="15" t="n">
        <v>34000</v>
      </c>
      <c r="AL6" s="16" t="n">
        <v>274380</v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" customFormat="1" customHeight="1" s="18">
      <c r="A7" s="11" t="inlineStr">
        <is>
          <t>Bondiola importada</t>
        </is>
      </c>
      <c r="B7" s="11" t="inlineStr">
        <is>
          <t>Kg</t>
        </is>
      </c>
      <c r="C7" s="12" t="n"/>
      <c r="D7" s="13" t="n"/>
      <c r="E7" s="13" t="n">
        <v>0</v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/>
      <c r="AH7" s="15" t="n"/>
      <c r="AI7" s="16">
        <f>IFERROR(AG7*AH7, 0)</f>
        <v/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/>
      <c r="BC7" s="15" t="n"/>
      <c r="BD7" s="16">
        <f>IFERROR(BB7*BC7, 0)</f>
        <v/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Format="1" customHeight="1" s="18">
      <c r="A8" s="11" t="inlineStr">
        <is>
          <t>Cabeza de lomo</t>
        </is>
      </c>
      <c r="B8" s="11" t="inlineStr">
        <is>
          <t>Kg</t>
        </is>
      </c>
      <c r="C8" s="12" t="n"/>
      <c r="D8" s="13" t="n"/>
      <c r="E8" s="13" t="n">
        <v>0</v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" customFormat="1" customHeight="1" s="18">
      <c r="A9" s="11" t="inlineStr">
        <is>
          <t>Caderita</t>
        </is>
      </c>
      <c r="B9" s="11" t="inlineStr">
        <is>
          <t>Kg</t>
        </is>
      </c>
      <c r="C9" s="12" t="n"/>
      <c r="D9" s="13" t="n"/>
      <c r="E9" s="13" t="n">
        <v>0</v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>
        <v>6.04</v>
      </c>
      <c r="AE9" s="15" t="n">
        <v>34000</v>
      </c>
      <c r="AF9" s="16" t="n">
        <v>205360</v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>
        <v>10.1</v>
      </c>
      <c r="AW9" s="15" t="n">
        <v>33000</v>
      </c>
      <c r="AX9" s="16" t="n">
        <v>333300</v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Format="1" customHeight="1" s="18">
      <c r="A10" s="11" t="inlineStr">
        <is>
          <t>Callo</t>
        </is>
      </c>
      <c r="B10" s="11" t="inlineStr">
        <is>
          <t>Kg</t>
        </is>
      </c>
      <c r="C10" s="12" t="n"/>
      <c r="D10" s="13" t="n"/>
      <c r="E10" s="13" t="n">
        <v>0</v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>
        <v>7.65</v>
      </c>
      <c r="S10" s="15" t="n">
        <v>18000</v>
      </c>
      <c r="T10" s="16" t="n">
        <v>137700</v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Format="1" customHeight="1" s="18">
      <c r="A11" s="11" t="inlineStr">
        <is>
          <t>Callo distribuidora myc sas</t>
        </is>
      </c>
      <c r="B11" s="11" t="inlineStr">
        <is>
          <t>Kg</t>
        </is>
      </c>
      <c r="C11" s="12" t="n"/>
      <c r="D11" s="13" t="n"/>
      <c r="E11" s="13" t="n">
        <v>0</v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" customFormat="1" customHeight="1" s="18">
      <c r="A12" s="11" t="inlineStr">
        <is>
          <t>Camaron precocido</t>
        </is>
      </c>
      <c r="B12" s="11" t="inlineStr">
        <is>
          <t>Kg</t>
        </is>
      </c>
      <c r="C12" s="12" t="n"/>
      <c r="D12" s="13" t="n"/>
      <c r="E12" s="13" t="n">
        <v>0</v>
      </c>
      <c r="F12" s="14" t="n"/>
      <c r="G12" s="15" t="n"/>
      <c r="H12" s="16">
        <f>IFERROR(F12*G12, 0)</f>
        <v/>
      </c>
      <c r="I12" s="14" t="n">
        <v>30.7</v>
      </c>
      <c r="J12" s="15" t="n">
        <v>22900</v>
      </c>
      <c r="K12" s="16" t="n">
        <v>703030</v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>
        <v>20.2</v>
      </c>
      <c r="AH12" s="15" t="n">
        <v>22900</v>
      </c>
      <c r="AI12" s="16" t="n">
        <v>462580</v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>
        <v>20.2</v>
      </c>
      <c r="BC12" s="15" t="n">
        <v>22900</v>
      </c>
      <c r="BD12" s="16" t="n">
        <v>462580</v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Format="1" customHeight="1" s="18">
      <c r="A13" s="11" t="inlineStr">
        <is>
          <t>Carne molida</t>
        </is>
      </c>
      <c r="B13" s="11" t="inlineStr">
        <is>
          <t>Kg</t>
        </is>
      </c>
      <c r="C13" s="12" t="n"/>
      <c r="D13" s="13" t="n"/>
      <c r="E13" s="13" t="n">
        <v>0</v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" customFormat="1" customHeight="1" s="18">
      <c r="A14" s="11" t="inlineStr">
        <is>
          <t>Pecho</t>
        </is>
      </c>
      <c r="B14" s="11" t="inlineStr">
        <is>
          <t>Kg</t>
        </is>
      </c>
      <c r="C14" s="12" t="n"/>
      <c r="D14" s="13" t="n"/>
      <c r="E14" s="13" t="n">
        <v>0</v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" customFormat="1" customHeight="1" s="18">
      <c r="A15" s="11" t="inlineStr">
        <is>
          <t xml:space="preserve">Muchacho res </t>
        </is>
      </c>
      <c r="B15" s="11" t="inlineStr">
        <is>
          <t>Kg</t>
        </is>
      </c>
      <c r="C15" s="12" t="n"/>
      <c r="D15" s="13" t="n"/>
      <c r="E15" s="13" t="n">
        <v>0</v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" customFormat="1" customHeight="1" s="18">
      <c r="A16" s="11" t="inlineStr">
        <is>
          <t>Morcilla</t>
        </is>
      </c>
      <c r="B16" s="11" t="inlineStr">
        <is>
          <t>Kg</t>
        </is>
      </c>
      <c r="C16" s="12" t="n"/>
      <c r="D16" s="13" t="n"/>
      <c r="E16" s="13" t="n">
        <v>0</v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>
        <v>5</v>
      </c>
      <c r="AK16" s="15" t="n">
        <v>20000</v>
      </c>
      <c r="AL16" s="16" t="n">
        <v>100000</v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BL16*BK16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" customFormat="1" customHeight="1" s="18">
      <c r="A17" s="11" t="inlineStr">
        <is>
          <t>Lomo de caracho</t>
        </is>
      </c>
      <c r="B17" s="11" t="inlineStr">
        <is>
          <t>Kg</t>
        </is>
      </c>
      <c r="C17" s="12" t="n"/>
      <c r="D17" s="13" t="n"/>
      <c r="E17" s="13" t="n">
        <v>0</v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>
        <v>14.5</v>
      </c>
      <c r="AH17" s="15" t="n">
        <v>44000</v>
      </c>
      <c r="AI17" s="16" t="n">
        <v>638000</v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>
        <v>6.71</v>
      </c>
      <c r="BU17" s="15" t="n">
        <v>50900</v>
      </c>
      <c r="BV17" s="16" t="n">
        <v>341539</v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" customFormat="1" customHeight="1" s="18">
      <c r="A18" s="11" t="inlineStr">
        <is>
          <t>Chorizo Premium</t>
        </is>
      </c>
      <c r="B18" s="11" t="inlineStr">
        <is>
          <t>Kg</t>
        </is>
      </c>
      <c r="C18" s="12" t="n"/>
      <c r="D18" s="13" t="n"/>
      <c r="E18" s="13" t="n">
        <v>0</v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>
        <v>2</v>
      </c>
      <c r="P18" s="15" t="n">
        <v>46000</v>
      </c>
      <c r="Q18" s="16" t="n">
        <v>92000</v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>
        <v>2</v>
      </c>
      <c r="AH18" s="15" t="n">
        <v>46000</v>
      </c>
      <c r="AI18" s="16" t="n">
        <v>92000</v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>
        <v>2</v>
      </c>
      <c r="AW18" s="15" t="n">
        <v>46000</v>
      </c>
      <c r="AX18" s="16" t="n">
        <v>92000</v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>
        <v>5</v>
      </c>
      <c r="BL18" s="15" t="n">
        <v>46000</v>
      </c>
      <c r="BM18" s="16" t="n">
        <v>230000</v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" customFormat="1" customHeight="1" s="18">
      <c r="A19" s="11" t="inlineStr">
        <is>
          <t>Churrasco</t>
        </is>
      </c>
      <c r="B19" s="11" t="inlineStr">
        <is>
          <t>Kg</t>
        </is>
      </c>
      <c r="C19" s="12" t="n"/>
      <c r="D19" s="13" t="n"/>
      <c r="E19" s="13" t="n">
        <v>0</v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" customFormat="1" customHeight="1" s="18">
      <c r="A20" s="11" t="inlineStr">
        <is>
          <t>Costilla ahumada</t>
        </is>
      </c>
      <c r="B20" s="11" t="inlineStr">
        <is>
          <t>Kg</t>
        </is>
      </c>
      <c r="C20" s="12" t="n"/>
      <c r="D20" s="13" t="n"/>
      <c r="E20" s="13" t="n">
        <v>0</v>
      </c>
      <c r="F20" s="14" t="n"/>
      <c r="G20" s="15" t="n"/>
      <c r="H20" s="16">
        <f>IFERROR(F20*G20, 0)</f>
        <v/>
      </c>
      <c r="I20" s="14" t="n"/>
      <c r="J20" s="15" t="n"/>
      <c r="K20" s="16">
        <f>IFERROR(I20*J20, 0)</f>
        <v/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>
        <v>8</v>
      </c>
      <c r="S20" s="15" t="n">
        <v>22900</v>
      </c>
      <c r="T20" s="16" t="n">
        <v>183200</v>
      </c>
      <c r="U20" s="14" t="n"/>
      <c r="V20" s="15" t="n"/>
      <c r="W20" s="16">
        <f>IFERROR(U20*V20, 0)</f>
        <v/>
      </c>
      <c r="X20" s="14" t="n"/>
      <c r="Y20" s="15" t="n"/>
      <c r="Z20" s="16">
        <f>IFERROR(X20*Y20, 0)</f>
        <v/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" customFormat="1" customHeight="1" s="18">
      <c r="A21" s="11" t="inlineStr">
        <is>
          <t>Costilla corte americano</t>
        </is>
      </c>
      <c r="B21" s="11" t="inlineStr">
        <is>
          <t>Kg</t>
        </is>
      </c>
      <c r="C21" s="12" t="n"/>
      <c r="D21" s="13" t="n"/>
      <c r="E21" s="13" t="n">
        <v>0</v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/>
      <c r="BR21" s="15" t="n"/>
      <c r="BS21" s="16">
        <f>IFERROR(BQ21*BR21, 0)</f>
        <v/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Format="1" customHeight="1" s="18">
      <c r="A22" s="11" t="inlineStr">
        <is>
          <t>Costilla de cerdo especial</t>
        </is>
      </c>
      <c r="B22" s="11" t="inlineStr">
        <is>
          <t>Kg</t>
        </is>
      </c>
      <c r="C22" s="12" t="n"/>
      <c r="D22" s="13" t="n"/>
      <c r="E22" s="13" t="n">
        <v>0</v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>
        <v>28.1</v>
      </c>
      <c r="Y22" s="15" t="n">
        <v>16700</v>
      </c>
      <c r="Z22" s="16" t="n">
        <v>469270</v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>
        <v>28.1</v>
      </c>
      <c r="AW22" s="15" t="n">
        <v>15900</v>
      </c>
      <c r="AX22" s="16" t="n">
        <v>446790</v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>
        <v>20</v>
      </c>
      <c r="BF22" s="15" t="n">
        <v>18200</v>
      </c>
      <c r="BG22" s="16" t="n">
        <v>364000</v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/>
      <c r="BR22" s="15" t="n"/>
      <c r="BS22" s="16">
        <f>IFERROR(BQ22*BR22, 0)</f>
        <v/>
      </c>
      <c r="BT22" s="14" t="n">
        <v>26.1</v>
      </c>
      <c r="BU22" s="15" t="n">
        <v>15400</v>
      </c>
      <c r="BV22" s="16" t="n">
        <v>401940</v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" customFormat="1" customHeight="1" s="18">
      <c r="A23" s="11" t="inlineStr">
        <is>
          <t>Costilla de res</t>
        </is>
      </c>
      <c r="B23" s="11" t="inlineStr">
        <is>
          <t>Kg</t>
        </is>
      </c>
      <c r="C23" s="12" t="n"/>
      <c r="D23" s="13" t="n"/>
      <c r="E23" s="13" t="n">
        <v>0</v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/>
      <c r="AZ23" s="15" t="n"/>
      <c r="BA23" s="16">
        <f>IFERROR(AY23*AZ23, 0)</f>
        <v/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>
        <v>20.55</v>
      </c>
      <c r="BO23" s="15" t="n">
        <v>22000</v>
      </c>
      <c r="BP23" s="16" t="n">
        <v>452100</v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Format="1" customHeight="1" s="18">
      <c r="A24" s="11" t="inlineStr">
        <is>
          <t>Costilla san luis</t>
        </is>
      </c>
      <c r="B24" s="11" t="inlineStr">
        <is>
          <t>Kg</t>
        </is>
      </c>
      <c r="C24" s="12" t="n"/>
      <c r="D24" s="13" t="n"/>
      <c r="E24" s="13" t="n">
        <v>0</v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" customFormat="1" customHeight="1" s="18">
      <c r="A25" s="11" t="inlineStr">
        <is>
          <t>Costilla san luis jr</t>
        </is>
      </c>
      <c r="B25" s="11" t="inlineStr">
        <is>
          <t>Kg</t>
        </is>
      </c>
      <c r="C25" s="12" t="n"/>
      <c r="D25" s="13" t="n"/>
      <c r="E25" s="13" t="n">
        <v>0</v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>
        <v>20.2</v>
      </c>
      <c r="P25" s="15" t="n">
        <v>22000</v>
      </c>
      <c r="Q25" s="16" t="n">
        <v>444400</v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>
        <v>48.66</v>
      </c>
      <c r="Y25" s="15" t="n">
        <v>21900</v>
      </c>
      <c r="Z25" s="16" t="n">
        <v>1065654</v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" customFormat="1" customHeight="1" s="18">
      <c r="A26" s="11" t="inlineStr">
        <is>
          <t>Empella</t>
        </is>
      </c>
      <c r="B26" s="11" t="inlineStr">
        <is>
          <t>Kg</t>
        </is>
      </c>
      <c r="C26" s="12" t="n"/>
      <c r="D26" s="13" t="n"/>
      <c r="E26" s="13" t="n">
        <v>0</v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/>
      <c r="AH26" s="15" t="n"/>
      <c r="AI26" s="16">
        <f>IFERROR(AG26*AH26, 0)</f>
        <v/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/>
      <c r="BR26" s="15" t="n"/>
      <c r="BS26" s="16">
        <f>IFERROR(BQ26*BR26, 0)</f>
        <v/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" customFormat="1" customHeight="1" s="18">
      <c r="A27" s="11" t="inlineStr">
        <is>
          <t>Espinazo de cerdo</t>
        </is>
      </c>
      <c r="B27" s="11" t="inlineStr">
        <is>
          <t>Kg</t>
        </is>
      </c>
      <c r="C27" s="12" t="n"/>
      <c r="D27" s="13" t="n"/>
      <c r="E27" s="13" t="n">
        <v>0</v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>
        <v>3.036</v>
      </c>
      <c r="V27" s="15" t="n">
        <v>7350</v>
      </c>
      <c r="W27" s="16" t="n">
        <v>22315</v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>
        <v>3.058</v>
      </c>
      <c r="BR27" s="15" t="n">
        <v>9799</v>
      </c>
      <c r="BS27" s="16" t="n">
        <v>30066</v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" customFormat="1" customHeight="1" s="18">
      <c r="A28" s="11" t="inlineStr">
        <is>
          <t>Filete de pollo x 120</t>
        </is>
      </c>
      <c r="B28" s="11" t="inlineStr">
        <is>
          <t>Und</t>
        </is>
      </c>
      <c r="C28" s="12" t="n"/>
      <c r="D28" s="13" t="n"/>
      <c r="E28" s="13" t="n">
        <v>0</v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/>
      <c r="BR28" s="15" t="n"/>
      <c r="BS28" s="16">
        <f>IFERROR(BQ28*BR28, 0)</f>
        <v/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" customFormat="1" customHeight="1" s="18">
      <c r="A29" s="11" t="inlineStr">
        <is>
          <t>Filete de pollo x 350</t>
        </is>
      </c>
      <c r="B29" s="11" t="inlineStr">
        <is>
          <t>Kg</t>
        </is>
      </c>
      <c r="C29" s="12" t="n"/>
      <c r="D29" s="13" t="n"/>
      <c r="E29" s="13" t="n">
        <v>0</v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>
        <v>10.36</v>
      </c>
      <c r="M29" s="15" t="n">
        <v>18500</v>
      </c>
      <c r="N29" s="16" t="n">
        <v>191660</v>
      </c>
      <c r="O29" s="14" t="n"/>
      <c r="P29" s="15" t="n"/>
      <c r="Q29" s="16">
        <f>IFERROR(O29*P29, 0)</f>
        <v/>
      </c>
      <c r="R29" s="14" t="n">
        <v>4</v>
      </c>
      <c r="S29" s="15" t="n">
        <v>40250</v>
      </c>
      <c r="T29" s="16" t="n">
        <v>161000</v>
      </c>
      <c r="U29" s="14" t="n">
        <v>24.9</v>
      </c>
      <c r="V29" s="15" t="n">
        <v>18500</v>
      </c>
      <c r="W29" s="16" t="n">
        <v>460650</v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>
        <v>24.7</v>
      </c>
      <c r="AH29" s="15" t="n">
        <v>18500</v>
      </c>
      <c r="AI29" s="16" t="n">
        <v>456950</v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>
        <v>10.6</v>
      </c>
      <c r="AT29" s="15" t="n">
        <v>18500</v>
      </c>
      <c r="AU29" s="16" t="n">
        <v>196100</v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>
        <v>24.3</v>
      </c>
      <c r="BF29" s="15" t="n">
        <v>18500</v>
      </c>
      <c r="BG29" s="16" t="n">
        <v>449550</v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/>
      <c r="BR29" s="15" t="n"/>
      <c r="BS29" s="16">
        <f>IFERROR(BQ29*BR29, 0)</f>
        <v/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" customFormat="1" customHeight="1" s="18">
      <c r="A30" s="11" t="inlineStr">
        <is>
          <t>Filete de pollo x 400</t>
        </is>
      </c>
      <c r="B30" s="11" t="inlineStr">
        <is>
          <t>Kg</t>
        </is>
      </c>
      <c r="C30" s="12" t="n"/>
      <c r="D30" s="13" t="n"/>
      <c r="E30" s="13" t="n">
        <v>0</v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" customFormat="1" customHeight="1" s="18">
      <c r="A31" s="11" t="inlineStr">
        <is>
          <t>Filete de pollox 320 gr</t>
        </is>
      </c>
      <c r="B31" s="11" t="inlineStr">
        <is>
          <t>Kg</t>
        </is>
      </c>
      <c r="C31" s="12" t="n"/>
      <c r="D31" s="13" t="n"/>
      <c r="E31" s="13" t="n">
        <v>0</v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/>
      <c r="AH31" s="15" t="n"/>
      <c r="AI31" s="16">
        <f>IFERROR(AG31*AH31, 0)</f>
        <v/>
      </c>
      <c r="AJ31" s="14" t="n"/>
      <c r="AK31" s="15" t="n"/>
      <c r="AL31" s="16">
        <f>IFERROR(AJ31*AK31, 0)</f>
        <v/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/>
      <c r="BR31" s="15" t="n"/>
      <c r="BS31" s="16">
        <f>IFERROR(BQ31*BR31, 0)</f>
        <v/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Format="1" customHeight="1" s="18">
      <c r="A32" s="11" t="inlineStr">
        <is>
          <t>Francesa</t>
        </is>
      </c>
      <c r="B32" s="11" t="inlineStr">
        <is>
          <t>Paq</t>
        </is>
      </c>
      <c r="C32" s="12" t="n"/>
      <c r="D32" s="13" t="n"/>
      <c r="E32" s="13" t="n">
        <v>0</v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" customFormat="1" customHeight="1" s="18">
      <c r="A33" s="11" t="inlineStr">
        <is>
          <t>Gallina</t>
        </is>
      </c>
      <c r="B33" s="11" t="inlineStr">
        <is>
          <t>Kg</t>
        </is>
      </c>
      <c r="C33" s="12" t="n"/>
      <c r="D33" s="13" t="n"/>
      <c r="E33" s="13" t="n">
        <v>0</v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/>
      <c r="AH33" s="15" t="n"/>
      <c r="AI33" s="16">
        <f>IFERROR(AG33*AH33, 0)</f>
        <v/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/>
      <c r="BR33" s="15" t="n"/>
      <c r="BS33" s="16">
        <f>IFERROR(BQ33*BR33, 0)</f>
        <v/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" customFormat="1" customHeight="1" s="18">
      <c r="A34" s="11" t="inlineStr">
        <is>
          <t xml:space="preserve">Higado </t>
        </is>
      </c>
      <c r="B34" s="11" t="inlineStr">
        <is>
          <t>Kg</t>
        </is>
      </c>
      <c r="C34" s="12" t="n"/>
      <c r="D34" s="13" t="n"/>
      <c r="E34" s="13" t="n">
        <v>0</v>
      </c>
      <c r="F34" s="14" t="n">
        <v>2</v>
      </c>
      <c r="G34" s="15" t="n">
        <v>22000</v>
      </c>
      <c r="H34" s="16" t="n">
        <v>44000</v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/>
      <c r="AH34" s="15" t="n"/>
      <c r="AI34" s="16">
        <f>IFERROR(AG34*AH34, 0)</f>
        <v/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>
        <v>8.199999999999999</v>
      </c>
      <c r="AW34" s="15" t="n">
        <v>21500</v>
      </c>
      <c r="AX34" s="16" t="n">
        <v>176300</v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/>
      <c r="BR34" s="15" t="n"/>
      <c r="BS34" s="16">
        <f>IFERROR(BQ34*BR34, 0)</f>
        <v/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" customFormat="1" customHeight="1" s="18">
      <c r="A35" s="11" t="inlineStr">
        <is>
          <t>Lengua de res</t>
        </is>
      </c>
      <c r="B35" s="11" t="inlineStr">
        <is>
          <t>Kg</t>
        </is>
      </c>
      <c r="C35" s="12" t="n"/>
      <c r="D35" s="13" t="n"/>
      <c r="E35" s="13" t="n">
        <v>0</v>
      </c>
      <c r="F35" s="14" t="n">
        <v>5.91</v>
      </c>
      <c r="G35" s="15" t="n">
        <v>23500</v>
      </c>
      <c r="H35" s="16" t="n">
        <v>138767.5</v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>
        <v>5.43</v>
      </c>
      <c r="P35" s="15" t="n">
        <v>23500</v>
      </c>
      <c r="Q35" s="16" t="n">
        <v>127605</v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>
        <v>42.6</v>
      </c>
      <c r="Y35" s="15" t="n">
        <v>22900</v>
      </c>
      <c r="Z35" s="16" t="n">
        <v>975540</v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14" t="n"/>
      <c r="AH35" s="15" t="n"/>
      <c r="AI35" s="16">
        <f>IFERROR(AG35*AH35, 0)</f>
        <v/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>
        <v>40.1</v>
      </c>
      <c r="BC35" s="15" t="n">
        <v>22900</v>
      </c>
      <c r="BD35" s="16" t="n">
        <v>918290</v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14" t="n"/>
      <c r="BR35" s="15" t="n"/>
      <c r="BS35" s="16">
        <f>IFERROR(BQ35*BR35, 0)</f>
        <v/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" customFormat="1" customHeight="1" s="18">
      <c r="A36" s="11" t="inlineStr">
        <is>
          <t>Chorizo paisa</t>
        </is>
      </c>
      <c r="B36" s="11" t="inlineStr">
        <is>
          <t>Kg</t>
        </is>
      </c>
      <c r="C36" s="12" t="n"/>
      <c r="D36" s="13" t="n"/>
      <c r="E36" s="13" t="n">
        <v>0</v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14" t="n"/>
      <c r="BR36" s="15" t="n"/>
      <c r="BS36" s="16">
        <f>IFERROR(BQ36*BR36, 0)</f>
        <v/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" customFormat="1" customHeight="1" s="18">
      <c r="A37" s="11" t="inlineStr">
        <is>
          <t>Lomo de cerdo</t>
        </is>
      </c>
      <c r="B37" s="11" t="inlineStr">
        <is>
          <t>Kg</t>
        </is>
      </c>
      <c r="C37" s="12" t="n"/>
      <c r="D37" s="13" t="n"/>
      <c r="E37" s="13" t="n">
        <v>0</v>
      </c>
      <c r="F37" s="14" t="n">
        <v>13.2</v>
      </c>
      <c r="G37" s="15" t="n">
        <v>19800</v>
      </c>
      <c r="H37" s="16" t="n">
        <v>261360</v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>
        <v>15.9</v>
      </c>
      <c r="P37" s="15" t="n">
        <v>19800</v>
      </c>
      <c r="Q37" s="16" t="n">
        <v>314820</v>
      </c>
      <c r="R37" s="14" t="n">
        <v>20.6</v>
      </c>
      <c r="S37" s="15" t="n">
        <v>19500</v>
      </c>
      <c r="T37" s="16" t="n">
        <v>401700</v>
      </c>
      <c r="U37" s="14" t="n">
        <v>10.57</v>
      </c>
      <c r="V37" s="15" t="n">
        <v>19800</v>
      </c>
      <c r="W37" s="16" t="n">
        <v>328986</v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>
        <v>9.15</v>
      </c>
      <c r="BO37" s="15" t="n">
        <v>19500</v>
      </c>
      <c r="BP37" s="16" t="n">
        <v>178425</v>
      </c>
      <c r="BQ37" s="14" t="n">
        <v>18.31</v>
      </c>
      <c r="BR37" s="15" t="n">
        <v>19500</v>
      </c>
      <c r="BS37" s="16" t="n">
        <v>357045</v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>
        <v>9.15</v>
      </c>
      <c r="CJ37" s="15" t="n">
        <v>19500</v>
      </c>
      <c r="CK37" s="16" t="n">
        <v>178425</v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" customFormat="1" customHeight="1" s="18">
      <c r="A38" s="11" t="inlineStr">
        <is>
          <t>Lomo viche</t>
        </is>
      </c>
      <c r="B38" s="11" t="inlineStr">
        <is>
          <t>Kg</t>
        </is>
      </c>
      <c r="C38" s="12" t="n"/>
      <c r="D38" s="13" t="n"/>
      <c r="E38" s="13" t="n">
        <v>0</v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>
        <v>8.75</v>
      </c>
      <c r="P38" s="15" t="n">
        <v>45000</v>
      </c>
      <c r="Q38" s="16" t="n">
        <v>393750</v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/>
      <c r="AH38" s="15" t="n"/>
      <c r="AI38" s="16">
        <f>IFERROR(AG38*AH38, 0)</f>
        <v/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>
        <v>5.75</v>
      </c>
      <c r="AQ38" s="15" t="n">
        <v>46000</v>
      </c>
      <c r="AR38" s="16" t="n">
        <v>264500</v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>
        <v>4.2</v>
      </c>
      <c r="BU38" s="15" t="n">
        <v>65900</v>
      </c>
      <c r="BV38" s="16" t="n">
        <v>276780</v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" customFormat="1" customHeight="1" s="18">
      <c r="A39" s="11" t="inlineStr">
        <is>
          <t>Marisco</t>
        </is>
      </c>
      <c r="B39" s="11" t="inlineStr">
        <is>
          <t>Kg</t>
        </is>
      </c>
      <c r="C39" s="12" t="n"/>
      <c r="D39" s="13" t="n"/>
      <c r="E39" s="13" t="n">
        <v>0</v>
      </c>
      <c r="F39" s="14" t="n"/>
      <c r="G39" s="15" t="n"/>
      <c r="H39" s="16">
        <f>IFERROR(F39*G39, 0)</f>
        <v/>
      </c>
      <c r="I39" s="14" t="n"/>
      <c r="J39" s="15" t="n"/>
      <c r="K39" s="16">
        <f>IFERROR(I39*J39, 0)</f>
        <v/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/>
      <c r="Y39" s="15" t="n"/>
      <c r="Z39" s="16">
        <f>IFERROR(X39*Y39, 0)</f>
        <v/>
      </c>
      <c r="AA39" s="14" t="n"/>
      <c r="AB39" s="15" t="n"/>
      <c r="AC39" s="16">
        <f>IFERROR(AA39*AB39, 0)</f>
        <v/>
      </c>
      <c r="AD39" s="14" t="n">
        <v>24</v>
      </c>
      <c r="AE39" s="15" t="n">
        <v>5000</v>
      </c>
      <c r="AF39" s="16" t="n">
        <v>120000</v>
      </c>
      <c r="AG39" s="14" t="n"/>
      <c r="AH39" s="15" t="n"/>
      <c r="AI39" s="16">
        <f>IFERROR(AG39*AH39, 0)</f>
        <v/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/>
      <c r="BL39" s="15" t="n"/>
      <c r="BM39" s="16">
        <f>IFERROR(BK39*BL39, 0)</f>
        <v/>
      </c>
      <c r="BN39" s="14" t="n"/>
      <c r="BO39" s="15" t="n"/>
      <c r="BP39" s="16">
        <f>IFERROR(BN39*BO39, 0)</f>
        <v/>
      </c>
      <c r="BQ39" s="14" t="n"/>
      <c r="BR39" s="15" t="n"/>
      <c r="BS39" s="16">
        <f>IFERROR(BQ39*BR39, 0)</f>
        <v/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5.75" customFormat="1" customHeight="1" s="18">
      <c r="A40" s="11" t="inlineStr">
        <is>
          <t>Mix de verdura</t>
        </is>
      </c>
      <c r="B40" s="11" t="inlineStr">
        <is>
          <t>Paq</t>
        </is>
      </c>
      <c r="C40" s="12" t="n"/>
      <c r="D40" s="13" t="n"/>
      <c r="E40" s="13" t="n">
        <v>0</v>
      </c>
      <c r="F40" s="14" t="n"/>
      <c r="G40" s="15" t="n"/>
      <c r="H40" s="16">
        <f>IFERROR(F40*G40, 0)</f>
        <v/>
      </c>
      <c r="I40" s="14" t="n">
        <v>10</v>
      </c>
      <c r="J40" s="15" t="n">
        <v>8487.4</v>
      </c>
      <c r="K40" s="16" t="n">
        <v>84874</v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/>
      <c r="Y40" s="15" t="n"/>
      <c r="Z40" s="16">
        <f>IFERROR(X40*Y40, 0)</f>
        <v/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>
        <v>10</v>
      </c>
      <c r="BC40" s="15" t="n">
        <v>8487.4</v>
      </c>
      <c r="BD40" s="16" t="n">
        <v>84874</v>
      </c>
      <c r="BE40" s="14" t="n"/>
      <c r="BF40" s="15" t="n"/>
      <c r="BG40" s="16">
        <f>IFERROR(BE40*BF40, 0)</f>
        <v/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" customFormat="1" customHeight="1" s="18">
      <c r="A41" s="11" t="inlineStr">
        <is>
          <t>Morrillo</t>
        </is>
      </c>
      <c r="B41" s="11" t="inlineStr">
        <is>
          <t>Kg</t>
        </is>
      </c>
      <c r="C41" s="12" t="n"/>
      <c r="D41" s="13" t="n"/>
      <c r="E41" s="13" t="n">
        <v>0</v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/>
      <c r="AZ41" s="15" t="n"/>
      <c r="BA41" s="16">
        <f>IFERROR(AY41*AZ41, 0)</f>
        <v/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" customFormat="1" customHeight="1" s="18">
      <c r="A42" s="11" t="inlineStr">
        <is>
          <t>Mortadela</t>
        </is>
      </c>
      <c r="B42" s="11" t="inlineStr">
        <is>
          <t>Kg</t>
        </is>
      </c>
      <c r="C42" s="12" t="n"/>
      <c r="D42" s="13" t="n"/>
      <c r="E42" s="13" t="n">
        <v>0</v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/>
      <c r="AT42" s="15" t="n"/>
      <c r="AU42" s="16">
        <f>IFERROR(AS42*AT42, 0)</f>
        <v/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/>
      <c r="BL42" s="15" t="n"/>
      <c r="BM42" s="16">
        <f>IFERROR(BK42*BL42, 0)</f>
        <v/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" customFormat="1" customHeight="1" s="18">
      <c r="A43" s="11" t="inlineStr">
        <is>
          <t>Mortadela</t>
        </is>
      </c>
      <c r="B43" s="11" t="inlineStr">
        <is>
          <t>Kg</t>
        </is>
      </c>
      <c r="C43" s="12" t="n"/>
      <c r="D43" s="13" t="n"/>
      <c r="E43" s="13" t="n">
        <v>0</v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>
        <v>1</v>
      </c>
      <c r="BL43" s="15" t="n">
        <v>10600</v>
      </c>
      <c r="BM43" s="16" t="n">
        <v>10600</v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" customFormat="1" customHeight="1" s="18">
      <c r="A44" s="11" t="inlineStr">
        <is>
          <t xml:space="preserve">Chorizo mediano </t>
        </is>
      </c>
      <c r="B44" s="11" t="inlineStr">
        <is>
          <t>Und</t>
        </is>
      </c>
      <c r="C44" s="12" t="n"/>
      <c r="D44" s="13" t="n"/>
      <c r="E44" s="13" t="n">
        <v>0</v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" customFormat="1" customHeight="1" s="18">
      <c r="A45" s="11" t="inlineStr">
        <is>
          <t>Panceta de cerdo</t>
        </is>
      </c>
      <c r="B45" s="11" t="inlineStr">
        <is>
          <t>Kg</t>
        </is>
      </c>
      <c r="C45" s="12" t="n"/>
      <c r="D45" s="13" t="n"/>
      <c r="E45" s="13" t="n">
        <v>0</v>
      </c>
      <c r="F45" s="14" t="n"/>
      <c r="G45" s="15" t="n"/>
      <c r="H45" s="16">
        <f>IFERROR(F45*G45, 0)</f>
        <v/>
      </c>
      <c r="I45" s="14" t="n"/>
      <c r="J45" s="15" t="n"/>
      <c r="K45" s="16">
        <f>IFERROR(I45*J45, 0)</f>
        <v/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/>
      <c r="Y45" s="15" t="n"/>
      <c r="Z45" s="16">
        <f>IFERROR(X45*Y45, 0)</f>
        <v/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/>
      <c r="AH45" s="15" t="n"/>
      <c r="AI45" s="16">
        <f>IFERROR(AG45*AH45, 0)</f>
        <v/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/>
      <c r="AQ45" s="15" t="n"/>
      <c r="AR45" s="16">
        <f>IFERROR(AP45*AQ45, 0)</f>
        <v/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/>
      <c r="BF45" s="15" t="n"/>
      <c r="BG45" s="16">
        <f>IFERROR(BE45*BF45, 0)</f>
        <v/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/>
      <c r="BR45" s="15" t="n"/>
      <c r="BS45" s="16">
        <f>IFERROR(BQ45*BR45, 0)</f>
        <v/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" customFormat="1" customHeight="1" s="18">
      <c r="A46" s="11" t="inlineStr">
        <is>
          <t>Pata de res</t>
        </is>
      </c>
      <c r="B46" s="11" t="inlineStr">
        <is>
          <t>Kg</t>
        </is>
      </c>
      <c r="C46" s="12" t="n"/>
      <c r="D46" s="13" t="n"/>
      <c r="E46" s="13" t="n">
        <v>0</v>
      </c>
      <c r="F46" s="14" t="n"/>
      <c r="G46" s="15" t="n"/>
      <c r="H46" s="16">
        <f>IFERROR(F46*G46, 0)</f>
        <v/>
      </c>
      <c r="I46" s="14" t="n"/>
      <c r="J46" s="15" t="n"/>
      <c r="K46" s="16">
        <f>IFERROR(I46*J46, 0)</f>
        <v/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/>
      <c r="Y46" s="15" t="n"/>
      <c r="Z46" s="16">
        <f>IFERROR(X46*Y46, 0)</f>
        <v/>
      </c>
      <c r="AA46" s="14" t="n"/>
      <c r="AB46" s="15" t="n"/>
      <c r="AC46" s="16">
        <f>IFERROR(AA46*AB46, 0)</f>
        <v/>
      </c>
      <c r="AD46" s="14" t="n"/>
      <c r="AE46" s="15" t="n"/>
      <c r="AF46" s="16">
        <f>IFERROR(AD46*AE46, 0)</f>
        <v/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/>
      <c r="AZ46" s="15" t="n"/>
      <c r="BA46" s="16">
        <f>IFERROR(AY46*AZ46, 0)</f>
        <v/>
      </c>
      <c r="BB46" s="14" t="n"/>
      <c r="BC46" s="15" t="n"/>
      <c r="BD46" s="16">
        <f>IFERROR(BB46*BC46, 0)</f>
        <v/>
      </c>
      <c r="BE46" s="14" t="n"/>
      <c r="BF46" s="15" t="n"/>
      <c r="BG46" s="16">
        <f>IFERROR(BE46*BF46, 0)</f>
        <v/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" customFormat="1" customHeight="1" s="18">
      <c r="A47" s="11" t="inlineStr">
        <is>
          <t xml:space="preserve">Chorizo grande </t>
        </is>
      </c>
      <c r="B47" s="11" t="inlineStr">
        <is>
          <t>Und</t>
        </is>
      </c>
      <c r="C47" s="12" t="n"/>
      <c r="D47" s="13" t="n"/>
      <c r="E47" s="13" t="n">
        <v>0</v>
      </c>
      <c r="F47" s="14" t="n"/>
      <c r="G47" s="15" t="n"/>
      <c r="H47" s="16">
        <f>IFERROR(F47*G47, 0)</f>
        <v/>
      </c>
      <c r="I47" s="14" t="n"/>
      <c r="J47" s="15" t="n"/>
      <c r="K47" s="16">
        <f>IFERROR(I47*J47, 0)</f>
        <v/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/>
      <c r="AH47" s="15" t="n"/>
      <c r="AI47" s="16">
        <f>IFERROR(AG47*AH47, 0)</f>
        <v/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/>
      <c r="BR47" s="15" t="n"/>
      <c r="BS47" s="16">
        <f>IFERROR(BQ47*BR47, 0)</f>
        <v/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" customFormat="1" customHeight="1" s="18">
      <c r="A48" s="11" t="inlineStr">
        <is>
          <t xml:space="preserve">Pernil de cerdo </t>
        </is>
      </c>
      <c r="B48" s="11" t="inlineStr">
        <is>
          <t>Kg</t>
        </is>
      </c>
      <c r="C48" s="12" t="n"/>
      <c r="D48" s="13" t="n"/>
      <c r="E48" s="13" t="n">
        <v>0</v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/>
      <c r="BX48" s="15" t="n"/>
      <c r="BY48" s="16">
        <f>IFERROR(BW48*BX48, 0)</f>
        <v/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" customFormat="1" customHeight="1" s="18">
      <c r="A49" s="11" t="inlineStr">
        <is>
          <t>Pernil de pollo</t>
        </is>
      </c>
      <c r="B49" s="11" t="inlineStr">
        <is>
          <t>Kg</t>
        </is>
      </c>
      <c r="C49" s="12" t="n"/>
      <c r="D49" s="13" t="n"/>
      <c r="E49" s="13" t="n">
        <v>0</v>
      </c>
      <c r="F49" s="14" t="n">
        <v>8.98</v>
      </c>
      <c r="G49" s="15" t="n">
        <v>15000</v>
      </c>
      <c r="H49" s="16" t="n">
        <v>70800</v>
      </c>
      <c r="I49" s="14" t="n"/>
      <c r="J49" s="15" t="n"/>
      <c r="K49" s="16">
        <f>IFERROR(I49*J49, 0)</f>
        <v/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/>
      <c r="Y49" s="15" t="n"/>
      <c r="Z49" s="16">
        <f>IFERROR(X49*Y49, 0)</f>
        <v/>
      </c>
      <c r="AA49" s="14" t="n">
        <v>35.36</v>
      </c>
      <c r="AB49" s="15" t="n">
        <v>7635.75</v>
      </c>
      <c r="AC49" s="16" t="n">
        <v>270000</v>
      </c>
      <c r="AD49" s="14" t="n">
        <v>6.6</v>
      </c>
      <c r="AE49" s="15" t="n">
        <v>7700</v>
      </c>
      <c r="AF49" s="16" t="n">
        <v>50820</v>
      </c>
      <c r="AG49" s="14" t="n"/>
      <c r="AH49" s="15" t="n"/>
      <c r="AI49" s="16">
        <f>IFERROR(AG49*AH49, 0)</f>
        <v/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/>
      <c r="AT49" s="15" t="n"/>
      <c r="AU49" s="16">
        <f>IFERROR(AS49*AT49, 0)</f>
        <v/>
      </c>
      <c r="AV49" s="14" t="n">
        <v>44</v>
      </c>
      <c r="AW49" s="15" t="n">
        <v>7700</v>
      </c>
      <c r="AX49" s="16" t="n">
        <v>338800</v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/>
      <c r="BF49" s="15" t="n"/>
      <c r="BG49" s="16">
        <f>IFERROR(BE49*BF49, 0)</f>
        <v/>
      </c>
      <c r="BH49" s="14" t="n"/>
      <c r="BI49" s="15" t="n"/>
      <c r="BJ49" s="16">
        <f>IFERROR(BH49*BI49, 0)</f>
        <v/>
      </c>
      <c r="BK49" s="14" t="n"/>
      <c r="BL49" s="15" t="n"/>
      <c r="BM49" s="16">
        <f>IFERROR(BK49*BL49, 0)</f>
        <v/>
      </c>
      <c r="BN49" s="14" t="n"/>
      <c r="BO49" s="15" t="n"/>
      <c r="BP49" s="16">
        <f>IFERROR(BN49*BO49, 0)</f>
        <v/>
      </c>
      <c r="BQ49" s="14" t="n"/>
      <c r="BR49" s="15" t="n"/>
      <c r="BS49" s="16">
        <f>IFERROR(BQ49*BR49, 0)</f>
        <v/>
      </c>
      <c r="BT49" s="14" t="n">
        <v>37</v>
      </c>
      <c r="BU49" s="15" t="n">
        <v>7700</v>
      </c>
      <c r="BV49" s="16" t="n">
        <v>284900</v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" customFormat="1" customHeight="1" s="18">
      <c r="A50" s="11" t="inlineStr">
        <is>
          <t xml:space="preserve">Pescado bagre </t>
        </is>
      </c>
      <c r="B50" s="11" t="inlineStr">
        <is>
          <t>Kg</t>
        </is>
      </c>
      <c r="C50" s="12" t="n"/>
      <c r="D50" s="13" t="n"/>
      <c r="E50" s="13" t="n">
        <v>0</v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" customFormat="1" customHeight="1" s="18">
      <c r="A51" s="11" t="inlineStr">
        <is>
          <t>Pezuña</t>
        </is>
      </c>
      <c r="B51" s="11" t="inlineStr">
        <is>
          <t>Kg</t>
        </is>
      </c>
      <c r="C51" s="12" t="n"/>
      <c r="D51" s="13" t="n"/>
      <c r="E51" s="13" t="n">
        <v>0</v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>
        <v>8.044</v>
      </c>
      <c r="S51" s="15" t="n">
        <v>9699</v>
      </c>
      <c r="T51" s="16" t="n">
        <v>78027</v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>
        <v>6.065</v>
      </c>
      <c r="AB51" s="15" t="n">
        <v>9700</v>
      </c>
      <c r="AC51" s="16" t="n">
        <v>58831</v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>
        <v>11.812</v>
      </c>
      <c r="AN51" s="15" t="n">
        <v>9700</v>
      </c>
      <c r="AO51" s="16" t="n">
        <v>114577</v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>
        <v>8.972</v>
      </c>
      <c r="BX51" s="15" t="n">
        <v>9700</v>
      </c>
      <c r="BY51" s="16" t="n">
        <v>87028</v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" customFormat="1" customHeight="1" s="18">
      <c r="A52" s="11" t="inlineStr">
        <is>
          <t>Punta de anca</t>
        </is>
      </c>
      <c r="B52" s="11" t="inlineStr">
        <is>
          <t>Kg</t>
        </is>
      </c>
      <c r="C52" s="12" t="n"/>
      <c r="D52" s="13" t="n"/>
      <c r="E52" s="13" t="n">
        <v>0</v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>
        <v>15.5</v>
      </c>
      <c r="AH52" s="15" t="n">
        <v>44000</v>
      </c>
      <c r="AI52" s="16" t="n">
        <v>682000</v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>
        <v>32.5</v>
      </c>
      <c r="BC52" s="15" t="n">
        <v>44000</v>
      </c>
      <c r="BD52" s="16" t="n">
        <v>1430000</v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>
        <v>6.355</v>
      </c>
      <c r="BU52" s="15" t="n">
        <v>57900</v>
      </c>
      <c r="BV52" s="16" t="n">
        <v>367955</v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" customFormat="1" customHeight="1" s="18">
      <c r="A53" s="11" t="inlineStr">
        <is>
          <t>Rellena</t>
        </is>
      </c>
      <c r="B53" s="11" t="inlineStr">
        <is>
          <t>Kg</t>
        </is>
      </c>
      <c r="C53" s="12" t="n"/>
      <c r="D53" s="13" t="n"/>
      <c r="E53" s="13" t="n">
        <v>0</v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/>
      <c r="AH53" s="15" t="n"/>
      <c r="AI53" s="16">
        <f>IFERROR(AG53*AH53, 0)</f>
        <v/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>
        <v>3</v>
      </c>
      <c r="BF53" s="15" t="n">
        <v>20000</v>
      </c>
      <c r="BG53" s="16" t="n">
        <v>60000</v>
      </c>
      <c r="BH53" s="14" t="n"/>
      <c r="BI53" s="15" t="n"/>
      <c r="BJ53" s="16">
        <f>IFERROR(BH53*BI53, 0)</f>
        <v/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/>
      <c r="BR53" s="15" t="n"/>
      <c r="BS53" s="16">
        <f>IFERROR(BQ53*BR53, 0)</f>
        <v/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" customFormat="1" customHeight="1" s="18">
      <c r="A54" s="11" t="inlineStr">
        <is>
          <t>Salchicha</t>
        </is>
      </c>
      <c r="B54" s="11" t="inlineStr">
        <is>
          <t>Kg</t>
        </is>
      </c>
      <c r="C54" s="12" t="n"/>
      <c r="D54" s="13" t="n"/>
      <c r="E54" s="13" t="n">
        <v>0</v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/>
      <c r="AH54" s="15" t="n"/>
      <c r="AI54" s="16">
        <f>IFERROR(AG54*AH54, 0)</f>
        <v/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" customFormat="1" customHeight="1" s="18">
      <c r="A55" s="11" t="inlineStr">
        <is>
          <t>Salmon</t>
        </is>
      </c>
      <c r="B55" s="11" t="inlineStr">
        <is>
          <t>Kg</t>
        </is>
      </c>
      <c r="C55" s="12" t="n"/>
      <c r="D55" s="13" t="n"/>
      <c r="E55" s="13" t="n">
        <v>0</v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/>
      <c r="P55" s="15" t="n"/>
      <c r="Q55" s="16">
        <f>IFERROR(O55*P55, 0)</f>
        <v/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>
        <v>55</v>
      </c>
      <c r="AE55" s="15" t="n">
        <v>7250</v>
      </c>
      <c r="AF55" s="16" t="n">
        <v>398750</v>
      </c>
      <c r="AG55" s="14" t="n"/>
      <c r="AH55" s="15" t="n"/>
      <c r="AI55" s="16">
        <f>IFERROR(AG55*AH55, 0)</f>
        <v/>
      </c>
      <c r="AJ55" s="14" t="n"/>
      <c r="AK55" s="15" t="n"/>
      <c r="AL55" s="16">
        <f>IFERROR(AJ55*AK55, 0)</f>
        <v/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/>
      <c r="AW55" s="15" t="n"/>
      <c r="AX55" s="16">
        <f>IFERROR(AV55*AW55, 0)</f>
        <v/>
      </c>
      <c r="AY55" s="14" t="n"/>
      <c r="AZ55" s="15" t="n"/>
      <c r="BA55" s="16">
        <f>IFERROR(AY55*AZ55, 0)</f>
        <v/>
      </c>
      <c r="BB55" s="14" t="n"/>
      <c r="BC55" s="15" t="n"/>
      <c r="BD55" s="16">
        <f>IFERROR(BB55*BC55, 0)</f>
        <v/>
      </c>
      <c r="BE55" s="14" t="n"/>
      <c r="BF55" s="15" t="n"/>
      <c r="BG55" s="16">
        <f>IFERROR(BE55*BF55, 0)</f>
        <v/>
      </c>
      <c r="BH55" s="14" t="n"/>
      <c r="BI55" s="15" t="n"/>
      <c r="BJ55" s="16">
        <f>IFERROR(BH55*BI55, 0)</f>
        <v/>
      </c>
      <c r="BK55" s="14" t="n"/>
      <c r="BL55" s="15" t="n"/>
      <c r="BM55" s="16">
        <f>IFERROR(BK55*BL55, 0)</f>
        <v/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  <row r="56" ht="15.75" customFormat="1" customHeight="1" s="18">
      <c r="A56" s="11" t="inlineStr">
        <is>
          <t>Sobaco</t>
        </is>
      </c>
      <c r="B56" s="11" t="inlineStr">
        <is>
          <t>Kg</t>
        </is>
      </c>
      <c r="C56" s="12" t="n"/>
      <c r="D56" s="13" t="n"/>
      <c r="E56" s="13" t="n">
        <v>0</v>
      </c>
      <c r="F56" s="14" t="n"/>
      <c r="G56" s="15" t="n"/>
      <c r="H56" s="16">
        <f>IFERROR(F56*G56, 0)</f>
        <v/>
      </c>
      <c r="I56" s="14" t="n">
        <v>21.71</v>
      </c>
      <c r="J56" s="15" t="n">
        <v>25900</v>
      </c>
      <c r="K56" s="16" t="n">
        <v>562289</v>
      </c>
      <c r="L56" s="14" t="n"/>
      <c r="M56" s="15" t="n"/>
      <c r="N56" s="16">
        <f>IFERROR(L56*M56, 0)</f>
        <v/>
      </c>
      <c r="O56" s="14" t="n"/>
      <c r="P56" s="15" t="n"/>
      <c r="Q56" s="16">
        <f>IFERROR(O56*P56, 0)</f>
        <v/>
      </c>
      <c r="R56" s="14" t="n"/>
      <c r="S56" s="15" t="n"/>
      <c r="T56" s="16">
        <f>IFERROR(R56*S56, 0)</f>
        <v/>
      </c>
      <c r="U56" s="14" t="n"/>
      <c r="V56" s="15" t="n"/>
      <c r="W56" s="16">
        <f>IFERROR(U56*V56, 0)</f>
        <v/>
      </c>
      <c r="X56" s="14" t="n"/>
      <c r="Y56" s="15" t="n"/>
      <c r="Z56" s="16">
        <f>IFERROR(X56*Y56, 0)</f>
        <v/>
      </c>
      <c r="AA56" s="14" t="n"/>
      <c r="AB56" s="15" t="n"/>
      <c r="AC56" s="16">
        <f>IFERROR(AA56*AB56, 0)</f>
        <v/>
      </c>
      <c r="AD56" s="14" t="n">
        <v>18.1</v>
      </c>
      <c r="AE56" s="15" t="n">
        <v>25900</v>
      </c>
      <c r="AF56" s="16" t="n">
        <v>468790</v>
      </c>
      <c r="AG56" s="14" t="n"/>
      <c r="AH56" s="15" t="n"/>
      <c r="AI56" s="16">
        <f>IFERROR(AG56*AH56, 0)</f>
        <v/>
      </c>
      <c r="AJ56" s="14" t="n"/>
      <c r="AK56" s="15" t="n"/>
      <c r="AL56" s="16">
        <f>IFERROR(AJ56*AK56, 0)</f>
        <v/>
      </c>
      <c r="AM56" s="14" t="n"/>
      <c r="AN56" s="15" t="n"/>
      <c r="AO56" s="16">
        <f>IFERROR(AM56*AN56, 0)</f>
        <v/>
      </c>
      <c r="AP56" s="14" t="n"/>
      <c r="AQ56" s="15" t="n"/>
      <c r="AR56" s="16">
        <f>IFERROR(AP56*AQ56, 0)</f>
        <v/>
      </c>
      <c r="AS56" s="14" t="n"/>
      <c r="AT56" s="15" t="n"/>
      <c r="AU56" s="16">
        <f>IFERROR(AS56*AT56, 0)</f>
        <v/>
      </c>
      <c r="AV56" s="14" t="n"/>
      <c r="AW56" s="15" t="n"/>
      <c r="AX56" s="16">
        <f>IFERROR(AV56*AW56, 0)</f>
        <v/>
      </c>
      <c r="AY56" s="14" t="n"/>
      <c r="AZ56" s="15" t="n"/>
      <c r="BA56" s="16">
        <f>IFERROR(AY56*AZ56, 0)</f>
        <v/>
      </c>
      <c r="BB56" s="14" t="n"/>
      <c r="BC56" s="15" t="n"/>
      <c r="BD56" s="16">
        <f>IFERROR(BB56*BC56, 0)</f>
        <v/>
      </c>
      <c r="BE56" s="14" t="n"/>
      <c r="BF56" s="15" t="n"/>
      <c r="BG56" s="16">
        <f>IFERROR(BE56*BF56, 0)</f>
        <v/>
      </c>
      <c r="BH56" s="14" t="n"/>
      <c r="BI56" s="15" t="n"/>
      <c r="BJ56" s="16">
        <f>IFERROR(BH56*BI56, 0)</f>
        <v/>
      </c>
      <c r="BK56" s="14" t="n"/>
      <c r="BL56" s="15" t="n"/>
      <c r="BM56" s="16">
        <f>IFERROR(BK56*BL56, 0)</f>
        <v/>
      </c>
      <c r="BN56" s="14" t="n"/>
      <c r="BO56" s="15" t="n"/>
      <c r="BP56" s="16">
        <f>IFERROR(BN56*BO56, 0)</f>
        <v/>
      </c>
      <c r="BQ56" s="14" t="n"/>
      <c r="BR56" s="15" t="n"/>
      <c r="BS56" s="16">
        <f>IFERROR(BQ56*BR56, 0)</f>
        <v/>
      </c>
      <c r="BT56" s="14" t="n"/>
      <c r="BU56" s="15" t="n"/>
      <c r="BV56" s="16">
        <f>IFERROR(BT56*BU56, 0)</f>
        <v/>
      </c>
      <c r="BW56" s="14" t="n"/>
      <c r="BX56" s="15" t="n"/>
      <c r="BY56" s="16">
        <f>IFERROR(BW56*BX56, 0)</f>
        <v/>
      </c>
      <c r="BZ56" s="14" t="n"/>
      <c r="CA56" s="15" t="n"/>
      <c r="CB56" s="16">
        <f>IFERROR(BZ56*CA56, 0)</f>
        <v/>
      </c>
      <c r="CC56" s="14" t="n"/>
      <c r="CD56" s="15" t="n"/>
      <c r="CE56" s="16">
        <f>IFERROR(CC56*CD56, 0)</f>
        <v/>
      </c>
      <c r="CF56" s="14" t="n"/>
      <c r="CG56" s="15" t="n"/>
      <c r="CH56" s="16">
        <f>IFERROR(CF56*CG56, 0)</f>
        <v/>
      </c>
      <c r="CI56" s="14" t="n"/>
      <c r="CJ56" s="15" t="n"/>
      <c r="CK56" s="16">
        <f>IFERROR(CI56*CJ56, 0)</f>
        <v/>
      </c>
      <c r="CL56" s="14" t="n"/>
      <c r="CM56" s="15" t="n"/>
      <c r="CN56" s="16">
        <f>IFERROR(CL56*CM56, 0)</f>
        <v/>
      </c>
      <c r="CO56" s="14" t="n"/>
      <c r="CP56" s="15" t="n"/>
      <c r="CQ56" s="16">
        <f>IFERROR(CO56*CP56, 0)</f>
        <v/>
      </c>
      <c r="CR56" s="14" t="n"/>
      <c r="CS56" s="15" t="n"/>
      <c r="CT56" s="16">
        <f>IFERROR(CR56*CS56, 0)</f>
        <v/>
      </c>
      <c r="CU56" s="17">
        <f>IFERROR(SUM(F56,I56,L56,O56,R56,U56,X56,AA56,AD56,AG56,AJ56,AM56,AP56,AS56,AV56,AY56,BB56,BE56,BH56,BK56,BN56,BQ56,BT56,BW56,BZ56,CC56,CF56,CI56,CL56,CO56,CR56), 0)</f>
        <v/>
      </c>
      <c r="CV56" s="16">
        <f>IFERROR(AVERAGE(G56,J56,M56,P56,S56,V56,Y56,AB56,AE56,AH56,AK56,AN56,AQ56,AT56,AW56,AZ56,BC56,BF56,BI56,BL56,BO56,BR56,BU56,BX56,CA56,CD56,CG56,CJ56,CM56,CP56,CS56), 0)</f>
        <v/>
      </c>
      <c r="CW56" s="16">
        <f>CU56*CV56</f>
        <v/>
      </c>
    </row>
    <row r="57" ht="15" customFormat="1" customHeight="1" s="18">
      <c r="A57" s="11" t="inlineStr">
        <is>
          <t>Sobrebarriga delgada</t>
        </is>
      </c>
      <c r="B57" s="11" t="inlineStr">
        <is>
          <t>Kg</t>
        </is>
      </c>
      <c r="C57" s="12" t="n"/>
      <c r="D57" s="13" t="n"/>
      <c r="E57" s="13" t="n">
        <v>0</v>
      </c>
      <c r="F57" s="14" t="n">
        <v>9.27</v>
      </c>
      <c r="G57" s="15" t="n">
        <v>30500</v>
      </c>
      <c r="H57" s="16" t="n">
        <v>282735</v>
      </c>
      <c r="I57" s="14" t="n">
        <v>22.8</v>
      </c>
      <c r="J57" s="15" t="n">
        <v>34500</v>
      </c>
      <c r="K57" s="16" t="n">
        <v>786600</v>
      </c>
      <c r="L57" s="14" t="n"/>
      <c r="M57" s="15" t="n"/>
      <c r="N57" s="16">
        <f>IFERROR(L57*M57, 0)</f>
        <v/>
      </c>
      <c r="O57" s="14" t="n"/>
      <c r="P57" s="15" t="n"/>
      <c r="Q57" s="16">
        <f>IFERROR(O57*P57, 0)</f>
        <v/>
      </c>
      <c r="R57" s="14" t="n"/>
      <c r="S57" s="15" t="n"/>
      <c r="T57" s="16">
        <f>IFERROR(R57*S57, 0)</f>
        <v/>
      </c>
      <c r="U57" s="14" t="n"/>
      <c r="V57" s="15" t="n"/>
      <c r="W57" s="16">
        <f>IFERROR(U57*V57, 0)</f>
        <v/>
      </c>
      <c r="X57" s="14" t="n">
        <v>21.8</v>
      </c>
      <c r="Y57" s="15" t="n">
        <v>34500</v>
      </c>
      <c r="Z57" s="16" t="n">
        <v>752100</v>
      </c>
      <c r="AA57" s="14" t="n"/>
      <c r="AB57" s="15" t="n"/>
      <c r="AC57" s="16">
        <f>IFERROR(AA57*AB57, 0)</f>
        <v/>
      </c>
      <c r="AD57" s="14" t="n"/>
      <c r="AE57" s="15" t="n"/>
      <c r="AF57" s="16">
        <f>IFERROR(AD57*AE57, 0)</f>
        <v/>
      </c>
      <c r="AG57" s="14" t="n"/>
      <c r="AH57" s="15" t="n"/>
      <c r="AI57" s="16">
        <f>IFERROR(AG57*AH57, 0)</f>
        <v/>
      </c>
      <c r="AJ57" s="14" t="n"/>
      <c r="AK57" s="15" t="n"/>
      <c r="AL57" s="16">
        <f>IFERROR(AJ57*AK57, 0)</f>
        <v/>
      </c>
      <c r="AM57" s="14" t="n"/>
      <c r="AN57" s="15" t="n"/>
      <c r="AO57" s="16">
        <f>IFERROR(AM57*AN57, 0)</f>
        <v/>
      </c>
      <c r="AP57" s="14" t="n"/>
      <c r="AQ57" s="15" t="n"/>
      <c r="AR57" s="16">
        <f>IFERROR(AP57*AQ57, 0)</f>
        <v/>
      </c>
      <c r="AS57" s="14" t="n"/>
      <c r="AT57" s="15" t="n"/>
      <c r="AU57" s="16">
        <f>IFERROR(AS57*AT57, 0)</f>
        <v/>
      </c>
      <c r="AV57" s="14" t="n"/>
      <c r="AW57" s="15" t="n"/>
      <c r="AX57" s="16">
        <f>IFERROR(AV57*AW57, 0)</f>
        <v/>
      </c>
      <c r="AY57" s="14" t="n"/>
      <c r="AZ57" s="15" t="n"/>
      <c r="BA57" s="16">
        <f>IFERROR(AY57*AZ57, 0)</f>
        <v/>
      </c>
      <c r="BB57" s="14" t="n">
        <v>30.6</v>
      </c>
      <c r="BC57" s="15" t="n">
        <v>34500</v>
      </c>
      <c r="BD57" s="16" t="n">
        <v>1055700</v>
      </c>
      <c r="BE57" s="14" t="n"/>
      <c r="BF57" s="15" t="n"/>
      <c r="BG57" s="16">
        <f>IFERROR(BE57*BF57, 0)</f>
        <v/>
      </c>
      <c r="BH57" s="14" t="n"/>
      <c r="BI57" s="15" t="n"/>
      <c r="BJ57" s="16">
        <f>IFERROR(BH57*BI57, 0)</f>
        <v/>
      </c>
      <c r="BK57" s="14" t="n"/>
      <c r="BL57" s="15" t="n"/>
      <c r="BM57" s="16">
        <f>IFERROR(BK57*BL57, 0)</f>
        <v/>
      </c>
      <c r="BN57" s="14" t="n">
        <v>10</v>
      </c>
      <c r="BO57" s="15" t="n">
        <v>30000</v>
      </c>
      <c r="BP57" s="16" t="n">
        <v>300000</v>
      </c>
      <c r="BQ57" s="14" t="n"/>
      <c r="BR57" s="15" t="n"/>
      <c r="BS57" s="16">
        <f>IFERROR(BQ57*BR57, 0)</f>
        <v/>
      </c>
      <c r="BT57" s="14" t="n">
        <v>17.05</v>
      </c>
      <c r="BU57" s="15" t="n">
        <v>34500</v>
      </c>
      <c r="BV57" s="16" t="n">
        <v>588225</v>
      </c>
      <c r="BW57" s="14" t="n"/>
      <c r="BX57" s="15" t="n"/>
      <c r="BY57" s="16">
        <f>IFERROR(BW57*BX57, 0)</f>
        <v/>
      </c>
      <c r="BZ57" s="14" t="n"/>
      <c r="CA57" s="15" t="n"/>
      <c r="CB57" s="16">
        <f>IFERROR(BZ57*CA57, 0)</f>
        <v/>
      </c>
      <c r="CC57" s="14" t="n"/>
      <c r="CD57" s="15" t="n"/>
      <c r="CE57" s="16">
        <f>IFERROR(CC57*CD57, 0)</f>
        <v/>
      </c>
      <c r="CF57" s="14" t="n"/>
      <c r="CG57" s="15" t="n"/>
      <c r="CH57" s="16">
        <f>IFERROR(CF57*CG57, 0)</f>
        <v/>
      </c>
      <c r="CI57" s="14" t="n"/>
      <c r="CJ57" s="15" t="n"/>
      <c r="CK57" s="16">
        <f>IFERROR(CI57*CJ57, 0)</f>
        <v/>
      </c>
      <c r="CL57" s="14" t="n"/>
      <c r="CM57" s="15" t="n"/>
      <c r="CN57" s="16">
        <f>IFERROR(CL57*CM57, 0)</f>
        <v/>
      </c>
      <c r="CO57" s="14" t="n"/>
      <c r="CP57" s="15" t="n"/>
      <c r="CQ57" s="16">
        <f>IFERROR(CO57*CP57, 0)</f>
        <v/>
      </c>
      <c r="CR57" s="14" t="n"/>
      <c r="CS57" s="15" t="n"/>
      <c r="CT57" s="16">
        <f>IFERROR(CR57*CS57, 0)</f>
        <v/>
      </c>
      <c r="CU57" s="17">
        <f>IFERROR(SUM(F57,I57,L57,O57,R57,U57,X57,AA57,AD57,AG57,AJ57,AM57,AP57,AS57,AV57,AY57,BB57,BE57,BH57,BK57,BN57,BQ57,BT57,BW57,BZ57,CC57,CF57,CI57,CL57,CO57,CR57), 0)</f>
        <v/>
      </c>
      <c r="CV57" s="16">
        <f>IFERROR(AVERAGE(G57,J57,M57,P57,S57,V57,Y57,AB57,AE57,AH57,AK57,AN57,AQ57,AT57,AW57,AZ57,BC57,BF57,BI57,BL57,BO57,BR57,BU57,BX57,CA57,CD57,CG57,CJ57,CM57,CP57,CS57), 0)</f>
        <v/>
      </c>
      <c r="CW57" s="16">
        <f>CU57*CV57</f>
        <v/>
      </c>
    </row>
    <row r="58" ht="15" customFormat="1" customHeight="1" s="18">
      <c r="A58" s="11" t="inlineStr">
        <is>
          <t>Tamal</t>
        </is>
      </c>
      <c r="B58" s="11" t="inlineStr">
        <is>
          <t>Und</t>
        </is>
      </c>
      <c r="C58" s="12" t="n"/>
      <c r="D58" s="13" t="n"/>
      <c r="E58" s="13" t="n">
        <v>0</v>
      </c>
      <c r="F58" s="14" t="n"/>
      <c r="G58" s="15" t="n"/>
      <c r="H58" s="16">
        <f>IFERROR(F58*G58, 0)</f>
        <v/>
      </c>
      <c r="I58" s="14" t="n"/>
      <c r="J58" s="15" t="n"/>
      <c r="K58" s="16">
        <f>IFERROR(I58*J58, 0)</f>
        <v/>
      </c>
      <c r="L58" s="14" t="n"/>
      <c r="M58" s="15" t="n"/>
      <c r="N58" s="16">
        <f>IFERROR(L58*M58, 0)</f>
        <v/>
      </c>
      <c r="O58" s="14" t="n"/>
      <c r="P58" s="15" t="n"/>
      <c r="Q58" s="16">
        <f>IFERROR(O58*P58, 0)</f>
        <v/>
      </c>
      <c r="R58" s="14" t="n"/>
      <c r="S58" s="15" t="n"/>
      <c r="T58" s="16">
        <f>IFERROR(R58*S58, 0)</f>
        <v/>
      </c>
      <c r="U58" s="14" t="n"/>
      <c r="V58" s="15" t="n"/>
      <c r="W58" s="16">
        <f>IFERROR(U58*V58, 0)</f>
        <v/>
      </c>
      <c r="X58" s="14" t="n"/>
      <c r="Y58" s="15" t="n"/>
      <c r="Z58" s="16">
        <f>IFERROR(X58*Y58, 0)</f>
        <v/>
      </c>
      <c r="AA58" s="14" t="n"/>
      <c r="AB58" s="15" t="n"/>
      <c r="AC58" s="16">
        <f>IFERROR(AA58*AB58, 0)</f>
        <v/>
      </c>
      <c r="AD58" s="14" t="n"/>
      <c r="AE58" s="15" t="n"/>
      <c r="AF58" s="16">
        <f>IFERROR(AD58*AE58, 0)</f>
        <v/>
      </c>
      <c r="AG58" s="14" t="n"/>
      <c r="AH58" s="15" t="n"/>
      <c r="AI58" s="16">
        <f>IFERROR(AG58*AH58, 0)</f>
        <v/>
      </c>
      <c r="AJ58" s="14" t="n"/>
      <c r="AK58" s="15" t="n"/>
      <c r="AL58" s="16">
        <f>IFERROR(AJ58*AK58, 0)</f>
        <v/>
      </c>
      <c r="AM58" s="14" t="n"/>
      <c r="AN58" s="15" t="n"/>
      <c r="AO58" s="16">
        <f>IFERROR(AM58*AN58, 0)</f>
        <v/>
      </c>
      <c r="AP58" s="14" t="n"/>
      <c r="AQ58" s="15" t="n"/>
      <c r="AR58" s="16">
        <f>IFERROR(AP58*AQ58, 0)</f>
        <v/>
      </c>
      <c r="AS58" s="14" t="n"/>
      <c r="AT58" s="15" t="n"/>
      <c r="AU58" s="16">
        <f>IFERROR(AS58*AT58, 0)</f>
        <v/>
      </c>
      <c r="AV58" s="14" t="n"/>
      <c r="AW58" s="15" t="n"/>
      <c r="AX58" s="16">
        <f>IFERROR(AV58*AW58, 0)</f>
        <v/>
      </c>
      <c r="AY58" s="14" t="n"/>
      <c r="AZ58" s="15" t="n"/>
      <c r="BA58" s="16">
        <f>IFERROR(AY58*AZ58, 0)</f>
        <v/>
      </c>
      <c r="BB58" s="14" t="n"/>
      <c r="BC58" s="15" t="n"/>
      <c r="BD58" s="16">
        <f>IFERROR(BB58*BC58, 0)</f>
        <v/>
      </c>
      <c r="BE58" s="14" t="n"/>
      <c r="BF58" s="15" t="n"/>
      <c r="BG58" s="16">
        <f>IFERROR(BE58*BF58, 0)</f>
        <v/>
      </c>
      <c r="BH58" s="14" t="n"/>
      <c r="BI58" s="15" t="n"/>
      <c r="BJ58" s="16">
        <f>IFERROR(BH58*BI58, 0)</f>
        <v/>
      </c>
      <c r="BK58" s="14" t="n"/>
      <c r="BL58" s="15" t="n"/>
      <c r="BM58" s="16">
        <f>IFERROR(BK58*BL58, 0)</f>
        <v/>
      </c>
      <c r="BN58" s="14" t="n"/>
      <c r="BO58" s="15" t="n"/>
      <c r="BP58" s="16">
        <f>IFERROR(BN58*BO58, 0)</f>
        <v/>
      </c>
      <c r="BQ58" s="14" t="n"/>
      <c r="BR58" s="15" t="n"/>
      <c r="BS58" s="16">
        <f>IFERROR(BQ58*BR58, 0)</f>
        <v/>
      </c>
      <c r="BT58" s="14" t="n"/>
      <c r="BU58" s="15" t="n"/>
      <c r="BV58" s="16">
        <f>IFERROR(BT58*BU58, 0)</f>
        <v/>
      </c>
      <c r="BW58" s="14" t="n"/>
      <c r="BX58" s="15" t="n"/>
      <c r="BY58" s="16">
        <f>IFERROR(BW58*BX58, 0)</f>
        <v/>
      </c>
      <c r="BZ58" s="14" t="n"/>
      <c r="CA58" s="15" t="n"/>
      <c r="CB58" s="16">
        <f>IFERROR(BZ58*CA58, 0)</f>
        <v/>
      </c>
      <c r="CC58" s="14" t="n"/>
      <c r="CD58" s="15" t="n"/>
      <c r="CE58" s="16">
        <f>IFERROR(CC58*CD58, 0)</f>
        <v/>
      </c>
      <c r="CF58" s="14" t="n"/>
      <c r="CG58" s="15" t="n"/>
      <c r="CH58" s="16">
        <f>IFERROR(CF58*CG58, 0)</f>
        <v/>
      </c>
      <c r="CI58" s="14" t="n"/>
      <c r="CJ58" s="15" t="n"/>
      <c r="CK58" s="16">
        <f>IFERROR(CI58*CJ58, 0)</f>
        <v/>
      </c>
      <c r="CL58" s="14" t="n"/>
      <c r="CM58" s="15" t="n"/>
      <c r="CN58" s="16">
        <f>IFERROR(CL58*CM58, 0)</f>
        <v/>
      </c>
      <c r="CO58" s="14" t="n"/>
      <c r="CP58" s="15" t="n"/>
      <c r="CQ58" s="16">
        <f>IFERROR(CO58*CP58, 0)</f>
        <v/>
      </c>
      <c r="CR58" s="14" t="n"/>
      <c r="CS58" s="15" t="n"/>
      <c r="CT58" s="16">
        <f>IFERROR(CR58*CS58, 0)</f>
        <v/>
      </c>
      <c r="CU58" s="17">
        <f>IFERROR(SUM(F58,I58,L58,O58,R58,U58,X58,AA58,AD58,AG58,AJ58,AM58,AP58,AS58,AV58,AY58,BB58,BE58,BH58,BK58,BN58,BQ58,BT58,BW58,BZ58,CC58,CF58,CI58,CL58,CO58,CR58), 0)</f>
        <v/>
      </c>
      <c r="CV58" s="16">
        <f>IFERROR(AVERAGE(G58,J58,M58,P58,S58,V58,Y58,AB58,AE58,AH58,AK58,AN58,AQ58,AT58,AW58,AZ58,BC58,BF58,BI58,BL58,BO58,BR58,BU58,BX58,CA58,CD58,CG58,CJ58,CM58,CP58,CS58), 0)</f>
        <v/>
      </c>
      <c r="CW58" s="16">
        <f>CU58*CV58</f>
        <v/>
      </c>
    </row>
    <row r="59" ht="15" customFormat="1" customHeight="1" s="18">
      <c r="A59" s="11" t="inlineStr">
        <is>
          <t>Tilapia 350/450</t>
        </is>
      </c>
      <c r="B59" s="11" t="inlineStr">
        <is>
          <t>Kg</t>
        </is>
      </c>
      <c r="C59" s="12" t="n"/>
      <c r="D59" s="13" t="n"/>
      <c r="E59" s="13" t="n">
        <v>0</v>
      </c>
      <c r="F59" s="14" t="n"/>
      <c r="G59" s="15" t="n"/>
      <c r="H59" s="16">
        <f>IFERROR(F59*G59, 0)</f>
        <v/>
      </c>
      <c r="I59" s="14" t="n"/>
      <c r="J59" s="15" t="n"/>
      <c r="K59" s="16">
        <f>IFERROR(I59*J59, 0)</f>
        <v/>
      </c>
      <c r="L59" s="14" t="n"/>
      <c r="M59" s="15" t="n"/>
      <c r="N59" s="16">
        <f>IFERROR(L59*M59, 0)</f>
        <v/>
      </c>
      <c r="O59" s="14" t="n"/>
      <c r="P59" s="15" t="n"/>
      <c r="Q59" s="16">
        <f>IFERROR(O59*P59, 0)</f>
        <v/>
      </c>
      <c r="R59" s="14" t="n"/>
      <c r="S59" s="15" t="n"/>
      <c r="T59" s="16">
        <f>IFERROR(R59*S59, 0)</f>
        <v/>
      </c>
      <c r="U59" s="14" t="n"/>
      <c r="V59" s="15" t="n"/>
      <c r="W59" s="16">
        <f>IFERROR(U59*V59, 0)</f>
        <v/>
      </c>
      <c r="X59" s="14" t="n"/>
      <c r="Y59" s="15" t="n"/>
      <c r="Z59" s="16">
        <f>IFERROR(X59*Y59, 0)</f>
        <v/>
      </c>
      <c r="AA59" s="14" t="n"/>
      <c r="AB59" s="15" t="n"/>
      <c r="AC59" s="16">
        <f>IFERROR(AA59*AB59, 0)</f>
        <v/>
      </c>
      <c r="AD59" s="14" t="n"/>
      <c r="AE59" s="15" t="n"/>
      <c r="AF59" s="16">
        <f>IFERROR(AD59*AE59, 0)</f>
        <v/>
      </c>
      <c r="AG59" s="14" t="n"/>
      <c r="AH59" s="15" t="n"/>
      <c r="AI59" s="16">
        <f>IFERROR(AG59*AH59, 0)</f>
        <v/>
      </c>
      <c r="AJ59" s="14" t="n"/>
      <c r="AK59" s="15" t="n"/>
      <c r="AL59" s="16">
        <f>IFERROR(AJ59*AK59, 0)</f>
        <v/>
      </c>
      <c r="AM59" s="14" t="n"/>
      <c r="AN59" s="15" t="n"/>
      <c r="AO59" s="16">
        <f>IFERROR(AM59*AN59, 0)</f>
        <v/>
      </c>
      <c r="AP59" s="14" t="n"/>
      <c r="AQ59" s="15" t="n"/>
      <c r="AR59" s="16">
        <f>IFERROR(AP59*AQ59, 0)</f>
        <v/>
      </c>
      <c r="AS59" s="14" t="n"/>
      <c r="AT59" s="15" t="n"/>
      <c r="AU59" s="16">
        <f>IFERROR(AS59*AT59, 0)</f>
        <v/>
      </c>
      <c r="AV59" s="14" t="n"/>
      <c r="AW59" s="15" t="n"/>
      <c r="AX59" s="16">
        <f>IFERROR(AV59*AW59, 0)</f>
        <v/>
      </c>
      <c r="AY59" s="14" t="n"/>
      <c r="AZ59" s="15" t="n"/>
      <c r="BA59" s="16">
        <f>IFERROR(AY59*AZ59, 0)</f>
        <v/>
      </c>
      <c r="BB59" s="14" t="n"/>
      <c r="BC59" s="15" t="n"/>
      <c r="BD59" s="16">
        <f>IFERROR(BB59*BC59, 0)</f>
        <v/>
      </c>
      <c r="BE59" s="14" t="n"/>
      <c r="BF59" s="15" t="n"/>
      <c r="BG59" s="16">
        <f>IFERROR(BE59*BF59, 0)</f>
        <v/>
      </c>
      <c r="BH59" s="14" t="n"/>
      <c r="BI59" s="15" t="n"/>
      <c r="BJ59" s="16">
        <f>IFERROR(BH59*BI59, 0)</f>
        <v/>
      </c>
      <c r="BK59" s="14" t="n"/>
      <c r="BL59" s="15" t="n"/>
      <c r="BM59" s="16">
        <f>IFERROR(BK59*BL59, 0)</f>
        <v/>
      </c>
      <c r="BN59" s="14" t="n"/>
      <c r="BO59" s="15" t="n"/>
      <c r="BP59" s="16">
        <f>IFERROR(BN59*BO59, 0)</f>
        <v/>
      </c>
      <c r="BQ59" s="14" t="n"/>
      <c r="BR59" s="15" t="n"/>
      <c r="BS59" s="16">
        <f>IFERROR(BQ59*BR59, 0)</f>
        <v/>
      </c>
      <c r="BT59" s="14" t="n"/>
      <c r="BU59" s="15" t="n"/>
      <c r="BV59" s="16">
        <f>IFERROR(BT59*BU59, 0)</f>
        <v/>
      </c>
      <c r="BW59" s="14" t="n"/>
      <c r="BX59" s="15" t="n"/>
      <c r="BY59" s="16">
        <f>IFERROR(BW59*BX59, 0)</f>
        <v/>
      </c>
      <c r="BZ59" s="14" t="n"/>
      <c r="CA59" s="15" t="n"/>
      <c r="CB59" s="16">
        <f>IFERROR(BZ59*CA59, 0)</f>
        <v/>
      </c>
      <c r="CC59" s="14" t="n"/>
      <c r="CD59" s="15" t="n"/>
      <c r="CE59" s="16">
        <f>IFERROR(CC59*CD59, 0)</f>
        <v/>
      </c>
      <c r="CF59" s="14" t="n"/>
      <c r="CG59" s="15" t="n"/>
      <c r="CH59" s="16">
        <f>IFERROR(CF59*CG59, 0)</f>
        <v/>
      </c>
      <c r="CI59" s="14" t="n"/>
      <c r="CJ59" s="15" t="n"/>
      <c r="CK59" s="16">
        <f>IFERROR(CI59*CJ59, 0)</f>
        <v/>
      </c>
      <c r="CL59" s="14" t="n"/>
      <c r="CM59" s="15" t="n"/>
      <c r="CN59" s="16">
        <f>IFERROR(CL59*CM59, 0)</f>
        <v/>
      </c>
      <c r="CO59" s="14" t="n"/>
      <c r="CP59" s="15" t="n"/>
      <c r="CQ59" s="16">
        <f>IFERROR(CO59*CP59, 0)</f>
        <v/>
      </c>
      <c r="CR59" s="14" t="n"/>
      <c r="CS59" s="15" t="n"/>
      <c r="CT59" s="16">
        <f>IFERROR(CR59*CS59, 0)</f>
        <v/>
      </c>
      <c r="CU59" s="17">
        <f>IFERROR(SUM(F59,I59,L59,O59,R59,U59,X59,AA59,AD59,AG59,AJ59,AM59,AP59,AS59,AV59,AY59,BB59,BE59,BH59,BK59,BN59,BQ59,BT59,BW59,BZ59,CC59,CF59,CI59,CL59,CO59,CR59), 0)</f>
        <v/>
      </c>
      <c r="CV59" s="16">
        <f>IFERROR(AVERAGE(G59,J59,M59,P59,S59,V59,Y59,AB59,AE59,AH59,AK59,AN59,AQ59,AT59,AW59,AZ59,BC59,BF59,BI59,BL59,BO59,BR59,BU59,BX59,CA59,CD59,CG59,CJ59,CM59,CP59,CS59), 0)</f>
        <v/>
      </c>
      <c r="CW59" s="16">
        <f>CU59*CV59</f>
        <v/>
      </c>
    </row>
    <row r="60" ht="15" customFormat="1" customHeight="1" s="18">
      <c r="A60" s="11" t="inlineStr">
        <is>
          <t>Tilapia x 300</t>
        </is>
      </c>
      <c r="B60" s="11" t="inlineStr">
        <is>
          <t>Kg</t>
        </is>
      </c>
      <c r="C60" s="12" t="n"/>
      <c r="D60" s="13" t="n"/>
      <c r="E60" s="13" t="n">
        <v>0</v>
      </c>
      <c r="F60" s="14" t="n"/>
      <c r="G60" s="15" t="n"/>
      <c r="H60" s="16">
        <f>IFERROR(F60*G60, 0)</f>
        <v/>
      </c>
      <c r="I60" s="14" t="n"/>
      <c r="J60" s="15" t="n"/>
      <c r="K60" s="16">
        <f>IFERROR(I60*J60, 0)</f>
        <v/>
      </c>
      <c r="L60" s="14" t="n"/>
      <c r="M60" s="15" t="n"/>
      <c r="N60" s="16">
        <f>IFERROR(L60*M60, 0)</f>
        <v/>
      </c>
      <c r="O60" s="14" t="n"/>
      <c r="P60" s="15" t="n"/>
      <c r="Q60" s="16">
        <f>IFERROR(O60*P60, 0)</f>
        <v/>
      </c>
      <c r="R60" s="14" t="n"/>
      <c r="S60" s="15" t="n"/>
      <c r="T60" s="16">
        <f>IFERROR(R60*S60, 0)</f>
        <v/>
      </c>
      <c r="U60" s="14" t="n"/>
      <c r="V60" s="15" t="n"/>
      <c r="W60" s="16">
        <f>IFERROR(U60*V60, 0)</f>
        <v/>
      </c>
      <c r="X60" s="14" t="n"/>
      <c r="Y60" s="15" t="n"/>
      <c r="Z60" s="16">
        <f>IFERROR(X60*Y60, 0)</f>
        <v/>
      </c>
      <c r="AA60" s="14" t="n"/>
      <c r="AB60" s="15" t="n"/>
      <c r="AC60" s="16">
        <f>IFERROR(AA60*AB60, 0)</f>
        <v/>
      </c>
      <c r="AD60" s="14" t="n"/>
      <c r="AE60" s="15" t="n"/>
      <c r="AF60" s="16">
        <f>IFERROR(AD60*AE60, 0)</f>
        <v/>
      </c>
      <c r="AG60" s="14" t="n"/>
      <c r="AH60" s="15" t="n"/>
      <c r="AI60" s="16">
        <f>IFERROR(AG60*AH60, 0)</f>
        <v/>
      </c>
      <c r="AJ60" s="14" t="n"/>
      <c r="AK60" s="15" t="n"/>
      <c r="AL60" s="16">
        <f>IFERROR(AJ60*AK60, 0)</f>
        <v/>
      </c>
      <c r="AM60" s="14" t="n"/>
      <c r="AN60" s="15" t="n"/>
      <c r="AO60" s="16">
        <f>IFERROR(AM60*AN60, 0)</f>
        <v/>
      </c>
      <c r="AP60" s="14" t="n"/>
      <c r="AQ60" s="15" t="n"/>
      <c r="AR60" s="16">
        <f>IFERROR(AP60*AQ60, 0)</f>
        <v/>
      </c>
      <c r="AS60" s="14" t="n"/>
      <c r="AT60" s="15" t="n"/>
      <c r="AU60" s="16">
        <f>IFERROR(AS60*AT60, 0)</f>
        <v/>
      </c>
      <c r="AV60" s="14" t="n"/>
      <c r="AW60" s="15" t="n"/>
      <c r="AX60" s="16">
        <f>IFERROR(AV60*AW60, 0)</f>
        <v/>
      </c>
      <c r="AY60" s="14" t="n"/>
      <c r="AZ60" s="15" t="n"/>
      <c r="BA60" s="16">
        <f>IFERROR(AY60*AZ60, 0)</f>
        <v/>
      </c>
      <c r="BB60" s="14" t="n"/>
      <c r="BC60" s="15" t="n"/>
      <c r="BD60" s="16">
        <f>IFERROR(BB60*BC60, 0)</f>
        <v/>
      </c>
      <c r="BE60" s="14" t="n"/>
      <c r="BF60" s="15" t="n"/>
      <c r="BG60" s="16">
        <f>IFERROR(BE60*BF60, 0)</f>
        <v/>
      </c>
      <c r="BH60" s="14" t="n"/>
      <c r="BI60" s="15" t="n"/>
      <c r="BJ60" s="16">
        <f>IFERROR(BH60*BI60, 0)</f>
        <v/>
      </c>
      <c r="BK60" s="14" t="n"/>
      <c r="BL60" s="15" t="n"/>
      <c r="BM60" s="16">
        <f>IFERROR(BK60*BL60, 0)</f>
        <v/>
      </c>
      <c r="BN60" s="14" t="n"/>
      <c r="BO60" s="15" t="n"/>
      <c r="BP60" s="16">
        <f>IFERROR(BN60*BO60, 0)</f>
        <v/>
      </c>
      <c r="BQ60" s="14" t="n"/>
      <c r="BR60" s="15" t="n"/>
      <c r="BS60" s="16">
        <f>IFERROR(BQ60*BR60, 0)</f>
        <v/>
      </c>
      <c r="BT60" s="14" t="n"/>
      <c r="BU60" s="15" t="n"/>
      <c r="BV60" s="16">
        <f>IFERROR(BT60*BU60, 0)</f>
        <v/>
      </c>
      <c r="BW60" s="14" t="n"/>
      <c r="BX60" s="15" t="n"/>
      <c r="BY60" s="16">
        <f>IFERROR(BW60*BX60, 0)</f>
        <v/>
      </c>
      <c r="BZ60" s="14" t="n"/>
      <c r="CA60" s="15" t="n"/>
      <c r="CB60" s="16">
        <f>IFERROR(BZ60*CA60, 0)</f>
        <v/>
      </c>
      <c r="CC60" s="14" t="n"/>
      <c r="CD60" s="15" t="n"/>
      <c r="CE60" s="16">
        <f>IFERROR(CC60*CD60, 0)</f>
        <v/>
      </c>
      <c r="CF60" s="14" t="n"/>
      <c r="CG60" s="15" t="n"/>
      <c r="CH60" s="16">
        <f>IFERROR(CF60*CG60, 0)</f>
        <v/>
      </c>
      <c r="CI60" s="14" t="n"/>
      <c r="CJ60" s="15" t="n"/>
      <c r="CK60" s="16">
        <f>IFERROR(CI60*CJ60, 0)</f>
        <v/>
      </c>
      <c r="CL60" s="14" t="n"/>
      <c r="CM60" s="15" t="n"/>
      <c r="CN60" s="16">
        <f>IFERROR(CL60*CM60, 0)</f>
        <v/>
      </c>
      <c r="CO60" s="14" t="n"/>
      <c r="CP60" s="15" t="n"/>
      <c r="CQ60" s="16">
        <f>IFERROR(CO60*CP60, 0)</f>
        <v/>
      </c>
      <c r="CR60" s="14" t="n"/>
      <c r="CS60" s="15" t="n"/>
      <c r="CT60" s="16">
        <f>IFERROR(CR60*CS60, 0)</f>
        <v/>
      </c>
      <c r="CU60" s="17">
        <f>IFERROR(SUM(F60,I60,L60,O60,R60,U60,X60,AA60,AD60,AG60,AJ60,AM60,AP60,AS60,AV60,AY60,BB60,BE60,BH60,BK60,BN60,BQ60,BT60,BW60,BZ60,CC60,CF60,CI60,CL60,CO60,CR60), 0)</f>
        <v/>
      </c>
      <c r="CV60" s="16">
        <f>IFERROR(AVERAGE(G60,J60,M60,P60,S60,V60,Y60,AB60,AE60,AH60,AK60,AN60,AQ60,AT60,AW60,AZ60,BC60,BF60,BI60,BL60,BO60,BR60,BU60,BX60,CA60,CD60,CG60,CJ60,CM60,CP60,CS60), 0)</f>
        <v/>
      </c>
      <c r="CW60" s="16">
        <f>CU60*CV60</f>
        <v/>
      </c>
    </row>
    <row r="61" ht="15.75" customFormat="1" customHeight="1" s="18">
      <c r="A61" s="11" t="inlineStr">
        <is>
          <t>Tocineta barril</t>
        </is>
      </c>
      <c r="B61" s="11" t="inlineStr">
        <is>
          <t>Kg</t>
        </is>
      </c>
      <c r="C61" s="12" t="n"/>
      <c r="D61" s="13" t="n"/>
      <c r="E61" s="13" t="n">
        <v>0</v>
      </c>
      <c r="F61" s="14" t="n"/>
      <c r="G61" s="15" t="n"/>
      <c r="H61" s="16">
        <f>IFERROR(F61*G61, 0)</f>
        <v/>
      </c>
      <c r="I61" s="14" t="n">
        <v>66.65000000000001</v>
      </c>
      <c r="J61" s="15" t="n">
        <v>21900</v>
      </c>
      <c r="K61" s="16" t="n">
        <v>1459635</v>
      </c>
      <c r="L61" s="14" t="n"/>
      <c r="M61" s="15" t="n"/>
      <c r="N61" s="16">
        <f>IFERROR(L61*M61, 0)</f>
        <v/>
      </c>
      <c r="O61" s="14" t="n">
        <v>61.65</v>
      </c>
      <c r="P61" s="15" t="n">
        <v>21900</v>
      </c>
      <c r="Q61" s="16" t="n">
        <v>1350135</v>
      </c>
      <c r="R61" s="14" t="n"/>
      <c r="S61" s="15" t="n"/>
      <c r="T61" s="16">
        <f>IFERROR(R61*S61, 0)</f>
        <v/>
      </c>
      <c r="U61" s="14" t="n"/>
      <c r="V61" s="15" t="n"/>
      <c r="W61" s="16">
        <f>IFERROR(U61*V61, 0)</f>
        <v/>
      </c>
      <c r="X61" s="14" t="n">
        <v>62.7</v>
      </c>
      <c r="Y61" s="15" t="n">
        <v>21900</v>
      </c>
      <c r="Z61" s="16" t="n">
        <v>1373130</v>
      </c>
      <c r="AA61" s="14" t="n"/>
      <c r="AB61" s="15" t="n"/>
      <c r="AC61" s="16">
        <f>IFERROR(AA61*AB61, 0)</f>
        <v/>
      </c>
      <c r="AD61" s="14" t="n"/>
      <c r="AE61" s="15" t="n"/>
      <c r="AF61" s="16">
        <f>IFERROR(AD61*AE61, 0)</f>
        <v/>
      </c>
      <c r="AG61" s="14" t="n">
        <v>151.95</v>
      </c>
      <c r="AH61" s="15" t="n">
        <v>21900</v>
      </c>
      <c r="AI61" s="16" t="n">
        <v>3327705</v>
      </c>
      <c r="AJ61" s="14" t="n"/>
      <c r="AK61" s="15" t="n"/>
      <c r="AL61" s="16">
        <f>IFERROR(AJ61*AK61, 0)</f>
        <v/>
      </c>
      <c r="AM61" s="14" t="n"/>
      <c r="AN61" s="15" t="n"/>
      <c r="AO61" s="16">
        <f>IFERROR(AM61*AN61, 0)</f>
        <v/>
      </c>
      <c r="AP61" s="14" t="n"/>
      <c r="AQ61" s="15" t="n"/>
      <c r="AR61" s="16">
        <f>IFERROR(AP61*AQ61, 0)</f>
        <v/>
      </c>
      <c r="AS61" s="14" t="n"/>
      <c r="AT61" s="15" t="n"/>
      <c r="AU61" s="16">
        <f>IFERROR(AS61*AT61, 0)</f>
        <v/>
      </c>
      <c r="AV61" s="14" t="n">
        <v>48.7</v>
      </c>
      <c r="AW61" s="15" t="n">
        <v>21900</v>
      </c>
      <c r="AX61" s="16" t="n">
        <v>1066530</v>
      </c>
      <c r="AY61" s="14" t="n"/>
      <c r="AZ61" s="15" t="n"/>
      <c r="BA61" s="16">
        <f>IFERROR(AY61*AZ61, 0)</f>
        <v/>
      </c>
      <c r="BB61" s="14" t="n">
        <v>106.45</v>
      </c>
      <c r="BC61" s="15" t="n">
        <v>21900</v>
      </c>
      <c r="BD61" s="16" t="n">
        <v>2331255</v>
      </c>
      <c r="BE61" s="14" t="n"/>
      <c r="BF61" s="15" t="n"/>
      <c r="BG61" s="16">
        <f>IFERROR(BE61*BF61, 0)</f>
        <v/>
      </c>
      <c r="BH61" s="14" t="n"/>
      <c r="BI61" s="15" t="n"/>
      <c r="BJ61" s="16">
        <f>IFERROR(BH61*BI61, 0)</f>
        <v/>
      </c>
      <c r="BK61" s="14" t="n"/>
      <c r="BL61" s="15" t="n"/>
      <c r="BM61" s="16">
        <f>IFERROR(BK61*BL61, 0)</f>
        <v/>
      </c>
      <c r="BN61" s="14" t="n"/>
      <c r="BO61" s="15" t="n"/>
      <c r="BP61" s="16">
        <f>IFERROR(BN61*BO61, 0)</f>
        <v/>
      </c>
      <c r="BQ61" s="14" t="n"/>
      <c r="BR61" s="15" t="n"/>
      <c r="BS61" s="16">
        <f>IFERROR(BQ61*BR61, 0)</f>
        <v/>
      </c>
      <c r="BT61" s="14" t="n">
        <v>64.09999999999999</v>
      </c>
      <c r="BU61" s="15" t="n">
        <v>21900</v>
      </c>
      <c r="BV61" s="16" t="n">
        <v>1403790</v>
      </c>
      <c r="BW61" s="14" t="n"/>
      <c r="BX61" s="15" t="n"/>
      <c r="BY61" s="16">
        <f>IFERROR(BW61*BX61, 0)</f>
        <v/>
      </c>
      <c r="BZ61" s="14" t="n"/>
      <c r="CA61" s="15" t="n"/>
      <c r="CB61" s="16">
        <f>IFERROR(BZ61*CA61, 0)</f>
        <v/>
      </c>
      <c r="CC61" s="14" t="n"/>
      <c r="CD61" s="15" t="n"/>
      <c r="CE61" s="16">
        <f>IFERROR(CC61*CD61, 0)</f>
        <v/>
      </c>
      <c r="CF61" s="14" t="n"/>
      <c r="CG61" s="15" t="n"/>
      <c r="CH61" s="16">
        <f>IFERROR(CF61*CG61, 0)</f>
        <v/>
      </c>
      <c r="CI61" s="14" t="n"/>
      <c r="CJ61" s="15" t="n"/>
      <c r="CK61" s="16">
        <f>IFERROR(CI61*CJ61, 0)</f>
        <v/>
      </c>
      <c r="CL61" s="14" t="n"/>
      <c r="CM61" s="15" t="n"/>
      <c r="CN61" s="16">
        <f>IFERROR(CL61*CM61, 0)</f>
        <v/>
      </c>
      <c r="CO61" s="14" t="n"/>
      <c r="CP61" s="15" t="n"/>
      <c r="CQ61" s="16">
        <f>IFERROR(CO61*CP61, 0)</f>
        <v/>
      </c>
      <c r="CR61" s="14" t="n"/>
      <c r="CS61" s="15" t="n"/>
      <c r="CT61" s="16">
        <f>IFERROR(CR61*CS61, 0)</f>
        <v/>
      </c>
      <c r="CU61" s="17">
        <f>IFERROR(SUM(F61,I61,L61,O61,R61,U61,X61,AA61,AD61,AG61,AJ61,AM61,AP61,AS61,AV61,AY61,BB61,BE61,BH61,BK61,BN61,BQ61,BT61,BW61,BZ61,CC61,CF61,CI61,CL61,CO61,CR61), 0)</f>
        <v/>
      </c>
      <c r="CV61" s="16">
        <f>IFERROR(AVERAGE(G61,J61,M61,P61,S61,V61,Y61,AB61,AE61,AH61,AK61,AN61,AQ61,AT61,AW61,AZ61,BC61,BF61,BI61,BL61,BO61,BR61,BU61,BX61,CA61,CD61,CG61,CJ61,CM61,CP61,CS61), 0)</f>
        <v/>
      </c>
      <c r="CW61" s="16">
        <f>CU61*CV61</f>
        <v/>
      </c>
    </row>
    <row r="62" ht="15" customFormat="1" customHeight="1" s="18">
      <c r="A62" s="11" t="inlineStr">
        <is>
          <t>Tocineta premium</t>
        </is>
      </c>
      <c r="B62" s="11" t="inlineStr">
        <is>
          <t>Kg</t>
        </is>
      </c>
      <c r="C62" s="12" t="n"/>
      <c r="D62" s="13" t="n"/>
      <c r="E62" s="13" t="n">
        <v>0</v>
      </c>
      <c r="F62" s="14" t="n"/>
      <c r="G62" s="15" t="n"/>
      <c r="H62" s="16">
        <f>IFERROR(F62*G62, 0)</f>
        <v/>
      </c>
      <c r="I62" s="14" t="n"/>
      <c r="J62" s="15" t="n"/>
      <c r="K62" s="16">
        <f>IFERROR(I62*J62, 0)</f>
        <v/>
      </c>
      <c r="L62" s="14" t="n"/>
      <c r="M62" s="15" t="n"/>
      <c r="N62" s="16">
        <f>IFERROR(L62*M62, 0)</f>
        <v/>
      </c>
      <c r="O62" s="14" t="n"/>
      <c r="P62" s="15" t="n"/>
      <c r="Q62" s="16">
        <f>IFERROR(O62*P62, 0)</f>
        <v/>
      </c>
      <c r="R62" s="14" t="n"/>
      <c r="S62" s="15" t="n"/>
      <c r="T62" s="16">
        <f>IFERROR(R62*S62, 0)</f>
        <v/>
      </c>
      <c r="U62" s="14" t="n"/>
      <c r="V62" s="15" t="n"/>
      <c r="W62" s="16">
        <f>IFERROR(U62*V62, 0)</f>
        <v/>
      </c>
      <c r="X62" s="14" t="n"/>
      <c r="Y62" s="15" t="n"/>
      <c r="Z62" s="16">
        <f>IFERROR(X62*Y62, 0)</f>
        <v/>
      </c>
      <c r="AA62" s="14" t="n"/>
      <c r="AB62" s="15" t="n"/>
      <c r="AC62" s="16">
        <f>IFERROR(AA62*AB62, 0)</f>
        <v/>
      </c>
      <c r="AD62" s="14" t="n"/>
      <c r="AE62" s="15" t="n"/>
      <c r="AF62" s="16">
        <f>IFERROR(AD62*AE62, 0)</f>
        <v/>
      </c>
      <c r="AG62" s="14" t="n"/>
      <c r="AH62" s="15" t="n"/>
      <c r="AI62" s="16">
        <f>IFERROR(AG62*AH62, 0)</f>
        <v/>
      </c>
      <c r="AJ62" s="14" t="n"/>
      <c r="AK62" s="15" t="n"/>
      <c r="AL62" s="16">
        <f>IFERROR(AJ62*AK62, 0)</f>
        <v/>
      </c>
      <c r="AM62" s="14" t="n"/>
      <c r="AN62" s="15" t="n"/>
      <c r="AO62" s="16">
        <f>IFERROR(AM62*AN62, 0)</f>
        <v/>
      </c>
      <c r="AP62" s="14" t="n"/>
      <c r="AQ62" s="15" t="n"/>
      <c r="AR62" s="16">
        <f>IFERROR(AP62*AQ62, 0)</f>
        <v/>
      </c>
      <c r="AS62" s="14" t="n"/>
      <c r="AT62" s="15" t="n"/>
      <c r="AU62" s="16">
        <f>IFERROR(AS62*AT62, 0)</f>
        <v/>
      </c>
      <c r="AV62" s="14" t="n"/>
      <c r="AW62" s="15" t="n"/>
      <c r="AX62" s="16">
        <f>IFERROR(AV62*AW62, 0)</f>
        <v/>
      </c>
      <c r="AY62" s="14" t="n"/>
      <c r="AZ62" s="15" t="n"/>
      <c r="BA62" s="16">
        <f>IFERROR(AY62*AZ62, 0)</f>
        <v/>
      </c>
      <c r="BB62" s="14" t="n"/>
      <c r="BC62" s="15" t="n"/>
      <c r="BD62" s="16">
        <f>IFERROR(BB62*BC62, 0)</f>
        <v/>
      </c>
      <c r="BE62" s="14" t="n"/>
      <c r="BF62" s="15" t="n"/>
      <c r="BG62" s="16">
        <f>IFERROR(BE62*BF62, 0)</f>
        <v/>
      </c>
      <c r="BH62" s="14" t="n"/>
      <c r="BI62" s="15" t="n"/>
      <c r="BJ62" s="16">
        <f>IFERROR(BH62*BI62, 0)</f>
        <v/>
      </c>
      <c r="BK62" s="14" t="n"/>
      <c r="BL62" s="15" t="n"/>
      <c r="BM62" s="16">
        <f>IFERROR(BK62*BL62, 0)</f>
        <v/>
      </c>
      <c r="BN62" s="14" t="n"/>
      <c r="BO62" s="15" t="n"/>
      <c r="BP62" s="16">
        <f>IFERROR(BN62*BO62, 0)</f>
        <v/>
      </c>
      <c r="BQ62" s="14" t="n"/>
      <c r="BR62" s="15" t="n"/>
      <c r="BS62" s="16">
        <f>IFERROR(BQ62*BR62, 0)</f>
        <v/>
      </c>
      <c r="BT62" s="14" t="n"/>
      <c r="BU62" s="15" t="n"/>
      <c r="BV62" s="16">
        <f>IFERROR(BT62*BU62, 0)</f>
        <v/>
      </c>
      <c r="BW62" s="14" t="n"/>
      <c r="BX62" s="15" t="n"/>
      <c r="BY62" s="16">
        <f>IFERROR(BW62*BX62, 0)</f>
        <v/>
      </c>
      <c r="BZ62" s="14" t="n"/>
      <c r="CA62" s="15" t="n"/>
      <c r="CB62" s="16">
        <f>IFERROR(BZ62*CA62, 0)</f>
        <v/>
      </c>
      <c r="CC62" s="14" t="n"/>
      <c r="CD62" s="15" t="n"/>
      <c r="CE62" s="16">
        <f>IFERROR(CC62*CD62, 0)</f>
        <v/>
      </c>
      <c r="CF62" s="14" t="n"/>
      <c r="CG62" s="15" t="n"/>
      <c r="CH62" s="16">
        <f>IFERROR(CF62*CG62, 0)</f>
        <v/>
      </c>
      <c r="CI62" s="14" t="n"/>
      <c r="CJ62" s="15" t="n"/>
      <c r="CK62" s="16">
        <f>IFERROR(CI62*CJ62, 0)</f>
        <v/>
      </c>
      <c r="CL62" s="14" t="n"/>
      <c r="CM62" s="15" t="n"/>
      <c r="CN62" s="16">
        <f>IFERROR(CL62*CM62, 0)</f>
        <v/>
      </c>
      <c r="CO62" s="14" t="n"/>
      <c r="CP62" s="15" t="n"/>
      <c r="CQ62" s="16">
        <f>IFERROR(CO62*CP62, 0)</f>
        <v/>
      </c>
      <c r="CR62" s="14" t="n"/>
      <c r="CS62" s="15" t="n"/>
      <c r="CT62" s="16">
        <f>IFERROR(CR62*CS62, 0)</f>
        <v/>
      </c>
      <c r="CU62" s="17">
        <f>IFERROR(SUM(F62,I62,L62,O62,R62,U62,X62,AA62,AD62,AG62,AJ62,AM62,AP62,AS62,AV62,AY62,BB62,BE62,BH62,BK62,BN62,BQ62,BT62,BW62,BZ62,CC62,CF62,CI62,CL62,CO62,CR62), 0)</f>
        <v/>
      </c>
      <c r="CV62" s="16">
        <f>IFERROR(AVERAGE(G62,J62,M62,P62,S62,V62,Y62,AB62,AE62,AH62,AK62,AN62,AQ62,AT62,AW62,AZ62,BC62,BF62,BI62,BL62,BO62,BR62,BU62,BX62,CA62,CD62,CG62,CJ62,CM62,CP62,CS62), 0)</f>
        <v/>
      </c>
      <c r="CW62" s="16">
        <f>CU62*CV62</f>
        <v/>
      </c>
    </row>
    <row r="63" ht="15" customFormat="1" customHeight="1" s="18">
      <c r="A63" s="11" t="inlineStr">
        <is>
          <t>Trozos e pechuga</t>
        </is>
      </c>
      <c r="B63" s="11" t="inlineStr">
        <is>
          <t>Kg</t>
        </is>
      </c>
      <c r="C63" s="12" t="n"/>
      <c r="D63" s="13" t="n"/>
      <c r="E63" s="13" t="n">
        <v>0</v>
      </c>
      <c r="F63" s="14" t="n"/>
      <c r="G63" s="15" t="n"/>
      <c r="H63" s="16">
        <f>IFERROR(F63*G63, 0)</f>
        <v/>
      </c>
      <c r="I63" s="14" t="n"/>
      <c r="J63" s="15" t="n"/>
      <c r="K63" s="16">
        <f>IFERROR(I63*J63, 0)</f>
        <v/>
      </c>
      <c r="L63" s="14" t="n"/>
      <c r="M63" s="15" t="n"/>
      <c r="N63" s="16">
        <f>IFERROR(L63*M63, 0)</f>
        <v/>
      </c>
      <c r="O63" s="14" t="n"/>
      <c r="P63" s="15" t="n"/>
      <c r="Q63" s="16">
        <f>IFERROR(O63*P63, 0)</f>
        <v/>
      </c>
      <c r="R63" s="14" t="n"/>
      <c r="S63" s="15" t="n"/>
      <c r="T63" s="16">
        <f>IFERROR(R63*S63, 0)</f>
        <v/>
      </c>
      <c r="U63" s="14" t="n"/>
      <c r="V63" s="15" t="n"/>
      <c r="W63" s="16">
        <f>IFERROR(U63*V63, 0)</f>
        <v/>
      </c>
      <c r="X63" s="14" t="n">
        <v>18.26</v>
      </c>
      <c r="Y63" s="15" t="n">
        <v>11500</v>
      </c>
      <c r="Z63" s="16" t="n">
        <v>209990</v>
      </c>
      <c r="AA63" s="14" t="n"/>
      <c r="AB63" s="15" t="n"/>
      <c r="AC63" s="16">
        <f>IFERROR(AA63*AB63, 0)</f>
        <v/>
      </c>
      <c r="AD63" s="14" t="n"/>
      <c r="AE63" s="15" t="n"/>
      <c r="AF63" s="16">
        <f>IFERROR(AD63*AE63, 0)</f>
        <v/>
      </c>
      <c r="AG63" s="14" t="n"/>
      <c r="AH63" s="15" t="n"/>
      <c r="AI63" s="16">
        <f>IFERROR(AG63*AH63, 0)</f>
        <v/>
      </c>
      <c r="AJ63" s="14" t="n"/>
      <c r="AK63" s="15" t="n"/>
      <c r="AL63" s="16">
        <f>IFERROR(AJ63*AK63, 0)</f>
        <v/>
      </c>
      <c r="AM63" s="14" t="n"/>
      <c r="AN63" s="15" t="n"/>
      <c r="AO63" s="16">
        <f>IFERROR(AM63*AN63, 0)</f>
        <v/>
      </c>
      <c r="AP63" s="14" t="n"/>
      <c r="AQ63" s="15" t="n"/>
      <c r="AR63" s="16">
        <f>IFERROR(AP63*AQ63, 0)</f>
        <v/>
      </c>
      <c r="AS63" s="14" t="n"/>
      <c r="AT63" s="15" t="n"/>
      <c r="AU63" s="16">
        <f>IFERROR(AS63*AT63, 0)</f>
        <v/>
      </c>
      <c r="AV63" s="14" t="n">
        <v>18.26</v>
      </c>
      <c r="AW63" s="15" t="n">
        <v>11500</v>
      </c>
      <c r="AX63" s="16" t="n">
        <v>209990</v>
      </c>
      <c r="AY63" s="14" t="n"/>
      <c r="AZ63" s="15" t="n"/>
      <c r="BA63" s="16">
        <f>IFERROR(AY63*AZ63, 0)</f>
        <v/>
      </c>
      <c r="BB63" s="14" t="n"/>
      <c r="BC63" s="15" t="n"/>
      <c r="BD63" s="16">
        <f>IFERROR(BB63*BC63, 0)</f>
        <v/>
      </c>
      <c r="BE63" s="14" t="n"/>
      <c r="BF63" s="15" t="n"/>
      <c r="BG63" s="16">
        <f>IFERROR(BE63*BF63, 0)</f>
        <v/>
      </c>
      <c r="BH63" s="14" t="n"/>
      <c r="BI63" s="15" t="n"/>
      <c r="BJ63" s="16">
        <f>IFERROR(BH63*BI63, 0)</f>
        <v/>
      </c>
      <c r="BK63" s="14" t="n"/>
      <c r="BL63" s="15" t="n"/>
      <c r="BM63" s="16">
        <f>IFERROR(BK63*BL63, 0)</f>
        <v/>
      </c>
      <c r="BN63" s="14" t="n"/>
      <c r="BO63" s="15" t="n"/>
      <c r="BP63" s="16">
        <f>IFERROR(BN63*BO63, 0)</f>
        <v/>
      </c>
      <c r="BQ63" s="14" t="n"/>
      <c r="BR63" s="15" t="n"/>
      <c r="BS63" s="16">
        <f>IFERROR(BQ63*BR63, 0)</f>
        <v/>
      </c>
      <c r="BT63" s="14" t="n"/>
      <c r="BU63" s="15" t="n"/>
      <c r="BV63" s="16">
        <f>IFERROR(BT63*BU63, 0)</f>
        <v/>
      </c>
      <c r="BW63" s="14" t="n"/>
      <c r="BX63" s="15" t="n"/>
      <c r="BY63" s="16">
        <f>IFERROR(BW63*BX63, 0)</f>
        <v/>
      </c>
      <c r="BZ63" s="14" t="n"/>
      <c r="CA63" s="15" t="n"/>
      <c r="CB63" s="16">
        <f>IFERROR(BZ63*CA63, 0)</f>
        <v/>
      </c>
      <c r="CC63" s="14" t="n"/>
      <c r="CD63" s="15" t="n"/>
      <c r="CE63" s="16">
        <f>IFERROR(CC63*CD63, 0)</f>
        <v/>
      </c>
      <c r="CF63" s="14" t="n"/>
      <c r="CG63" s="15" t="n"/>
      <c r="CH63" s="16">
        <f>IFERROR(CF63*CG63, 0)</f>
        <v/>
      </c>
      <c r="CI63" s="14" t="n"/>
      <c r="CJ63" s="15" t="n"/>
      <c r="CK63" s="16">
        <f>IFERROR(CI63*CJ63, 0)</f>
        <v/>
      </c>
      <c r="CL63" s="14" t="n"/>
      <c r="CM63" s="15" t="n"/>
      <c r="CN63" s="16">
        <f>IFERROR(CL63*CM63, 0)</f>
        <v/>
      </c>
      <c r="CO63" s="14" t="n"/>
      <c r="CP63" s="15" t="n"/>
      <c r="CQ63" s="16">
        <f>IFERROR(CO63*CP63, 0)</f>
        <v/>
      </c>
      <c r="CR63" s="14" t="n"/>
      <c r="CS63" s="15" t="n"/>
      <c r="CT63" s="16">
        <f>IFERROR(CR63*CS63, 0)</f>
        <v/>
      </c>
      <c r="CU63" s="17">
        <f>IFERROR(SUM(F63,I63,L63,O63,R63,U63,X63,AA63,AD63,AG63,AJ63,AM63,AP63,AS63,AV63,AY63,BB63,BE63,BH63,BK63,BN63,BQ63,BT63,BW63,BZ63,CC63,CF63,CI63,CL63,CO63,CR63), 0)</f>
        <v/>
      </c>
      <c r="CV63" s="16">
        <f>IFERROR(AVERAGE(G63,J63,M63,P63,S63,V63,Y63,AB63,AE63,AH63,AK63,AN63,AQ63,AT63,AW63,AZ63,BC63,BF63,BI63,BL63,BO63,BR63,BU63,BX63,CA63,CD63,CG63,CJ63,CM63,CP63,CS63), 0)</f>
        <v/>
      </c>
      <c r="CW63" s="16">
        <f>CU63*CV63</f>
        <v/>
      </c>
    </row>
    <row r="64" ht="15" customFormat="1" customHeight="1" s="18">
      <c r="A64" s="11" t="inlineStr">
        <is>
          <t>Trucha</t>
        </is>
      </c>
      <c r="B64" s="11" t="inlineStr">
        <is>
          <t>Kg</t>
        </is>
      </c>
      <c r="C64" s="12" t="n"/>
      <c r="D64" s="13" t="n"/>
      <c r="E64" s="13" t="n">
        <v>0</v>
      </c>
      <c r="F64" s="14" t="n"/>
      <c r="G64" s="15" t="n"/>
      <c r="H64" s="16">
        <f>IFERROR(F64*G64, 0)</f>
        <v/>
      </c>
      <c r="I64" s="14" t="n">
        <v>4.8</v>
      </c>
      <c r="J64" s="15" t="n">
        <v>22000</v>
      </c>
      <c r="K64" s="16" t="n">
        <v>105600</v>
      </c>
      <c r="L64" s="14" t="n"/>
      <c r="M64" s="15" t="n"/>
      <c r="N64" s="16">
        <f>IFERROR(L64*M64, 0)</f>
        <v/>
      </c>
      <c r="O64" s="14" t="n"/>
      <c r="P64" s="15" t="n"/>
      <c r="Q64" s="16">
        <f>IFERROR(O64*P64, 0)</f>
        <v/>
      </c>
      <c r="R64" s="14" t="n"/>
      <c r="S64" s="15" t="n"/>
      <c r="T64" s="16">
        <f>IFERROR(R64*S64, 0)</f>
        <v/>
      </c>
      <c r="U64" s="14" t="n"/>
      <c r="V64" s="15" t="n"/>
      <c r="W64" s="16">
        <f>IFERROR(U64*V64, 0)</f>
        <v/>
      </c>
      <c r="X64" s="14" t="n"/>
      <c r="Y64" s="15" t="n"/>
      <c r="Z64" s="16">
        <f>IFERROR(X64*Y64, 0)</f>
        <v/>
      </c>
      <c r="AA64" s="14" t="n">
        <v>4.5</v>
      </c>
      <c r="AB64" s="15" t="n">
        <v>22000</v>
      </c>
      <c r="AC64" s="16" t="n">
        <v>99000</v>
      </c>
      <c r="AD64" s="14" t="n">
        <v>6.2</v>
      </c>
      <c r="AE64" s="15" t="n">
        <v>22000</v>
      </c>
      <c r="AF64" s="16" t="n">
        <v>136400</v>
      </c>
      <c r="AG64" s="14" t="n"/>
      <c r="AH64" s="15" t="n"/>
      <c r="AI64" s="16">
        <f>IFERROR(AG64*AH64, 0)</f>
        <v/>
      </c>
      <c r="AJ64" s="14" t="n"/>
      <c r="AK64" s="15" t="n"/>
      <c r="AL64" s="16">
        <f>IFERROR(AJ64*AK64, 0)</f>
        <v/>
      </c>
      <c r="AM64" s="14" t="n"/>
      <c r="AN64" s="15" t="n"/>
      <c r="AO64" s="16">
        <f>IFERROR(AM64*AN64, 0)</f>
        <v/>
      </c>
      <c r="AP64" s="14" t="n"/>
      <c r="AQ64" s="15" t="n"/>
      <c r="AR64" s="16">
        <f>IFERROR(AP64*AQ64, 0)</f>
        <v/>
      </c>
      <c r="AS64" s="14" t="n"/>
      <c r="AT64" s="15" t="n"/>
      <c r="AU64" s="16">
        <f>IFERROR(AS64*AT64, 0)</f>
        <v/>
      </c>
      <c r="AV64" s="14" t="n"/>
      <c r="AW64" s="15" t="n"/>
      <c r="AX64" s="16">
        <f>IFERROR(AV64*AW64, 0)</f>
        <v/>
      </c>
      <c r="AY64" s="14" t="n"/>
      <c r="AZ64" s="15" t="n"/>
      <c r="BA64" s="16">
        <f>IFERROR(AY64*AZ64, 0)</f>
        <v/>
      </c>
      <c r="BB64" s="14" t="n"/>
      <c r="BC64" s="15" t="n"/>
      <c r="BD64" s="16">
        <f>IFERROR(BB64*BC64, 0)</f>
        <v/>
      </c>
      <c r="BE64" s="14" t="n"/>
      <c r="BF64" s="15" t="n"/>
      <c r="BG64" s="16">
        <f>IFERROR(BE64*BF64, 0)</f>
        <v/>
      </c>
      <c r="BH64" s="14" t="n"/>
      <c r="BI64" s="15" t="n"/>
      <c r="BJ64" s="16">
        <f>IFERROR(BH64*BI64, 0)</f>
        <v/>
      </c>
      <c r="BK64" s="14" t="n"/>
      <c r="BL64" s="15" t="n"/>
      <c r="BM64" s="16">
        <f>IFERROR(BK64*BL64, 0)</f>
        <v/>
      </c>
      <c r="BN64" s="14" t="n"/>
      <c r="BO64" s="15" t="n"/>
      <c r="BP64" s="16">
        <f>IFERROR(BN64*BO64, 0)</f>
        <v/>
      </c>
      <c r="BQ64" s="14" t="n"/>
      <c r="BR64" s="15" t="n"/>
      <c r="BS64" s="16">
        <f>IFERROR(BQ64*BR64, 0)</f>
        <v/>
      </c>
      <c r="BT64" s="14" t="n"/>
      <c r="BU64" s="15" t="n"/>
      <c r="BV64" s="16">
        <f>IFERROR(BT64*BU64, 0)</f>
        <v/>
      </c>
      <c r="BW64" s="14" t="n"/>
      <c r="BX64" s="15" t="n"/>
      <c r="BY64" s="16">
        <f>IFERROR(BW64*BX64, 0)</f>
        <v/>
      </c>
      <c r="BZ64" s="14" t="n"/>
      <c r="CA64" s="15" t="n"/>
      <c r="CB64" s="16">
        <f>IFERROR(BZ64*CA64, 0)</f>
        <v/>
      </c>
      <c r="CC64" s="14" t="n"/>
      <c r="CD64" s="15" t="n"/>
      <c r="CE64" s="16">
        <f>IFERROR(CC64*CD64, 0)</f>
        <v/>
      </c>
      <c r="CF64" s="14" t="n"/>
      <c r="CG64" s="15" t="n"/>
      <c r="CH64" s="16">
        <f>IFERROR(CF64*CG64, 0)</f>
        <v/>
      </c>
      <c r="CI64" s="14" t="n"/>
      <c r="CJ64" s="15" t="n"/>
      <c r="CK64" s="16">
        <f>IFERROR(CI64*CJ64, 0)</f>
        <v/>
      </c>
      <c r="CL64" s="14" t="n"/>
      <c r="CM64" s="15" t="n"/>
      <c r="CN64" s="16">
        <f>IFERROR(CL64*CM64, 0)</f>
        <v/>
      </c>
      <c r="CO64" s="14" t="n"/>
      <c r="CP64" s="15" t="n"/>
      <c r="CQ64" s="16">
        <f>IFERROR(CO64*CP64, 0)</f>
        <v/>
      </c>
      <c r="CR64" s="14" t="n"/>
      <c r="CS64" s="15" t="n"/>
      <c r="CT64" s="16">
        <f>IFERROR(CR64*CS64, 0)</f>
        <v/>
      </c>
      <c r="CU64" s="17">
        <f>IFERROR(SUM(F64,I64,L64,O64,R64,U64,X64,AA64,AD64,AG64,AJ64,AM64,AP64,AS64,AV64,AY64,BB64,BE64,BH64,BK64,BN64,BQ64,BT64,BW64,BZ64,CC64,CF64,CI64,CL64,CO64,CR64), 0)</f>
        <v/>
      </c>
      <c r="CV64" s="16">
        <f>IFERROR(AVERAGE(G64,J64,M64,P64,S64,V64,Y64,AB64,AE64,AH64,AK64,AN64,AQ64,AT64,AW64,AZ64,BC64,BF64,BI64,BL64,BO64,BR64,BU64,BX64,CA64,CD64,CG64,CJ64,CM64,CP64,CS64), 0)</f>
        <v/>
      </c>
      <c r="CW64" s="16">
        <f>CU64*CV64</f>
        <v/>
      </c>
    </row>
    <row r="65" ht="15.75" customFormat="1" customHeight="1" s="18">
      <c r="A65" s="11" t="inlineStr">
        <is>
          <t>Visceras</t>
        </is>
      </c>
      <c r="B65" s="11" t="inlineStr">
        <is>
          <t>Kg</t>
        </is>
      </c>
      <c r="C65" s="12" t="n"/>
      <c r="D65" s="13" t="n"/>
      <c r="E65" s="13" t="n">
        <v>0</v>
      </c>
      <c r="F65" s="14" t="n"/>
      <c r="G65" s="15" t="n"/>
      <c r="H65" s="16">
        <f>IFERROR(F65*G65, 0)</f>
        <v/>
      </c>
      <c r="I65" s="14" t="n"/>
      <c r="J65" s="15" t="n"/>
      <c r="K65" s="16">
        <f>IFERROR(I65*J65, 0)</f>
        <v/>
      </c>
      <c r="L65" s="14" t="n"/>
      <c r="M65" s="15" t="n"/>
      <c r="N65" s="16">
        <f>IFERROR(L65*M65, 0)</f>
        <v/>
      </c>
      <c r="O65" s="14" t="n"/>
      <c r="P65" s="15" t="n"/>
      <c r="Q65" s="16">
        <f>IFERROR(O65*P65, 0)</f>
        <v/>
      </c>
      <c r="R65" s="14" t="n"/>
      <c r="S65" s="15" t="n"/>
      <c r="T65" s="16">
        <f>IFERROR(R65*S65, 0)</f>
        <v/>
      </c>
      <c r="U65" s="14" t="n"/>
      <c r="V65" s="15" t="n"/>
      <c r="W65" s="16">
        <f>IFERROR(U65*V65, 0)</f>
        <v/>
      </c>
      <c r="X65" s="14" t="n"/>
      <c r="Y65" s="15" t="n"/>
      <c r="Z65" s="16">
        <f>IFERROR(X65*Y65, 0)</f>
        <v/>
      </c>
      <c r="AA65" s="14" t="n"/>
      <c r="AB65" s="15" t="n"/>
      <c r="AC65" s="16">
        <f>IFERROR(AA65*AB65, 0)</f>
        <v/>
      </c>
      <c r="AD65" s="14" t="n"/>
      <c r="AE65" s="15" t="n"/>
      <c r="AF65" s="16">
        <f>IFERROR(AD65*AE65, 0)</f>
        <v/>
      </c>
      <c r="AG65" s="14" t="n"/>
      <c r="AH65" s="15" t="n"/>
      <c r="AI65" s="16">
        <f>IFERROR(AG65*AH65, 0)</f>
        <v/>
      </c>
      <c r="AJ65" s="14" t="n"/>
      <c r="AK65" s="15" t="n"/>
      <c r="AL65" s="16">
        <f>IFERROR(AJ65*AK65, 0)</f>
        <v/>
      </c>
      <c r="AM65" s="14" t="n"/>
      <c r="AN65" s="15" t="n"/>
      <c r="AO65" s="16">
        <f>IFERROR(AM65*AN65, 0)</f>
        <v/>
      </c>
      <c r="AP65" s="14" t="n"/>
      <c r="AQ65" s="15" t="n"/>
      <c r="AR65" s="16">
        <f>IFERROR(AP65*AQ65, 0)</f>
        <v/>
      </c>
      <c r="AS65" s="14" t="n"/>
      <c r="AT65" s="15" t="n"/>
      <c r="AU65" s="16">
        <f>IFERROR(AS65*AT65, 0)</f>
        <v/>
      </c>
      <c r="AV65" s="14" t="n"/>
      <c r="AW65" s="15" t="n"/>
      <c r="AX65" s="16">
        <f>IFERROR(AV65*AW65, 0)</f>
        <v/>
      </c>
      <c r="AY65" s="14" t="n"/>
      <c r="AZ65" s="15" t="n"/>
      <c r="BA65" s="16">
        <f>IFERROR(AY65*AZ65, 0)</f>
        <v/>
      </c>
      <c r="BB65" s="14" t="n"/>
      <c r="BC65" s="15" t="n"/>
      <c r="BD65" s="16">
        <f>IFERROR(BB65*BC65, 0)</f>
        <v/>
      </c>
      <c r="BE65" s="14" t="n"/>
      <c r="BF65" s="15" t="n"/>
      <c r="BG65" s="16">
        <f>IFERROR(BE65*BF65, 0)</f>
        <v/>
      </c>
      <c r="BH65" s="14" t="n"/>
      <c r="BI65" s="15" t="n"/>
      <c r="BJ65" s="16">
        <f>IFERROR(BH65*BI65, 0)</f>
        <v/>
      </c>
      <c r="BK65" s="14" t="n"/>
      <c r="BL65" s="15" t="n"/>
      <c r="BM65" s="16">
        <f>IFERROR(BK65*BL65, 0)</f>
        <v/>
      </c>
      <c r="BN65" s="14" t="n"/>
      <c r="BO65" s="15" t="n"/>
      <c r="BP65" s="16">
        <f>IFERROR(BN65*BO65, 0)</f>
        <v/>
      </c>
      <c r="BQ65" s="14" t="n"/>
      <c r="BR65" s="15" t="n"/>
      <c r="BS65" s="16">
        <f>IFERROR(BQ65*BR65, 0)</f>
        <v/>
      </c>
      <c r="BT65" s="14" t="n"/>
      <c r="BU65" s="15" t="n"/>
      <c r="BV65" s="16">
        <f>IFERROR(BT65*BU65, 0)</f>
        <v/>
      </c>
      <c r="BW65" s="14" t="n"/>
      <c r="BX65" s="15" t="n"/>
      <c r="BY65" s="16">
        <f>IFERROR(BW65*BX65, 0)</f>
        <v/>
      </c>
      <c r="BZ65" s="14" t="n"/>
      <c r="CA65" s="15" t="n"/>
      <c r="CB65" s="16">
        <f>IFERROR(BZ65*CA65, 0)</f>
        <v/>
      </c>
      <c r="CC65" s="14" t="n"/>
      <c r="CD65" s="15" t="n"/>
      <c r="CE65" s="16">
        <f>IFERROR(CC65*CD65, 0)</f>
        <v/>
      </c>
      <c r="CF65" s="14" t="n"/>
      <c r="CG65" s="15" t="n"/>
      <c r="CH65" s="16">
        <f>IFERROR(CF65*CG65, 0)</f>
        <v/>
      </c>
      <c r="CI65" s="14" t="n"/>
      <c r="CJ65" s="15" t="n"/>
      <c r="CK65" s="16">
        <f>IFERROR(CI65*CJ65, 0)</f>
        <v/>
      </c>
      <c r="CL65" s="14" t="n"/>
      <c r="CM65" s="15" t="n"/>
      <c r="CN65" s="16">
        <f>IFERROR(CL65*CM65, 0)</f>
        <v/>
      </c>
      <c r="CO65" s="14" t="n"/>
      <c r="CP65" s="15" t="n"/>
      <c r="CQ65" s="16">
        <f>IFERROR(CO65*CP65, 0)</f>
        <v/>
      </c>
      <c r="CR65" s="14" t="n"/>
      <c r="CS65" s="15" t="n"/>
      <c r="CT65" s="16">
        <f>IFERROR(CR65*CS65, 0)</f>
        <v/>
      </c>
      <c r="CU65" s="17">
        <f>IFERROR(SUM(F65,I65,L65,O65,R65,U65,X65,AA65,AD65,AG65,AJ65,AM65,AP65,AS65,AV65,AY65,BB65,BE65,BH65,BK65,BN65,BQ65,BT65,BW65,BZ65,CC65,CF65,CI65,CL65,CO65,CR65), 0)</f>
        <v/>
      </c>
      <c r="CV65" s="16">
        <f>IFERROR(AVERAGE(G65,J65,M65,P65,S65,V65,Y65,AB65,AE65,AH65,AK65,AN65,AQ65,AT65,AW65,AZ65,BC65,BF65,BI65,BL65,BO65,BR65,BU65,BX65,CA65,CD65,CG65,CJ65,CM65,CP65,CS65), 0)</f>
        <v/>
      </c>
      <c r="CW65" s="16">
        <f>CU65*CV65</f>
        <v/>
      </c>
    </row>
    <row r="66" ht="18.75" customHeight="1">
      <c r="A66" s="11" t="inlineStr">
        <is>
          <t>Costilla Especial</t>
        </is>
      </c>
      <c r="B66" s="11" t="inlineStr">
        <is>
          <t>Kg</t>
        </is>
      </c>
      <c r="C66" s="12" t="n"/>
      <c r="D66" s="13" t="n"/>
      <c r="E66" s="13" t="n">
        <v>0</v>
      </c>
      <c r="F66" s="14" t="n"/>
      <c r="G66" s="15" t="n"/>
      <c r="H66" s="16">
        <f>IFERROR(F66*G66, 0)</f>
        <v/>
      </c>
      <c r="I66" s="14" t="n"/>
      <c r="J66" s="15" t="n"/>
      <c r="K66" s="16">
        <f>IFERROR(I66*J66, 0)</f>
        <v/>
      </c>
      <c r="L66" s="14" t="n"/>
      <c r="M66" s="15" t="n"/>
      <c r="N66" s="16">
        <f>IFERROR(L66*M66, 0)</f>
        <v/>
      </c>
      <c r="O66" s="14" t="n"/>
      <c r="P66" s="15" t="n"/>
      <c r="Q66" s="16">
        <f>IFERROR(O66*P66, 0)</f>
        <v/>
      </c>
      <c r="R66" s="14" t="n"/>
      <c r="S66" s="15" t="n"/>
      <c r="T66" s="16">
        <f>IFERROR(R66*S66, 0)</f>
        <v/>
      </c>
      <c r="U66" s="14" t="n">
        <v>20</v>
      </c>
      <c r="V66" s="15" t="n">
        <v>19900</v>
      </c>
      <c r="W66" s="16" t="n">
        <v>398000</v>
      </c>
      <c r="X66" s="14" t="n"/>
      <c r="Y66" s="15" t="n"/>
      <c r="Z66" s="16">
        <f>IFERROR(X66*Y66, 0)</f>
        <v/>
      </c>
      <c r="AA66" s="14" t="n"/>
      <c r="AB66" s="15" t="n"/>
      <c r="AC66" s="16">
        <f>IFERROR(AA66*AB66, 0)</f>
        <v/>
      </c>
      <c r="AD66" s="14" t="n">
        <v>21.15</v>
      </c>
      <c r="AE66" s="15" t="n">
        <v>20000</v>
      </c>
      <c r="AF66" s="16" t="n">
        <v>423000</v>
      </c>
      <c r="AG66" s="14" t="n"/>
      <c r="AH66" s="15" t="n"/>
      <c r="AI66" s="16">
        <f>IFERROR(AG66*AH66, 0)</f>
        <v/>
      </c>
      <c r="AJ66" s="14" t="n">
        <v>40.85</v>
      </c>
      <c r="AK66" s="15" t="n">
        <v>19900</v>
      </c>
      <c r="AL66" s="16" t="n">
        <v>815000</v>
      </c>
      <c r="AM66" s="14" t="n"/>
      <c r="AN66" s="15" t="n"/>
      <c r="AO66" s="16">
        <f>IFERROR(AM66*AN66, 0)</f>
        <v/>
      </c>
      <c r="AP66" s="14" t="n"/>
      <c r="AQ66" s="15" t="n"/>
      <c r="AR66" s="16">
        <f>IFERROR(AP66*AQ66, 0)</f>
        <v/>
      </c>
      <c r="AS66" s="14" t="n">
        <v>10</v>
      </c>
      <c r="AT66" s="15" t="n">
        <v>19900</v>
      </c>
      <c r="AU66" s="16" t="n">
        <v>199000</v>
      </c>
      <c r="AV66" s="14" t="n"/>
      <c r="AW66" s="15" t="n"/>
      <c r="AX66" s="16">
        <f>IFERROR(AV66*AW66, 0)</f>
        <v/>
      </c>
      <c r="AY66" s="14" t="n"/>
      <c r="AZ66" s="15" t="n"/>
      <c r="BA66" s="16">
        <f>IFERROR(AY66*AZ66, 0)</f>
        <v/>
      </c>
      <c r="BB66" s="14" t="n"/>
      <c r="BC66" s="15" t="n"/>
      <c r="BD66" s="16">
        <f>IFERROR(BB66*BC66, 0)</f>
        <v/>
      </c>
      <c r="BE66" s="14" t="n"/>
      <c r="BF66" s="15" t="n"/>
      <c r="BG66" s="16">
        <f>IFERROR(BE66*BF66, 0)</f>
        <v/>
      </c>
      <c r="BH66" s="14" t="n"/>
      <c r="BI66" s="15" t="n"/>
      <c r="BJ66" s="16">
        <f>IFERROR(BH66*BI66, 0)</f>
        <v/>
      </c>
      <c r="BK66" s="14" t="n"/>
      <c r="BL66" s="15" t="n"/>
      <c r="BM66" s="16">
        <f>IFERROR(BK66*BL66, 0)</f>
        <v/>
      </c>
      <c r="BN66" s="14" t="n"/>
      <c r="BO66" s="15" t="n"/>
      <c r="BP66" s="16">
        <f>IFERROR(BN66*BO66, 0)</f>
        <v/>
      </c>
      <c r="BQ66" s="14" t="n"/>
      <c r="BR66" s="15" t="n"/>
      <c r="BS66" s="16">
        <f>IFERROR(BQ66*BR66, 0)</f>
        <v/>
      </c>
      <c r="BT66" s="14" t="n"/>
      <c r="BU66" s="15" t="n"/>
      <c r="BV66" s="16">
        <f>IFERROR(BT66*BU66, 0)</f>
        <v/>
      </c>
      <c r="BW66" s="14" t="n"/>
      <c r="BX66" s="15" t="n"/>
      <c r="BY66" s="16">
        <f>IFERROR(BW66*BX66, 0)</f>
        <v/>
      </c>
      <c r="BZ66" s="14" t="n"/>
      <c r="CA66" s="15" t="n"/>
      <c r="CB66" s="16">
        <f>IFERROR(BZ66*CA66, 0)</f>
        <v/>
      </c>
      <c r="CC66" s="14" t="n"/>
      <c r="CD66" s="15" t="n"/>
      <c r="CE66" s="16">
        <f>IFERROR(CC66*CD66, 0)</f>
        <v/>
      </c>
      <c r="CF66" s="14" t="n"/>
      <c r="CG66" s="15" t="n"/>
      <c r="CH66" s="16">
        <f>IFERROR(CF66*CG66, 0)</f>
        <v/>
      </c>
      <c r="CI66" s="14" t="n"/>
      <c r="CJ66" s="15" t="n"/>
      <c r="CK66" s="16">
        <f>IFERROR(CI66*CJ66, 0)</f>
        <v/>
      </c>
      <c r="CL66" s="14" t="n"/>
      <c r="CM66" s="15" t="n"/>
      <c r="CN66" s="16">
        <f>IFERROR(CL66*CM66, 0)</f>
        <v/>
      </c>
      <c r="CO66" s="14" t="n"/>
      <c r="CP66" s="15" t="n"/>
      <c r="CQ66" s="16">
        <f>IFERROR(CO66*CP66, 0)</f>
        <v/>
      </c>
      <c r="CR66" s="14" t="n"/>
      <c r="CS66" s="15" t="n"/>
      <c r="CT66" s="16">
        <f>IFERROR(CR66*CS66, 0)</f>
        <v/>
      </c>
      <c r="CU66" s="17">
        <f>IFERROR(SUM(F66,I66,L66,O66,R66,U66,X66,AA66,AD66,AG66,AJ66,AM66,AP66,AS66,AV66,AY66,BB66,BE66,BH66,BK66,BN66,BQ66,BT66,BW66,BZ66,CC66,CF66,CI66,CL66,CO66,CR66), 0)</f>
        <v/>
      </c>
      <c r="CV66" s="16">
        <f>IFERROR(AVERAGE(G66,J66,M66,P66,S66,V66,Y66,AB66,AE66,AH66,AK66,AN66,AQ66,AT66,AW66,AZ66,BC66,BF66,BI66,BL66,BO66,BR66,BU66,BX66,CA66,CD66,CG66,CJ66,CM66,CP66,CS66), 0)</f>
        <v/>
      </c>
      <c r="CW66" s="16">
        <f>CU66*CV66</f>
        <v/>
      </c>
    </row>
    <row r="67" ht="18.75" customHeight="1">
      <c r="A67" s="83" t="inlineStr">
        <is>
          <t>Gallina gigante</t>
        </is>
      </c>
      <c r="B67" s="83" t="inlineStr">
        <is>
          <t>Und</t>
        </is>
      </c>
      <c r="C67" s="84" t="n"/>
      <c r="D67" s="85" t="n"/>
      <c r="E67" s="85" t="n">
        <v>0</v>
      </c>
      <c r="F67" s="86" t="n"/>
      <c r="G67" s="87" t="n"/>
      <c r="H67" s="88">
        <f>IFERROR(F67*G67, 0)</f>
        <v/>
      </c>
      <c r="I67" s="86" t="n"/>
      <c r="J67" s="87" t="n"/>
      <c r="K67" s="88">
        <f>IFERROR(I67*J67, 0)</f>
        <v/>
      </c>
      <c r="L67" s="86" t="n"/>
      <c r="M67" s="87" t="n"/>
      <c r="N67" s="16">
        <f>IFERROR(L67*M67, 0)</f>
        <v/>
      </c>
      <c r="O67" s="86" t="n"/>
      <c r="P67" s="87" t="n"/>
      <c r="Q67" s="88">
        <f>IFERROR(O67*P67, 0)</f>
        <v/>
      </c>
      <c r="R67" s="86" t="n"/>
      <c r="S67" s="87" t="n"/>
      <c r="T67" s="88">
        <f>IFERROR(R67*S67, 0)</f>
        <v/>
      </c>
      <c r="U67" s="86" t="n"/>
      <c r="V67" s="87" t="n"/>
      <c r="W67" s="88">
        <f>IFERROR(U67*V67, 0)</f>
        <v/>
      </c>
      <c r="X67" s="86" t="n"/>
      <c r="Y67" s="87" t="n"/>
      <c r="Z67" s="88">
        <f>IFERROR(X67*Y67, 0)</f>
        <v/>
      </c>
      <c r="AA67" s="86" t="n"/>
      <c r="AB67" s="87" t="n"/>
      <c r="AC67" s="88">
        <f>IFERROR(AA67*AB67, 0)</f>
        <v/>
      </c>
      <c r="AD67" s="86" t="n"/>
      <c r="AE67" s="87" t="n"/>
      <c r="AF67" s="88">
        <f>IFERROR(AD67*AE67, 0)</f>
        <v/>
      </c>
      <c r="AG67" s="86" t="n"/>
      <c r="AH67" s="87" t="n"/>
      <c r="AI67" s="88">
        <f>IFERROR(AG67*AH67, 0)</f>
        <v/>
      </c>
      <c r="AJ67" s="86" t="n"/>
      <c r="AK67" s="87" t="n"/>
      <c r="AL67" s="16">
        <f>IFERROR(AJ67*AK67, 0)</f>
        <v/>
      </c>
      <c r="AM67" s="86" t="n"/>
      <c r="AN67" s="87" t="n"/>
      <c r="AO67" s="88">
        <f>IFERROR(AM67*AN67, 0)</f>
        <v/>
      </c>
      <c r="AP67" s="86" t="n"/>
      <c r="AQ67" s="87" t="n"/>
      <c r="AR67" s="16">
        <f>IFERROR(AP67*AQ67, 0)</f>
        <v/>
      </c>
      <c r="AS67" s="86" t="n"/>
      <c r="AT67" s="87" t="n"/>
      <c r="AU67" s="88">
        <f>IFERROR(AS67*AT67, 0)</f>
        <v/>
      </c>
      <c r="AV67" s="86" t="n"/>
      <c r="AW67" s="87" t="n"/>
      <c r="AX67" s="88">
        <f>IFERROR(AV67*AW67, 0)</f>
        <v/>
      </c>
      <c r="AY67" s="86" t="n"/>
      <c r="AZ67" s="87" t="n"/>
      <c r="BA67" s="16">
        <f>IFERROR(AY67*AZ67, 0)</f>
        <v/>
      </c>
      <c r="BB67" s="86" t="n"/>
      <c r="BC67" s="87" t="n"/>
      <c r="BD67" s="88">
        <f>IFERROR(BB67*BC67, 0)</f>
        <v/>
      </c>
      <c r="BE67" s="86" t="n"/>
      <c r="BF67" s="87" t="n"/>
      <c r="BG67" s="88">
        <f>IFERROR(BE67*BF67, 0)</f>
        <v/>
      </c>
      <c r="BH67" s="86" t="n"/>
      <c r="BI67" s="87" t="n"/>
      <c r="BJ67" s="88">
        <f>IFERROR(BH67*BI67, 0)</f>
        <v/>
      </c>
      <c r="BK67" s="86" t="n"/>
      <c r="BL67" s="87" t="n"/>
      <c r="BM67" s="88">
        <f>IFERROR(BK67*BL67, 0)</f>
        <v/>
      </c>
      <c r="BN67" s="86" t="n"/>
      <c r="BO67" s="87" t="n"/>
      <c r="BP67" s="88">
        <f>IFERROR(BN67*BO67, 0)</f>
        <v/>
      </c>
      <c r="BQ67" s="86" t="n"/>
      <c r="BR67" s="87" t="n"/>
      <c r="BS67" s="88">
        <f>IFERROR(BQ67*BR67, 0)</f>
        <v/>
      </c>
      <c r="BT67" s="86" t="n"/>
      <c r="BU67" s="87" t="n"/>
      <c r="BV67" s="88">
        <f>IFERROR(BT67*BU67, 0)</f>
        <v/>
      </c>
      <c r="BW67" s="86" t="n"/>
      <c r="BX67" s="87" t="n"/>
      <c r="BY67" s="88">
        <f>IFERROR(BW67*BX67, 0)</f>
        <v/>
      </c>
      <c r="BZ67" s="86" t="n"/>
      <c r="CA67" s="87" t="n"/>
      <c r="CB67" s="88">
        <f>IFERROR(BZ67*CA67, 0)</f>
        <v/>
      </c>
      <c r="CC67" s="86" t="n"/>
      <c r="CD67" s="87" t="n"/>
      <c r="CE67" s="88">
        <f>IFERROR(CC67*CD67, 0)</f>
        <v/>
      </c>
      <c r="CF67" s="86" t="n"/>
      <c r="CG67" s="87" t="n"/>
      <c r="CH67" s="88">
        <f>IFERROR(CF67*CG67, 0)</f>
        <v/>
      </c>
      <c r="CI67" s="86" t="n"/>
      <c r="CJ67" s="87" t="n"/>
      <c r="CK67" s="88">
        <f>IFERROR(CI67*CJ67, 0)</f>
        <v/>
      </c>
      <c r="CL67" s="86" t="n"/>
      <c r="CM67" s="87" t="n"/>
      <c r="CN67" s="88">
        <f>IFERROR(CL67*CM67, 0)</f>
        <v/>
      </c>
      <c r="CO67" s="86" t="n"/>
      <c r="CP67" s="87" t="n"/>
      <c r="CQ67" s="88">
        <f>IFERROR(CO67*CP67, 0)</f>
        <v/>
      </c>
      <c r="CR67" s="86" t="n"/>
      <c r="CS67" s="87" t="n"/>
      <c r="CT67" s="88">
        <f>IFERROR(CR67*CS67, 0)</f>
        <v/>
      </c>
      <c r="CU67" s="89">
        <f>IFERROR(SUM(F67,I67,L67,O67,R67,U67,X67,AA67,AD67,AG67,AJ67,AM67,AP67,AS67,AV67,AY67,BB67,BE67,BH67,BK67,BN67,BQ67,BT67,BW67,BZ67,CC67,CF67,CI67,CL67,CO67,CR67), 0)</f>
        <v/>
      </c>
      <c r="CV67" s="88">
        <f>IFERROR(AVERAGE(G67,J67,M67,P67,S67,V67,Y67,AB67,AE67,AH67,AK67,AN67,AQ67,AT67,AW67,AZ67,BC67,BF67,BI67,BL67,BO67,BR67,BU67,BX67,CA67,CD67,CG67,CJ67,CM67,CP67,CS67), 0)</f>
        <v/>
      </c>
      <c r="CW67" s="88">
        <f>CU67*CV67</f>
        <v/>
      </c>
    </row>
    <row r="68" ht="18.75" customHeight="1">
      <c r="A68" s="11" t="inlineStr">
        <is>
          <t>Salchicha ranchera</t>
        </is>
      </c>
      <c r="B68" s="11" t="inlineStr">
        <is>
          <t>Und</t>
        </is>
      </c>
      <c r="C68" s="12" t="n"/>
      <c r="D68" s="13" t="n"/>
      <c r="E68" s="13" t="n">
        <v>0</v>
      </c>
      <c r="F68" s="14" t="n"/>
      <c r="G68" s="15" t="n"/>
      <c r="H68" s="16">
        <f>IFERROR(F68*G68, 0)</f>
        <v/>
      </c>
      <c r="I68" s="14" t="n"/>
      <c r="J68" s="15" t="n"/>
      <c r="K68" s="16">
        <f>IFERROR(I68*J68, 0)</f>
        <v/>
      </c>
      <c r="L68" s="14" t="n"/>
      <c r="M68" s="15" t="n"/>
      <c r="N68" s="16">
        <f>IFERROR(L68*M68, 0)</f>
        <v/>
      </c>
      <c r="O68" s="14" t="n"/>
      <c r="P68" s="15" t="n"/>
      <c r="Q68" s="16">
        <f>IFERROR(O68*P68, 0)</f>
        <v/>
      </c>
      <c r="R68" s="14" t="n"/>
      <c r="S68" s="15" t="n"/>
      <c r="T68" s="16">
        <f>IFERROR(R68*S68, 0)</f>
        <v/>
      </c>
      <c r="U68" s="14" t="n"/>
      <c r="V68" s="15" t="n"/>
      <c r="W68" s="16">
        <f>IFERROR(U68*V68, 0)</f>
        <v/>
      </c>
      <c r="X68" s="14" t="n"/>
      <c r="Y68" s="15" t="n"/>
      <c r="Z68" s="16">
        <f>IFERROR(X68*Y68, 0)</f>
        <v/>
      </c>
      <c r="AA68" s="14" t="n"/>
      <c r="AB68" s="15" t="n"/>
      <c r="AC68" s="16">
        <f>IFERROR(AA68*AB68, 0)</f>
        <v/>
      </c>
      <c r="AD68" s="14" t="n"/>
      <c r="AE68" s="15" t="n"/>
      <c r="AF68" s="16">
        <f>IFERROR(AD68*AE68, 0)</f>
        <v/>
      </c>
      <c r="AG68" s="14" t="n"/>
      <c r="AH68" s="15" t="n"/>
      <c r="AI68" s="16">
        <f>IFERROR(AG68*AH68, 0)</f>
        <v/>
      </c>
      <c r="AJ68" s="14" t="n"/>
      <c r="AK68" s="15" t="n"/>
      <c r="AL68" s="16">
        <f>IFERROR(AJ68*AK68, 0)</f>
        <v/>
      </c>
      <c r="AM68" s="14" t="n"/>
      <c r="AN68" s="15" t="n"/>
      <c r="AO68" s="16">
        <f>IFERROR(AM68*AN68, 0)</f>
        <v/>
      </c>
      <c r="AP68" s="14" t="n"/>
      <c r="AQ68" s="15" t="n"/>
      <c r="AR68" s="16">
        <f>IFERROR(AP68*AQ68, 0)</f>
        <v/>
      </c>
      <c r="AS68" s="14" t="n"/>
      <c r="AT68" s="15" t="n"/>
      <c r="AU68" s="16">
        <f>IFERROR(AS68*AT68, 0)</f>
        <v/>
      </c>
      <c r="AV68" s="14" t="n"/>
      <c r="AW68" s="15" t="n"/>
      <c r="AX68" s="16">
        <f>IFERROR(AV68*AW68, 0)</f>
        <v/>
      </c>
      <c r="AY68" s="14" t="n"/>
      <c r="AZ68" s="15" t="n"/>
      <c r="BA68" s="16">
        <f>IFERROR(AY68*AZ68, 0)</f>
        <v/>
      </c>
      <c r="BB68" s="14" t="n"/>
      <c r="BC68" s="15" t="n"/>
      <c r="BD68" s="16">
        <f>IFERROR(BB68*BC68, 0)</f>
        <v/>
      </c>
      <c r="BE68" s="14" t="n"/>
      <c r="BF68" s="15" t="n"/>
      <c r="BG68" s="16">
        <f>IFERROR(BE68*BF68, 0)</f>
        <v/>
      </c>
      <c r="BH68" s="14" t="n"/>
      <c r="BI68" s="15" t="n"/>
      <c r="BJ68" s="16">
        <f>IFERROR(BH68*BI68, 0)</f>
        <v/>
      </c>
      <c r="BK68" s="14" t="n"/>
      <c r="BL68" s="15" t="n"/>
      <c r="BM68" s="16">
        <f>IFERROR(BK68*BL68, 0)</f>
        <v/>
      </c>
      <c r="BN68" s="14" t="n"/>
      <c r="BO68" s="15" t="n"/>
      <c r="BP68" s="16">
        <f>IFERROR(BN68*BO68, 0)</f>
        <v/>
      </c>
      <c r="BQ68" s="14" t="n"/>
      <c r="BR68" s="15" t="n"/>
      <c r="BS68" s="16">
        <f>IFERROR(BQ68*BR68, 0)</f>
        <v/>
      </c>
      <c r="BT68" s="14" t="n"/>
      <c r="BU68" s="15" t="n"/>
      <c r="BV68" s="16">
        <f>IFERROR(BT68*BU68, 0)</f>
        <v/>
      </c>
      <c r="BW68" s="14" t="n"/>
      <c r="BX68" s="15" t="n"/>
      <c r="BY68" s="16">
        <f>IFERROR(BW68*BX68, 0)</f>
        <v/>
      </c>
      <c r="BZ68" s="14" t="n"/>
      <c r="CA68" s="15" t="n"/>
      <c r="CB68" s="16">
        <f>IFERROR(BZ68*CA68, 0)</f>
        <v/>
      </c>
      <c r="CC68" s="14" t="n"/>
      <c r="CD68" s="15" t="n"/>
      <c r="CE68" s="16">
        <f>IFERROR(CC68*CD68, 0)</f>
        <v/>
      </c>
      <c r="CF68" s="14" t="n"/>
      <c r="CG68" s="15" t="n"/>
      <c r="CH68" s="16">
        <f>IFERROR(CF68*CG68, 0)</f>
        <v/>
      </c>
      <c r="CI68" s="14" t="n"/>
      <c r="CJ68" s="15" t="n"/>
      <c r="CK68" s="16">
        <f>IFERROR(CI68*CJ68, 0)</f>
        <v/>
      </c>
      <c r="CL68" s="14" t="n"/>
      <c r="CM68" s="15" t="n"/>
      <c r="CN68" s="16">
        <f>IFERROR(CL68*CM68, 0)</f>
        <v/>
      </c>
      <c r="CO68" s="14" t="n"/>
      <c r="CP68" s="15" t="n"/>
      <c r="CQ68" s="16">
        <f>IFERROR(CO68*CP68, 0)</f>
        <v/>
      </c>
      <c r="CR68" s="14" t="n"/>
      <c r="CS68" s="15" t="n"/>
      <c r="CT68" s="16">
        <f>IFERROR(CR68*CS68, 0)</f>
        <v/>
      </c>
      <c r="CU68" s="17">
        <f>IFERROR(SUM(F68,I68,L68,O68,R68,U68,X68,AA68,AD68,AG68,AJ68,AM68,AP68,AS68,AV68,AY68,BB68,BE68,BH68,BK68,BN68,BQ68,BT68,BW68,BZ68,CC68,CF68,CI68,CL68,CO68,CR68), 0)</f>
        <v/>
      </c>
      <c r="CV68" s="16">
        <f>IFERROR(AVERAGE(G68,J68,M68,P68,S68,V68,Y68,AB68,AE68,AH68,AK68,AN68,AQ68,AT68,AW68,AZ68,BC68,BF68,BI68,BL68,BO68,BR68,BU68,BX68,CA68,CD68,CG68,CJ68,CM68,CP68,CS68), 0)</f>
        <v/>
      </c>
      <c r="CW68" s="16">
        <f>CU68*CV68</f>
        <v/>
      </c>
    </row>
    <row r="69" ht="18.75" customHeight="1">
      <c r="A69" s="11" t="inlineStr">
        <is>
          <t>Pechuga mcpollo</t>
        </is>
      </c>
      <c r="B69" s="11" t="inlineStr">
        <is>
          <t>Und</t>
        </is>
      </c>
      <c r="C69" s="12" t="n"/>
      <c r="D69" s="13" t="n"/>
      <c r="E69" s="13" t="n">
        <v>0</v>
      </c>
      <c r="F69" s="14" t="n"/>
      <c r="G69" s="15" t="n"/>
      <c r="H69" s="16">
        <f>IFERROR(F69*G69, 0)</f>
        <v/>
      </c>
      <c r="I69" s="14" t="n"/>
      <c r="J69" s="15" t="n"/>
      <c r="K69" s="16">
        <f>IFERROR(I69*J69, 0)</f>
        <v/>
      </c>
      <c r="L69" s="14" t="n"/>
      <c r="M69" s="15" t="n"/>
      <c r="N69" s="16">
        <f>IFERROR(L69*M69, 0)</f>
        <v/>
      </c>
      <c r="O69" s="14" t="n"/>
      <c r="P69" s="15" t="n"/>
      <c r="Q69" s="16">
        <f>IFERROR(O69*P69, 0)</f>
        <v/>
      </c>
      <c r="R69" s="14" t="n"/>
      <c r="S69" s="15" t="n"/>
      <c r="T69" s="16">
        <f>IFERROR(R69*S69, 0)</f>
        <v/>
      </c>
      <c r="U69" s="14" t="n"/>
      <c r="V69" s="15" t="n"/>
      <c r="W69" s="16">
        <f>IFERROR(U69*V69, 0)</f>
        <v/>
      </c>
      <c r="X69" s="14" t="n"/>
      <c r="Y69" s="15" t="n"/>
      <c r="Z69" s="16">
        <f>IFERROR(X69*Y69, 0)</f>
        <v/>
      </c>
      <c r="AA69" s="14" t="n"/>
      <c r="AB69" s="15" t="n"/>
      <c r="AC69" s="16">
        <f>IFERROR(AA69*AB69, 0)</f>
        <v/>
      </c>
      <c r="AD69" s="14" t="n"/>
      <c r="AE69" s="15" t="n"/>
      <c r="AF69" s="16">
        <f>IFERROR(AD69*AE69, 0)</f>
        <v/>
      </c>
      <c r="AG69" s="14" t="n"/>
      <c r="AH69" s="15" t="n"/>
      <c r="AI69" s="16">
        <f>IFERROR(AG69*AH69, 0)</f>
        <v/>
      </c>
      <c r="AJ69" s="14" t="n"/>
      <c r="AK69" s="15" t="n"/>
      <c r="AL69" s="16">
        <f>IFERROR(AJ69*AK69, 0)</f>
        <v/>
      </c>
      <c r="AM69" s="14" t="n"/>
      <c r="AN69" s="15" t="n"/>
      <c r="AO69" s="16">
        <f>IFERROR(AM69*AN69, 0)</f>
        <v/>
      </c>
      <c r="AP69" s="14" t="n"/>
      <c r="AQ69" s="15" t="n"/>
      <c r="AR69" s="16">
        <f>IFERROR(AP69*AQ69, 0)</f>
        <v/>
      </c>
      <c r="AS69" s="14" t="n"/>
      <c r="AT69" s="15" t="n"/>
      <c r="AU69" s="16">
        <f>IFERROR(AS69*AT69, 0)</f>
        <v/>
      </c>
      <c r="AV69" s="14" t="n"/>
      <c r="AW69" s="15" t="n"/>
      <c r="AX69" s="16">
        <f>IFERROR(AV69*AW69, 0)</f>
        <v/>
      </c>
      <c r="AY69" s="14" t="n"/>
      <c r="AZ69" s="15" t="n"/>
      <c r="BA69" s="16">
        <f>IFERROR(AY69*AZ69, 0)</f>
        <v/>
      </c>
      <c r="BB69" s="14" t="n"/>
      <c r="BC69" s="15" t="n"/>
      <c r="BD69" s="16">
        <f>IFERROR(BB69*BC69, 0)</f>
        <v/>
      </c>
      <c r="BE69" s="14" t="n"/>
      <c r="BF69" s="15" t="n"/>
      <c r="BG69" s="16">
        <f>IFERROR(BE69*BF69, 0)</f>
        <v/>
      </c>
      <c r="BH69" s="14" t="n"/>
      <c r="BI69" s="15" t="n"/>
      <c r="BJ69" s="16">
        <f>IFERROR(BH69*BI69, 0)</f>
        <v/>
      </c>
      <c r="BK69" s="14" t="n"/>
      <c r="BL69" s="15" t="n"/>
      <c r="BM69" s="16">
        <f>IFERROR(BK69*BL69, 0)</f>
        <v/>
      </c>
      <c r="BN69" s="14" t="n"/>
      <c r="BO69" s="15" t="n"/>
      <c r="BP69" s="16">
        <f>IFERROR(BN69*BO69, 0)</f>
        <v/>
      </c>
      <c r="BQ69" s="14" t="n"/>
      <c r="BR69" s="15" t="n"/>
      <c r="BS69" s="16">
        <f>IFERROR(BQ69*BR69, 0)</f>
        <v/>
      </c>
      <c r="BT69" s="14" t="n"/>
      <c r="BU69" s="15" t="n"/>
      <c r="BV69" s="16">
        <f>IFERROR(BT69*BU69, 0)</f>
        <v/>
      </c>
      <c r="BW69" s="14" t="n"/>
      <c r="BX69" s="15" t="n"/>
      <c r="BY69" s="16">
        <f>IFERROR(BW69*BX69, 0)</f>
        <v/>
      </c>
      <c r="BZ69" s="14" t="n"/>
      <c r="CA69" s="15" t="n"/>
      <c r="CB69" s="16">
        <f>IFERROR(BZ69*CA69, 0)</f>
        <v/>
      </c>
      <c r="CC69" s="14" t="n"/>
      <c r="CD69" s="15" t="n"/>
      <c r="CE69" s="16">
        <f>IFERROR(CC69*CD69, 0)</f>
        <v/>
      </c>
      <c r="CF69" s="14" t="n"/>
      <c r="CG69" s="15" t="n"/>
      <c r="CH69" s="16">
        <f>IFERROR(CF69*CG69, 0)</f>
        <v/>
      </c>
      <c r="CI69" s="14" t="n"/>
      <c r="CJ69" s="15" t="n"/>
      <c r="CK69" s="16">
        <f>IFERROR(CI69*CJ69, 0)</f>
        <v/>
      </c>
      <c r="CL69" s="14" t="n"/>
      <c r="CM69" s="15" t="n"/>
      <c r="CN69" s="16">
        <f>IFERROR(CL69*CM69, 0)</f>
        <v/>
      </c>
      <c r="CO69" s="14" t="n"/>
      <c r="CP69" s="15" t="n"/>
      <c r="CQ69" s="16">
        <f>IFERROR(CO69*CP69, 0)</f>
        <v/>
      </c>
      <c r="CR69" s="14" t="n"/>
      <c r="CS69" s="15" t="n"/>
      <c r="CT69" s="16">
        <f>IFERROR(CR69*CS69, 0)</f>
        <v/>
      </c>
      <c r="CU69" s="17">
        <f>IFERROR(SUM(F69,I69,L69,O69,R69,U69,X69,AA69,AD69,AG69,AJ69,AM69,AP69,AS69,AV69,AY69,BB69,BE69,BH69,BK69,BN69,BQ69,BT69,BW69,BZ69,CC69,CF69,CI69,CL69,CO69,CR69), 0)</f>
        <v/>
      </c>
      <c r="CV69" s="16">
        <f>IFERROR(AVERAGE(G69,J69,M69,P69,S69,V69,Y69,AB69,AE69,AH69,AK69,AN69,AQ69,AT69,AW69,AZ69,BC69,BF69,BI69,BL69,BO69,BR69,BU69,BX69,CA69,CD69,CG69,CJ69,CM69,CP69,CS69), 0)</f>
        <v/>
      </c>
      <c r="CW69" s="16">
        <f>CU69*CV69</f>
        <v/>
      </c>
    </row>
    <row r="70" ht="18.75" customHeight="1">
      <c r="A70" s="11" t="inlineStr">
        <is>
          <t>Espinazo</t>
        </is>
      </c>
      <c r="B70" s="11" t="inlineStr">
        <is>
          <t>Und</t>
        </is>
      </c>
      <c r="C70" s="12" t="n"/>
      <c r="D70" s="13" t="n"/>
      <c r="E70" s="13" t="n">
        <v>0</v>
      </c>
      <c r="F70" s="14" t="n"/>
      <c r="G70" s="15" t="n"/>
      <c r="H70" s="16">
        <f>IFERROR(F70*G70, 0)</f>
        <v/>
      </c>
      <c r="I70" s="14" t="n"/>
      <c r="J70" s="15" t="n"/>
      <c r="K70" s="16">
        <f>IFERROR(I70*J70, 0)</f>
        <v/>
      </c>
      <c r="L70" s="14" t="n"/>
      <c r="M70" s="15" t="n"/>
      <c r="N70" s="16">
        <f>IFERROR(L70*M70, 0)</f>
        <v/>
      </c>
      <c r="O70" s="14" t="n"/>
      <c r="P70" s="15" t="n"/>
      <c r="Q70" s="16">
        <f>IFERROR(O70*P70, 0)</f>
        <v/>
      </c>
      <c r="R70" s="14" t="n"/>
      <c r="S70" s="15" t="n"/>
      <c r="T70" s="16">
        <f>IFERROR(R70*S70, 0)</f>
        <v/>
      </c>
      <c r="U70" s="14" t="n"/>
      <c r="V70" s="15" t="n"/>
      <c r="W70" s="16">
        <f>IFERROR(U70*V70, 0)</f>
        <v/>
      </c>
      <c r="X70" s="14" t="n"/>
      <c r="Y70" s="15" t="n"/>
      <c r="Z70" s="16">
        <f>IFERROR(X70*Y70, 0)</f>
        <v/>
      </c>
      <c r="AA70" s="14" t="n"/>
      <c r="AB70" s="15" t="n"/>
      <c r="AC70" s="16">
        <f>IFERROR(AA70*AB70, 0)</f>
        <v/>
      </c>
      <c r="AD70" s="14" t="n"/>
      <c r="AE70" s="15" t="n"/>
      <c r="AF70" s="16">
        <f>IFERROR(AD70*AE70, 0)</f>
        <v/>
      </c>
      <c r="AG70" s="14" t="n"/>
      <c r="AH70" s="15" t="n"/>
      <c r="AI70" s="16">
        <f>IFERROR(AG70*AH70, 0)</f>
        <v/>
      </c>
      <c r="AJ70" s="14" t="n"/>
      <c r="AK70" s="15" t="n"/>
      <c r="AL70" s="16">
        <f>IFERROR(AJ70*AK70, 0)</f>
        <v/>
      </c>
      <c r="AM70" s="14" t="n"/>
      <c r="AN70" s="15" t="n"/>
      <c r="AO70" s="16">
        <f>IFERROR(AM70*AN70, 0)</f>
        <v/>
      </c>
      <c r="AP70" s="14" t="n"/>
      <c r="AQ70" s="15" t="n"/>
      <c r="AR70" s="16">
        <f>IFERROR(AP70*AQ70, 0)</f>
        <v/>
      </c>
      <c r="AS70" s="14" t="n"/>
      <c r="AT70" s="15" t="n"/>
      <c r="AU70" s="16">
        <f>IFERROR(AS70*AT70, 0)</f>
        <v/>
      </c>
      <c r="AV70" s="14" t="n"/>
      <c r="AW70" s="15" t="n"/>
      <c r="AX70" s="16">
        <f>IFERROR(AV70*AW70, 0)</f>
        <v/>
      </c>
      <c r="AY70" s="14" t="n"/>
      <c r="AZ70" s="15" t="n"/>
      <c r="BA70" s="16">
        <f>IFERROR(AY70*AZ70, 0)</f>
        <v/>
      </c>
      <c r="BB70" s="14" t="n"/>
      <c r="BC70" s="15" t="n"/>
      <c r="BD70" s="16">
        <f>IFERROR(BB70*BC70, 0)</f>
        <v/>
      </c>
      <c r="BE70" s="14" t="n"/>
      <c r="BF70" s="15" t="n"/>
      <c r="BG70" s="16">
        <f>IFERROR(BE70*BF70, 0)</f>
        <v/>
      </c>
      <c r="BH70" s="14" t="n"/>
      <c r="BI70" s="15" t="n"/>
      <c r="BJ70" s="16">
        <f>IFERROR(BH70*BI70, 0)</f>
        <v/>
      </c>
      <c r="BK70" s="14" t="n"/>
      <c r="BL70" s="15" t="n"/>
      <c r="BM70" s="16">
        <f>IFERROR(BK70*BL70, 0)</f>
        <v/>
      </c>
      <c r="BN70" s="14" t="n"/>
      <c r="BO70" s="15" t="n"/>
      <c r="BP70" s="16">
        <f>IFERROR(BN70*BO70, 0)</f>
        <v/>
      </c>
      <c r="BQ70" s="14" t="n"/>
      <c r="BR70" s="15" t="n"/>
      <c r="BS70" s="16">
        <f>IFERROR(BQ70*BR70, 0)</f>
        <v/>
      </c>
      <c r="BT70" s="14" t="n"/>
      <c r="BU70" s="15" t="n"/>
      <c r="BV70" s="16">
        <f>IFERROR(BT70*BU70, 0)</f>
        <v/>
      </c>
      <c r="BW70" s="14" t="n">
        <v>6</v>
      </c>
      <c r="BX70" s="15" t="n">
        <v>3666.67</v>
      </c>
      <c r="BY70" s="16" t="n">
        <v>22000</v>
      </c>
      <c r="BZ70" s="14" t="n"/>
      <c r="CA70" s="15" t="n"/>
      <c r="CB70" s="16">
        <f>IFERROR(BZ70*CA70, 0)</f>
        <v/>
      </c>
      <c r="CC70" s="14" t="n"/>
      <c r="CD70" s="15" t="n"/>
      <c r="CE70" s="16">
        <f>IFERROR(CC70*CD70, 0)</f>
        <v/>
      </c>
      <c r="CF70" s="14" t="n"/>
      <c r="CG70" s="15" t="n"/>
      <c r="CH70" s="16">
        <f>IFERROR(CF70*CG70, 0)</f>
        <v/>
      </c>
      <c r="CI70" s="14" t="n"/>
      <c r="CJ70" s="15" t="n"/>
      <c r="CK70" s="16">
        <f>IFERROR(CI70*CJ70, 0)</f>
        <v/>
      </c>
      <c r="CL70" s="14" t="n"/>
      <c r="CM70" s="15" t="n"/>
      <c r="CN70" s="16">
        <f>IFERROR(CL70*CM70, 0)</f>
        <v/>
      </c>
      <c r="CO70" s="14" t="n"/>
      <c r="CP70" s="15" t="n"/>
      <c r="CQ70" s="16">
        <f>IFERROR(CO70*CP70, 0)</f>
        <v/>
      </c>
      <c r="CR70" s="14" t="n"/>
      <c r="CS70" s="15" t="n"/>
      <c r="CT70" s="16">
        <f>IFERROR(CR70*CS70, 0)</f>
        <v/>
      </c>
      <c r="CU70" s="17">
        <f>IFERROR(SUM(F70,I70,L70,O70,R70,U70,X70,AA70,AD70,AG70,AJ70,AM70,AP70,AS70,AV70,AY70,BB70,BE70,BH70,BK70,BN70,BQ70,BT70,BW70,BZ70,CC70,CF70,CI70,CL70,CO70,CR70), 0)</f>
        <v/>
      </c>
      <c r="CV70" s="16">
        <f>IFERROR(AVERAGE(G70,J70,M70,P70,S70,V70,Y70,AB70,AE70,AH70,AK70,AN70,AQ70,AT70,AW70,AZ70,BC70,BF70,BI70,BL70,BO70,BR70,BU70,BX70,CA70,CD70,CG70,CJ70,CM70,CP70,CS70), 0)</f>
        <v/>
      </c>
      <c r="CW70" s="16">
        <f>CU70*CV70</f>
        <v/>
      </c>
    </row>
    <row r="71" ht="18.75" customHeight="1">
      <c r="A71" s="11" t="inlineStr">
        <is>
          <t>Tilapia y truchas</t>
        </is>
      </c>
      <c r="B71" s="11" t="inlineStr">
        <is>
          <t>Kg</t>
        </is>
      </c>
      <c r="C71" s="12" t="n"/>
      <c r="D71" s="13" t="n"/>
      <c r="E71" s="13" t="n">
        <v>0</v>
      </c>
      <c r="F71" s="14" t="n"/>
      <c r="G71" s="15" t="n"/>
      <c r="H71" s="16">
        <f>IFERROR(F71*G71, 0)</f>
        <v/>
      </c>
      <c r="I71" s="14" t="n">
        <v>20</v>
      </c>
      <c r="J71" s="15" t="n">
        <v>16000</v>
      </c>
      <c r="K71" s="16" t="n">
        <v>320000</v>
      </c>
      <c r="L71" s="14" t="n"/>
      <c r="M71" s="15" t="n"/>
      <c r="N71" s="16">
        <f>IFERROR(L71*M71, 0)</f>
        <v/>
      </c>
      <c r="O71" s="14" t="n"/>
      <c r="P71" s="15" t="n"/>
      <c r="Q71" s="16">
        <f>IFERROR(O71*P71, 0)</f>
        <v/>
      </c>
      <c r="R71" s="14" t="n"/>
      <c r="S71" s="15" t="n"/>
      <c r="T71" s="16">
        <f>IFERROR(R71*S71, 0)</f>
        <v/>
      </c>
      <c r="U71" s="14" t="n"/>
      <c r="V71" s="15" t="n"/>
      <c r="W71" s="16">
        <f>IFERROR(U71*V71, 0)</f>
        <v/>
      </c>
      <c r="X71" s="14" t="n"/>
      <c r="Y71" s="15" t="n"/>
      <c r="Z71" s="16">
        <f>IFERROR(X71*Y71, 0)</f>
        <v/>
      </c>
      <c r="AA71" s="14" t="n"/>
      <c r="AB71" s="15" t="n"/>
      <c r="AC71" s="16">
        <f>IFERROR(AA71*AB71, 0)</f>
        <v/>
      </c>
      <c r="AD71" s="14" t="n">
        <v>19.8</v>
      </c>
      <c r="AE71" s="15" t="n">
        <v>17000</v>
      </c>
      <c r="AF71" s="16" t="n">
        <v>336600</v>
      </c>
      <c r="AG71" s="14" t="n"/>
      <c r="AH71" s="15" t="n"/>
      <c r="AI71" s="16">
        <f>IFERROR(AG71*AH71, 0)</f>
        <v/>
      </c>
      <c r="AJ71" s="14" t="n"/>
      <c r="AK71" s="15" t="n"/>
      <c r="AL71" s="16">
        <f>IFERROR(AJ71*AK71, 0)</f>
        <v/>
      </c>
      <c r="AM71" s="14" t="n"/>
      <c r="AN71" s="15" t="n"/>
      <c r="AO71" s="16">
        <f>IFERROR(AM71*AN71, 0)</f>
        <v/>
      </c>
      <c r="AP71" s="14" t="n"/>
      <c r="AQ71" s="15" t="n"/>
      <c r="AR71" s="16">
        <f>IFERROR(AP71*AQ71, 0)</f>
        <v/>
      </c>
      <c r="AS71" s="14" t="n"/>
      <c r="AT71" s="15" t="n"/>
      <c r="AU71" s="16">
        <f>IFERROR(AS71*AT71, 0)</f>
        <v/>
      </c>
      <c r="AV71" s="14" t="n">
        <v>8.5</v>
      </c>
      <c r="AW71" s="15" t="n">
        <v>17000</v>
      </c>
      <c r="AX71" s="16" t="n">
        <v>144500</v>
      </c>
      <c r="AY71" s="14" t="n"/>
      <c r="AZ71" s="15" t="n"/>
      <c r="BA71" s="16">
        <f>IFERROR(AY71*AZ71, 0)</f>
        <v/>
      </c>
      <c r="BB71" s="14" t="n"/>
      <c r="BC71" s="15" t="n"/>
      <c r="BD71" s="16">
        <f>IFERROR(BB71*BC71, 0)</f>
        <v/>
      </c>
      <c r="BE71" s="14" t="n"/>
      <c r="BF71" s="15" t="n"/>
      <c r="BG71" s="16">
        <f>IFERROR(BE71*BF71, 0)</f>
        <v/>
      </c>
      <c r="BH71" s="14" t="n"/>
      <c r="BI71" s="15" t="n"/>
      <c r="BJ71" s="16">
        <f>IFERROR(BH71*BI71, 0)</f>
        <v/>
      </c>
      <c r="BK71" s="14" t="n"/>
      <c r="BL71" s="15" t="n"/>
      <c r="BM71" s="16">
        <f>IFERROR(BK71*BL71, 0)</f>
        <v/>
      </c>
      <c r="BN71" s="14" t="n"/>
      <c r="BO71" s="15" t="n"/>
      <c r="BP71" s="16">
        <f>IFERROR(BN71*BO71, 0)</f>
        <v/>
      </c>
      <c r="BQ71" s="14" t="n"/>
      <c r="BR71" s="15" t="n"/>
      <c r="BS71" s="16">
        <f>IFERROR(BQ71*BR71, 0)</f>
        <v/>
      </c>
      <c r="BT71" s="14" t="n"/>
      <c r="BU71" s="15" t="n"/>
      <c r="BV71" s="16">
        <f>IFERROR(BT71*BU71, 0)</f>
        <v/>
      </c>
      <c r="BW71" s="14" t="n"/>
      <c r="BX71" s="15" t="n"/>
      <c r="BY71" s="16">
        <f>IFERROR(BW71*BX71, 0)</f>
        <v/>
      </c>
      <c r="BZ71" s="14" t="n"/>
      <c r="CA71" s="15" t="n"/>
      <c r="CB71" s="16">
        <f>IFERROR(BZ71*CA71, 0)</f>
        <v/>
      </c>
      <c r="CC71" s="14" t="n"/>
      <c r="CD71" s="15" t="n"/>
      <c r="CE71" s="16">
        <f>IFERROR(CC71*CD71, 0)</f>
        <v/>
      </c>
      <c r="CF71" s="14" t="n"/>
      <c r="CG71" s="15" t="n"/>
      <c r="CH71" s="16">
        <f>IFERROR(CF71*CG71, 0)</f>
        <v/>
      </c>
      <c r="CI71" s="14" t="n"/>
      <c r="CJ71" s="15" t="n"/>
      <c r="CK71" s="16">
        <f>IFERROR(CI71*CJ71, 0)</f>
        <v/>
      </c>
      <c r="CL71" s="14" t="n"/>
      <c r="CM71" s="15" t="n"/>
      <c r="CN71" s="16">
        <f>IFERROR(CL71*CM71, 0)</f>
        <v/>
      </c>
      <c r="CO71" s="14" t="n"/>
      <c r="CP71" s="15" t="n"/>
      <c r="CQ71" s="16">
        <f>IFERROR(CO71*CP71, 0)</f>
        <v/>
      </c>
      <c r="CR71" s="14" t="n"/>
      <c r="CS71" s="15" t="n"/>
      <c r="CT71" s="16">
        <f>IFERROR(CR71*CS71, 0)</f>
        <v/>
      </c>
      <c r="CU71" s="17">
        <f>IFERROR(SUM(F71,I71,L71,O71,R71,U71,X71,AA71,AD71,AG71,AJ71,AM71,AP71,AS71,AV71,AY71,BB71,BE71,BH71,BK71,BN71,BQ71,BT71,BW71,BZ71,CC71,CF71,CI71,CL71,CO71,CR71), 0)</f>
        <v/>
      </c>
      <c r="CV71" s="16">
        <f>IFERROR(AVERAGE(G71,J71,M71,P71,S71,V71,Y71,AB71,AE71,AH71,AK71,AN71,AQ71,AT71,AW71,AZ71,BC71,BF71,BI71,BL71,BO71,BR71,BU71,BX71,CA71,CD71,CG71,CJ71,CM71,CP71,CS71), 0)</f>
        <v/>
      </c>
      <c r="CW71" s="16">
        <f>CU71*CV71</f>
        <v/>
      </c>
    </row>
    <row r="72">
      <c r="A72" s="11" t="inlineStr">
        <is>
          <t>Atunes</t>
        </is>
      </c>
      <c r="B72" s="11" t="inlineStr">
        <is>
          <t>Und</t>
        </is>
      </c>
      <c r="C72" s="12" t="n"/>
      <c r="D72" s="13" t="n"/>
      <c r="E72" s="13" t="n">
        <v>0</v>
      </c>
      <c r="F72" s="14" t="n"/>
      <c r="G72" s="15" t="n"/>
      <c r="H72" s="16">
        <f>IFERROR(F72*G72, 0)</f>
        <v/>
      </c>
      <c r="I72" s="14" t="n"/>
      <c r="J72" s="15" t="n"/>
      <c r="K72" s="16">
        <f>IFERROR(I72*J72, 0)</f>
        <v/>
      </c>
      <c r="L72" s="14" t="n"/>
      <c r="M72" s="15" t="n"/>
      <c r="N72" s="16">
        <f>IFERROR(L72*M72, 0)</f>
        <v/>
      </c>
      <c r="O72" s="14" t="n"/>
      <c r="P72" s="15" t="n"/>
      <c r="Q72" s="16">
        <f>IFERROR(O72*P72, 0)</f>
        <v/>
      </c>
      <c r="R72" s="14" t="n"/>
      <c r="S72" s="15" t="n"/>
      <c r="T72" s="16">
        <f>IFERROR(R72*S72, 0)</f>
        <v/>
      </c>
      <c r="U72" s="14" t="n"/>
      <c r="V72" s="15" t="n"/>
      <c r="W72" s="16">
        <f>IFERROR(U72*V72, 0)</f>
        <v/>
      </c>
      <c r="X72" s="14" t="n"/>
      <c r="Y72" s="15" t="n"/>
      <c r="Z72" s="16">
        <f>IFERROR(X72*Y72, 0)</f>
        <v/>
      </c>
      <c r="AA72" s="14" t="n"/>
      <c r="AB72" s="15" t="n"/>
      <c r="AC72" s="16">
        <f>IFERROR(AA72*AB72, 0)</f>
        <v/>
      </c>
      <c r="AD72" s="14" t="n"/>
      <c r="AE72" s="15" t="n"/>
      <c r="AF72" s="16">
        <f>IFERROR(AD72*AE72, 0)</f>
        <v/>
      </c>
      <c r="AG72" s="14" t="n"/>
      <c r="AH72" s="15" t="n"/>
      <c r="AI72" s="16">
        <f>IFERROR(AG72*AH72, 0)</f>
        <v/>
      </c>
      <c r="AJ72" s="14" t="n"/>
      <c r="AK72" s="15" t="n"/>
      <c r="AL72" s="16">
        <f>IFERROR(AJ72*AK72, 0)</f>
        <v/>
      </c>
      <c r="AM72" s="14" t="n"/>
      <c r="AN72" s="15" t="n"/>
      <c r="AO72" s="16">
        <f>IFERROR(AM72*AN72, 0)</f>
        <v/>
      </c>
      <c r="AP72" s="14" t="n"/>
      <c r="AQ72" s="15" t="n"/>
      <c r="AR72" s="16">
        <f>IFERROR(AP72*AQ72, 0)</f>
        <v/>
      </c>
      <c r="AS72" s="14" t="n"/>
      <c r="AT72" s="15" t="n"/>
      <c r="AU72" s="16">
        <f>IFERROR(AS72*AT72, 0)</f>
        <v/>
      </c>
      <c r="AV72" s="14" t="n"/>
      <c r="AW72" s="15" t="n"/>
      <c r="AX72" s="16">
        <f>IFERROR(AV72*AW72, 0)</f>
        <v/>
      </c>
      <c r="AY72" s="14" t="n"/>
      <c r="AZ72" s="15" t="n"/>
      <c r="BA72" s="16">
        <f>IFERROR(AY72*AZ72, 0)</f>
        <v/>
      </c>
      <c r="BB72" s="14" t="n"/>
      <c r="BC72" s="15" t="n"/>
      <c r="BD72" s="16">
        <f>IFERROR(BB72*BC72, 0)</f>
        <v/>
      </c>
      <c r="BE72" s="14" t="n"/>
      <c r="BF72" s="15" t="n"/>
      <c r="BG72" s="16">
        <f>IFERROR(BE72*BF72, 0)</f>
        <v/>
      </c>
      <c r="BH72" s="14" t="n"/>
      <c r="BI72" s="15" t="n"/>
      <c r="BJ72" s="16">
        <f>IFERROR(BH72*BI72, 0)</f>
        <v/>
      </c>
      <c r="BK72" s="14" t="n"/>
      <c r="BL72" s="15" t="n"/>
      <c r="BM72" s="16">
        <f>IFERROR(BK72*BL72, 0)</f>
        <v/>
      </c>
      <c r="BN72" s="14" t="n"/>
      <c r="BO72" s="15" t="n"/>
      <c r="BP72" s="16">
        <f>IFERROR(BN72*BO72, 0)</f>
        <v/>
      </c>
      <c r="BQ72" s="14" t="n"/>
      <c r="BR72" s="15" t="n"/>
      <c r="BS72" s="16">
        <f>IFERROR(BQ72*BR72, 0)</f>
        <v/>
      </c>
      <c r="BT72" s="14" t="n"/>
      <c r="BU72" s="15" t="n"/>
      <c r="BV72" s="16">
        <f>IFERROR(BT72*BU72, 0)</f>
        <v/>
      </c>
      <c r="BW72" s="14" t="n"/>
      <c r="BX72" s="15" t="n"/>
      <c r="BY72" s="16">
        <f>IFERROR(BW72*BX72, 0)</f>
        <v/>
      </c>
      <c r="BZ72" s="14" t="n"/>
      <c r="CA72" s="15" t="n"/>
      <c r="CB72" s="16">
        <f>IFERROR(BZ72*CA72, 0)</f>
        <v/>
      </c>
      <c r="CC72" s="14" t="n"/>
      <c r="CD72" s="15" t="n"/>
      <c r="CE72" s="16">
        <f>IFERROR(CC72*CD72, 0)</f>
        <v/>
      </c>
      <c r="CF72" s="14" t="n"/>
      <c r="CG72" s="15" t="n"/>
      <c r="CH72" s="16">
        <f>IFERROR(CF72*CG72, 0)</f>
        <v/>
      </c>
      <c r="CI72" s="14" t="n"/>
      <c r="CJ72" s="15" t="n"/>
      <c r="CK72" s="16">
        <f>IFERROR(CI72*CJ72, 0)</f>
        <v/>
      </c>
      <c r="CL72" s="14" t="n"/>
      <c r="CM72" s="15" t="n"/>
      <c r="CN72" s="16">
        <f>IFERROR(CL72*CM72, 0)</f>
        <v/>
      </c>
      <c r="CO72" s="14" t="n"/>
      <c r="CP72" s="15" t="n"/>
      <c r="CQ72" s="16">
        <f>IFERROR(CO72*CP72, 0)</f>
        <v/>
      </c>
      <c r="CR72" s="14" t="n"/>
      <c r="CS72" s="15" t="n"/>
      <c r="CT72" s="16">
        <f>IFERROR(CR72*CS72, 0)</f>
        <v/>
      </c>
      <c r="CU72" s="17">
        <f>IFERROR(SUM(F72,I72,L72,O72,R72,U72,X72,AA72,AD72,AG72,AJ72,AM72,AP72,AS72,AV72,AY72,BB72,BE72,BH72,BK72,BN72,BQ72,BT72,BW72,BZ72,CC72,CF72,CI72,CL72,CO72,CR72), 0)</f>
        <v/>
      </c>
      <c r="CV72" s="16">
        <f>IFERROR(AVERAGE(G72,J72,M72,P72,S72,V72,Y72,AB72,AE72,AH72,AK72,AN72,AQ72,AT72,AW72,AZ72,BC72,BF72,BI72,BL72,BO72,BR72,BU72,BX72,CA72,CD72,CG72,CJ72,CM72,CP72,CS72), 0)</f>
        <v/>
      </c>
      <c r="CW72" s="16">
        <f>CU72*CV72</f>
        <v/>
      </c>
    </row>
    <row r="73">
      <c r="A73" s="11" t="inlineStr">
        <is>
          <t>Chorizo de pollo</t>
        </is>
      </c>
      <c r="B73" s="11" t="inlineStr">
        <is>
          <t>Und</t>
        </is>
      </c>
      <c r="C73" s="12" t="n"/>
      <c r="D73" s="13" t="n"/>
      <c r="E73" s="13" t="n">
        <v>0</v>
      </c>
      <c r="F73" s="14" t="n"/>
      <c r="G73" s="15" t="n"/>
      <c r="H73" s="16">
        <f>IFERROR(F73*G73, 0)</f>
        <v/>
      </c>
      <c r="I73" s="14" t="n"/>
      <c r="J73" s="15" t="n"/>
      <c r="K73" s="16">
        <f>IFERROR(I73*J73, 0)</f>
        <v/>
      </c>
      <c r="L73" s="14" t="n"/>
      <c r="M73" s="15" t="n"/>
      <c r="N73" s="16">
        <f>IFERROR(L73*M73, 0)</f>
        <v/>
      </c>
      <c r="O73" s="14" t="n"/>
      <c r="P73" s="15" t="n"/>
      <c r="Q73" s="16">
        <f>IFERROR(O73*P73, 0)</f>
        <v/>
      </c>
      <c r="R73" s="14" t="n"/>
      <c r="S73" s="15" t="n"/>
      <c r="T73" s="16">
        <f>IFERROR(R73*S73, 0)</f>
        <v/>
      </c>
      <c r="U73" s="14" t="n"/>
      <c r="V73" s="15" t="n"/>
      <c r="W73" s="16">
        <f>IFERROR(U73*V73, 0)</f>
        <v/>
      </c>
      <c r="X73" s="14" t="n"/>
      <c r="Y73" s="15" t="n"/>
      <c r="Z73" s="16">
        <f>IFERROR(X73*Y73, 0)</f>
        <v/>
      </c>
      <c r="AA73" s="14" t="n"/>
      <c r="AB73" s="15" t="n"/>
      <c r="AC73" s="16">
        <f>IFERROR(AA73*AB73, 0)</f>
        <v/>
      </c>
      <c r="AD73" s="14" t="n">
        <v>1</v>
      </c>
      <c r="AE73" s="15" t="n">
        <v>17000</v>
      </c>
      <c r="AF73" s="16" t="n">
        <v>17000</v>
      </c>
      <c r="AG73" s="14" t="n"/>
      <c r="AH73" s="15" t="n"/>
      <c r="AI73" s="16">
        <f>IFERROR(AG73*AH73, 0)</f>
        <v/>
      </c>
      <c r="AJ73" s="14" t="n"/>
      <c r="AK73" s="15" t="n"/>
      <c r="AL73" s="16">
        <f>IFERROR(AJ73*AK73, 0)</f>
        <v/>
      </c>
      <c r="AM73" s="14" t="n"/>
      <c r="AN73" s="15" t="n"/>
      <c r="AO73" s="16">
        <f>IFERROR(AM73*AN73, 0)</f>
        <v/>
      </c>
      <c r="AP73" s="14" t="n"/>
      <c r="AQ73" s="15" t="n"/>
      <c r="AR73" s="16">
        <f>IFERROR(AP73*AQ73, 0)</f>
        <v/>
      </c>
      <c r="AS73" s="14" t="n"/>
      <c r="AT73" s="15" t="n"/>
      <c r="AU73" s="16">
        <f>IFERROR(AS73*AT73, 0)</f>
        <v/>
      </c>
      <c r="AV73" s="14" t="n"/>
      <c r="AW73" s="15" t="n"/>
      <c r="AX73" s="16">
        <f>IFERROR(AV73*AW73, 0)</f>
        <v/>
      </c>
      <c r="AY73" s="14" t="n"/>
      <c r="AZ73" s="15" t="n"/>
      <c r="BA73" s="16">
        <f>IFERROR(AY73*AZ73, 0)</f>
        <v/>
      </c>
      <c r="BB73" s="14" t="n"/>
      <c r="BC73" s="15" t="n"/>
      <c r="BD73" s="16">
        <f>IFERROR(BB73*BC73, 0)</f>
        <v/>
      </c>
      <c r="BE73" s="14" t="n"/>
      <c r="BF73" s="15" t="n"/>
      <c r="BG73" s="16">
        <f>IFERROR(BE73*BF73, 0)</f>
        <v/>
      </c>
      <c r="BH73" s="14" t="n"/>
      <c r="BI73" s="15" t="n"/>
      <c r="BJ73" s="16">
        <f>IFERROR(BH73*BI73, 0)</f>
        <v/>
      </c>
      <c r="BK73" s="14" t="n"/>
      <c r="BL73" s="15" t="n"/>
      <c r="BM73" s="16">
        <f>IFERROR(BK73*BL73, 0)</f>
        <v/>
      </c>
      <c r="BN73" s="14" t="n"/>
      <c r="BO73" s="15" t="n"/>
      <c r="BP73" s="16">
        <f>IFERROR(BN73*BO73, 0)</f>
        <v/>
      </c>
      <c r="BQ73" s="14" t="n"/>
      <c r="BR73" s="15" t="n"/>
      <c r="BS73" s="16">
        <f>IFERROR(BQ73*BR73, 0)</f>
        <v/>
      </c>
      <c r="BT73" s="14" t="n"/>
      <c r="BU73" s="15" t="n"/>
      <c r="BV73" s="16">
        <f>IFERROR(BT73*BU73, 0)</f>
        <v/>
      </c>
      <c r="BW73" s="14" t="n"/>
      <c r="BX73" s="15" t="n"/>
      <c r="BY73" s="16">
        <f>IFERROR(BW73*BX73, 0)</f>
        <v/>
      </c>
      <c r="BZ73" s="14" t="n"/>
      <c r="CA73" s="15" t="n"/>
      <c r="CB73" s="16">
        <f>IFERROR(BZ73*CA73, 0)</f>
        <v/>
      </c>
      <c r="CC73" s="14" t="n"/>
      <c r="CD73" s="15" t="n"/>
      <c r="CE73" s="16">
        <f>IFERROR(CC73*CD73, 0)</f>
        <v/>
      </c>
      <c r="CF73" s="14" t="n"/>
      <c r="CG73" s="15" t="n"/>
      <c r="CH73" s="16">
        <f>IFERROR(CF73*CG73, 0)</f>
        <v/>
      </c>
      <c r="CI73" s="14" t="n"/>
      <c r="CJ73" s="15" t="n"/>
      <c r="CK73" s="16">
        <f>IFERROR(CI73*CJ73, 0)</f>
        <v/>
      </c>
      <c r="CL73" s="14" t="n"/>
      <c r="CM73" s="15" t="n"/>
      <c r="CN73" s="16">
        <f>IFERROR(CL73*CM73, 0)</f>
        <v/>
      </c>
      <c r="CO73" s="14" t="n"/>
      <c r="CP73" s="15" t="n"/>
      <c r="CQ73" s="16">
        <f>IFERROR(CO73*CP73, 0)</f>
        <v/>
      </c>
      <c r="CR73" s="14" t="n"/>
      <c r="CS73" s="15" t="n"/>
      <c r="CT73" s="16">
        <f>IFERROR(CR73*CS73, 0)</f>
        <v/>
      </c>
      <c r="CU73" s="17">
        <f>IFERROR(SUM(F73,I73,L73,O73,R73,U73,X73,AA73,AD73,AG73,AJ73,AM73,AP73,AS73,AV73,AY73,BB73,BE73,BH73,BK73,BN73,BQ73,BT73,BW73,BZ73,CC73,CF73,CI73,CL73,CO73,CR73), 0)</f>
        <v/>
      </c>
      <c r="CV73" s="16">
        <f>IFERROR(AVERAGE(G73,J73,M73,P73,S73,V73,Y73,AB73,AE73,AH73,AK73,AN73,AQ73,AT73,AW73,AZ73,BC73,BF73,BI73,BL73,BO73,BR73,BU73,BX73,CA73,CD73,CG73,CJ73,CM73,CP73,CS73), 0)</f>
        <v/>
      </c>
      <c r="CW73" s="16">
        <f>CU73*CV73</f>
        <v/>
      </c>
    </row>
    <row r="74">
      <c r="A74" s="11" t="inlineStr">
        <is>
          <t>Chorizo coctelero x 40</t>
        </is>
      </c>
      <c r="B74" s="11" t="inlineStr">
        <is>
          <t>Und</t>
        </is>
      </c>
      <c r="C74" s="12" t="n"/>
      <c r="D74" s="13" t="n"/>
      <c r="E74" s="13" t="n">
        <v>0</v>
      </c>
      <c r="F74" s="14" t="n"/>
      <c r="G74" s="15" t="n"/>
      <c r="H74" s="16">
        <f>IFERROR(F74*G74, 0)</f>
        <v/>
      </c>
      <c r="I74" s="14" t="n"/>
      <c r="J74" s="15" t="n"/>
      <c r="K74" s="16">
        <f>IFERROR(I74*J74, 0)</f>
        <v/>
      </c>
      <c r="L74" s="14" t="n"/>
      <c r="M74" s="15" t="n"/>
      <c r="N74" s="16">
        <f>IFERROR(L74*M74, 0)</f>
        <v/>
      </c>
      <c r="O74" s="14" t="n">
        <v>5</v>
      </c>
      <c r="P74" s="15" t="n">
        <v>48000</v>
      </c>
      <c r="Q74" s="16" t="n">
        <v>240000</v>
      </c>
      <c r="R74" s="14" t="n"/>
      <c r="S74" s="15" t="n"/>
      <c r="T74" s="16">
        <f>IFERROR(R74*S74, 0)</f>
        <v/>
      </c>
      <c r="U74" s="14" t="n"/>
      <c r="V74" s="15" t="n"/>
      <c r="W74" s="16">
        <f>IFERROR(U74*V74, 0)</f>
        <v/>
      </c>
      <c r="X74" s="14" t="n"/>
      <c r="Y74" s="15" t="n"/>
      <c r="Z74" s="16">
        <f>IFERROR(X74*Y74, 0)</f>
        <v/>
      </c>
      <c r="AA74" s="14" t="n"/>
      <c r="AB74" s="15" t="n"/>
      <c r="AC74" s="16">
        <f>IFERROR(AA74*AB74, 0)</f>
        <v/>
      </c>
      <c r="AD74" s="14" t="n"/>
      <c r="AE74" s="15" t="n"/>
      <c r="AF74" s="16">
        <f>IFERROR(AD74*AE74, 0)</f>
        <v/>
      </c>
      <c r="AG74" s="14" t="n">
        <v>6</v>
      </c>
      <c r="AH74" s="15" t="n">
        <v>48000</v>
      </c>
      <c r="AI74" s="16" t="n">
        <v>288000</v>
      </c>
      <c r="AJ74" s="14" t="n"/>
      <c r="AK74" s="15" t="n"/>
      <c r="AL74" s="16">
        <f>IFERROR(AJ74*AK74, 0)</f>
        <v/>
      </c>
      <c r="AM74" s="14" t="n"/>
      <c r="AN74" s="15" t="n"/>
      <c r="AO74" s="16">
        <f>IFERROR(AM74*AN74, 0)</f>
        <v/>
      </c>
      <c r="AP74" s="14" t="n"/>
      <c r="AQ74" s="15" t="n"/>
      <c r="AR74" s="16">
        <f>IFERROR(AP74*AQ74, 0)</f>
        <v/>
      </c>
      <c r="AS74" s="14" t="n"/>
      <c r="AT74" s="15" t="n"/>
      <c r="AU74" s="16">
        <f>IFERROR(AS74*AT74, 0)</f>
        <v/>
      </c>
      <c r="AV74" s="14" t="n">
        <v>3</v>
      </c>
      <c r="AW74" s="15" t="n">
        <v>48000</v>
      </c>
      <c r="AX74" s="16" t="n">
        <v>144000</v>
      </c>
      <c r="AY74" s="14" t="n"/>
      <c r="AZ74" s="15" t="n"/>
      <c r="BA74" s="16">
        <f>IFERROR(AY74*AZ74, 0)</f>
        <v/>
      </c>
      <c r="BB74" s="14" t="n"/>
      <c r="BC74" s="15" t="n"/>
      <c r="BD74" s="16">
        <f>IFERROR(BB74*BC74, 0)</f>
        <v/>
      </c>
      <c r="BE74" s="14" t="n"/>
      <c r="BF74" s="15" t="n"/>
      <c r="BG74" s="16">
        <f>IFERROR(BE74*BF74, 0)</f>
        <v/>
      </c>
      <c r="BH74" s="14" t="n"/>
      <c r="BI74" s="15" t="n"/>
      <c r="BJ74" s="16">
        <f>IFERROR(BH74*BI74, 0)</f>
        <v/>
      </c>
      <c r="BK74" s="14" t="n">
        <v>5</v>
      </c>
      <c r="BL74" s="15" t="n">
        <v>48000</v>
      </c>
      <c r="BM74" s="16" t="n">
        <v>240000</v>
      </c>
      <c r="BN74" s="14" t="n"/>
      <c r="BO74" s="15" t="n"/>
      <c r="BP74" s="16">
        <f>IFERROR(BN74*BO74, 0)</f>
        <v/>
      </c>
      <c r="BQ74" s="14" t="n"/>
      <c r="BR74" s="15" t="n"/>
      <c r="BS74" s="16">
        <f>IFERROR(BQ74*BR74, 0)</f>
        <v/>
      </c>
      <c r="BT74" s="14" t="n"/>
      <c r="BU74" s="15" t="n"/>
      <c r="BV74" s="16">
        <f>IFERROR(BT74*BU74, 0)</f>
        <v/>
      </c>
      <c r="BW74" s="14" t="n"/>
      <c r="BX74" s="15" t="n"/>
      <c r="BY74" s="16">
        <f>IFERROR(BW74*BX74, 0)</f>
        <v/>
      </c>
      <c r="BZ74" s="14" t="n"/>
      <c r="CA74" s="15" t="n"/>
      <c r="CB74" s="16">
        <f>IFERROR(BZ74*CA74, 0)</f>
        <v/>
      </c>
      <c r="CC74" s="14" t="n"/>
      <c r="CD74" s="15" t="n"/>
      <c r="CE74" s="16">
        <f>IFERROR(CC74*CD74, 0)</f>
        <v/>
      </c>
      <c r="CF74" s="14" t="n"/>
      <c r="CG74" s="15" t="n"/>
      <c r="CH74" s="16">
        <f>IFERROR(CF74*CG74, 0)</f>
        <v/>
      </c>
      <c r="CI74" s="14" t="n"/>
      <c r="CJ74" s="15" t="n"/>
      <c r="CK74" s="16">
        <f>IFERROR(CI74*CJ74, 0)</f>
        <v/>
      </c>
      <c r="CL74" s="14" t="n"/>
      <c r="CM74" s="15" t="n"/>
      <c r="CN74" s="16">
        <f>IFERROR(CL74*CM74, 0)</f>
        <v/>
      </c>
      <c r="CO74" s="14" t="n"/>
      <c r="CP74" s="15" t="n"/>
      <c r="CQ74" s="16">
        <f>IFERROR(CO74*CP74, 0)</f>
        <v/>
      </c>
      <c r="CR74" s="14" t="n"/>
      <c r="CS74" s="15" t="n"/>
      <c r="CT74" s="16">
        <f>IFERROR(CR74*CS74, 0)</f>
        <v/>
      </c>
      <c r="CU74" s="17">
        <f>IFERROR(SUM(F74,I74,L74,O74,R74,U74,X74,AA74,AD74,AG74,AJ74,AM74,AP74,AS74,AV74,AY74,BB74,BE74,BH74,BK74,BN74,BQ74,BT74,BW74,BZ74,CC74,CF74,CI74,CL74,CO74,CR74), 0)</f>
        <v/>
      </c>
      <c r="CV74" s="16">
        <f>IFERROR(AVERAGE(G74,J74,M74,P74,S74,V74,Y74,AB74,AE74,AH74,AK74,AN74,AQ74,AT74,AW74,AZ74,BC74,BF74,BI74,BL74,BO74,BR74,BU74,BX74,CA74,CD74,CG74,CJ74,CM74,CP74,CS74), 0)</f>
        <v/>
      </c>
      <c r="CW74" s="16">
        <f>CU74*CV74</f>
        <v/>
      </c>
    </row>
    <row r="75">
      <c r="A75" t="inlineStr">
        <is>
          <t>Filete basa</t>
        </is>
      </c>
    </row>
  </sheetData>
  <autoFilter ref="A2:CW74">
    <sortState ref="A14:CW74">
      <sortCondition descending="1" ref="A2:A73"/>
    </sortState>
  </autoFilter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CW98"/>
  <sheetViews>
    <sheetView zoomScale="96" zoomScaleNormal="96" workbookViewId="0">
      <pane xSplit="1" topLeftCell="B1" activePane="topRight" state="frozen"/>
      <selection pane="topRight" activeCell="A1" sqref="A1"/>
    </sheetView>
  </sheetViews>
  <sheetFormatPr baseColWidth="10" defaultColWidth="11.453125" defaultRowHeight="15.5"/>
  <cols>
    <col width="26.453125" customWidth="1" style="23" min="1" max="1"/>
    <col width="13.81640625" customWidth="1" style="23" min="2" max="2"/>
    <col width="16.1796875" customWidth="1" style="23" min="3" max="3"/>
    <col width="11.7265625" customWidth="1" style="23" min="4" max="4"/>
    <col width="12" customWidth="1" style="23" min="5" max="5"/>
    <col width="12.7265625" customWidth="1" style="23" min="6" max="6"/>
    <col width="16" customWidth="1" style="23" min="7" max="7"/>
    <col width="16.7265625" customWidth="1" style="23" min="8" max="8"/>
    <col width="12.7265625" customWidth="1" style="23" min="9" max="9"/>
    <col width="16" customWidth="1" style="23" min="10" max="10"/>
    <col width="16.7265625" customWidth="1" style="23" min="11" max="11"/>
    <col width="12.7265625" customWidth="1" style="23" min="12" max="12"/>
    <col width="16" customWidth="1" style="23" min="13" max="13"/>
    <col width="16.7265625" customWidth="1" style="23" min="14" max="14"/>
    <col width="12.7265625" customWidth="1" style="23" min="15" max="15"/>
    <col width="16" customWidth="1" style="23" min="16" max="16"/>
    <col width="16.7265625" customWidth="1" style="23" min="17" max="17"/>
    <col width="12.7265625" customWidth="1" style="23" min="18" max="18"/>
    <col width="12" customWidth="1" style="23" min="19" max="19"/>
    <col width="16.7265625" customWidth="1" style="23" min="20" max="20"/>
    <col width="12.7265625" customWidth="1" style="23" min="21" max="21"/>
    <col width="16" customWidth="1" style="23" min="22" max="22"/>
    <col width="16.7265625" customWidth="1" style="23" min="23" max="23"/>
    <col width="12.7265625" customWidth="1" style="23" min="24" max="24"/>
    <col width="16" customWidth="1" style="23" min="25" max="25"/>
    <col width="16.7265625" customWidth="1" style="23" min="26" max="26"/>
    <col width="12.7265625" customWidth="1" style="23" min="27" max="27"/>
    <col width="16" customWidth="1" style="23" min="28" max="28"/>
    <col width="16.7265625" customWidth="1" style="23" min="29" max="29"/>
    <col width="12.7265625" customWidth="1" style="23" min="30" max="30"/>
    <col width="16" customWidth="1" style="23" min="31" max="31"/>
    <col width="16.7265625" customWidth="1" style="23" min="32" max="32"/>
    <col width="12.7265625" customWidth="1" style="23" min="33" max="33"/>
    <col width="16" customWidth="1" style="23" min="34" max="34"/>
    <col width="16.7265625" customWidth="1" style="23" min="35" max="35"/>
    <col width="12.7265625" customWidth="1" style="23" min="36" max="36"/>
    <col width="16" customWidth="1" style="23" min="37" max="37"/>
    <col width="16.7265625" customWidth="1" style="23" min="38" max="38"/>
    <col width="12.7265625" customWidth="1" style="23" min="39" max="39"/>
    <col width="16" customWidth="1" style="23" min="40" max="40"/>
    <col width="16.7265625" customWidth="1" style="23" min="41" max="41"/>
    <col width="12.7265625" customWidth="1" style="23" min="42" max="42"/>
    <col width="12" customWidth="1" style="23" min="43" max="43"/>
    <col width="16.7265625" customWidth="1" style="23" min="44" max="44"/>
    <col width="12.7265625" customWidth="1" style="23" min="45" max="45"/>
    <col width="16" customWidth="1" style="23" min="46" max="46"/>
    <col width="16.7265625" customWidth="1" style="23" min="47" max="47"/>
    <col width="12.7265625" customWidth="1" style="23" min="48" max="48"/>
    <col width="16" customWidth="1" style="23" min="49" max="49"/>
    <col width="16.7265625" customWidth="1" style="23" min="50" max="50"/>
    <col width="12.7265625" customWidth="1" style="23" min="51" max="51"/>
    <col width="16" customWidth="1" style="23" min="52" max="52"/>
    <col width="16.7265625" customWidth="1" style="23" min="53" max="53"/>
    <col width="12.7265625" customWidth="1" style="23" min="54" max="54"/>
    <col width="16" customWidth="1" style="23" min="55" max="55"/>
    <col width="16.7265625" customWidth="1" style="23" min="56" max="56"/>
    <col width="12.7265625" customWidth="1" style="24" min="57" max="57"/>
    <col width="16" customWidth="1" style="23" min="58" max="58"/>
    <col width="16.7265625" customWidth="1" style="23" min="59" max="59"/>
    <col width="12.7265625" customWidth="1" style="23" min="60" max="60"/>
    <col width="16" customWidth="1" style="23" min="61" max="61"/>
    <col width="16.7265625" customWidth="1" style="23" min="62" max="62"/>
    <col width="12.7265625" customWidth="1" style="23" min="63" max="63"/>
    <col width="16" customWidth="1" style="23" min="64" max="64"/>
    <col width="16.7265625" customWidth="1" style="23" min="65" max="65"/>
    <col width="12.7265625" customWidth="1" style="23" min="66" max="66"/>
    <col width="12" customWidth="1" style="23" min="67" max="67"/>
    <col width="16.7265625" customWidth="1" style="23" min="68" max="68"/>
    <col width="12.7265625" customWidth="1" style="23" min="69" max="69"/>
    <col width="16" customWidth="1" style="23" min="70" max="70"/>
    <col width="16.7265625" customWidth="1" style="23" min="71" max="71"/>
    <col width="12.7265625" customWidth="1" style="23" min="72" max="72"/>
    <col width="16" customWidth="1" style="23" min="73" max="73"/>
    <col width="16.7265625" customWidth="1" style="23" min="74" max="74"/>
    <col width="12.7265625" customWidth="1" style="23" min="75" max="75"/>
    <col width="16" customWidth="1" style="23" min="76" max="76"/>
    <col width="16.7265625" customWidth="1" style="23" min="77" max="77"/>
    <col width="12.7265625" customWidth="1" style="23" min="78" max="78"/>
    <col width="16" customWidth="1" style="23" min="79" max="79"/>
    <col width="16.7265625" customWidth="1" style="23" min="80" max="80"/>
    <col width="12.7265625" customWidth="1" style="23" min="81" max="81"/>
    <col width="16" customWidth="1" style="23" min="82" max="82"/>
    <col width="16.7265625" customWidth="1" style="23" min="83" max="83"/>
    <col width="12.7265625" customWidth="1" style="23" min="84" max="84"/>
    <col width="16" customWidth="1" style="23" min="85" max="85"/>
    <col width="16.7265625" customWidth="1" style="23" min="86" max="86"/>
    <col width="12.7265625" customWidth="1" style="23" min="87" max="87"/>
    <col width="16" customWidth="1" style="23" min="88" max="88"/>
    <col width="16.7265625" customWidth="1" style="23" min="89" max="89"/>
    <col width="12.7265625" customWidth="1" style="23" min="90" max="90"/>
    <col width="14.54296875" customWidth="1" style="23" min="91" max="91"/>
    <col width="16.7265625" customWidth="1" style="23" min="92" max="92"/>
    <col width="12.7265625" customWidth="1" style="23" min="93" max="93"/>
    <col width="16" customWidth="1" style="23" min="94" max="94"/>
    <col width="16.7265625" customWidth="1" style="23" min="95" max="95"/>
    <col width="12.7265625" customWidth="1" style="23" min="96" max="96"/>
    <col width="16" customWidth="1" style="23" min="97" max="97"/>
    <col width="16.7265625" customWidth="1" style="23" min="98" max="98"/>
    <col width="12.7265625" customWidth="1" style="23" min="99" max="99"/>
    <col width="16" customWidth="1" style="23" min="100" max="100"/>
    <col width="16.7265625" customWidth="1" style="23" min="101" max="101"/>
    <col width="11.81640625" customWidth="1" style="23" min="102" max="102"/>
    <col width="15.81640625" customWidth="1" style="23" min="103" max="103"/>
    <col width="19.81640625" customWidth="1" style="24" min="104" max="104"/>
    <col width="11.453125" customWidth="1" style="23" min="105" max="117"/>
    <col width="11.453125" customWidth="1" style="23" min="118" max="16384"/>
  </cols>
  <sheetData>
    <row r="1" ht="18.75" customHeight="1">
      <c r="A1" s="124" t="inlineStr">
        <is>
          <t>Verduras</t>
        </is>
      </c>
      <c r="B1" s="25" t="n"/>
      <c r="C1" s="25" t="n"/>
      <c r="D1" s="25" t="n"/>
      <c r="E1" s="2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26" t="inlineStr">
        <is>
          <t>Producto</t>
        </is>
      </c>
      <c r="B2" s="26" t="inlineStr">
        <is>
          <t>Medida</t>
        </is>
      </c>
      <c r="C2" s="26" t="inlineStr">
        <is>
          <t>Inv -inicial</t>
        </is>
      </c>
      <c r="D2" s="26" t="inlineStr">
        <is>
          <t>Valor</t>
        </is>
      </c>
      <c r="E2" s="26" t="inlineStr">
        <is>
          <t>Total</t>
        </is>
      </c>
      <c r="F2" s="124" t="inlineStr">
        <is>
          <t>Cantid</t>
        </is>
      </c>
      <c r="G2" s="124" t="inlineStr">
        <is>
          <t>Costo unit</t>
        </is>
      </c>
      <c r="H2" s="124" t="inlineStr">
        <is>
          <t>Vr. compra</t>
        </is>
      </c>
      <c r="I2" s="124" t="inlineStr">
        <is>
          <t>Cantid</t>
        </is>
      </c>
      <c r="J2" s="124" t="inlineStr">
        <is>
          <t>Costo unit</t>
        </is>
      </c>
      <c r="K2" s="124" t="inlineStr">
        <is>
          <t>Vr. compra</t>
        </is>
      </c>
      <c r="L2" s="124" t="inlineStr">
        <is>
          <t>Cantid</t>
        </is>
      </c>
      <c r="M2" s="124" t="inlineStr">
        <is>
          <t>Costo unit</t>
        </is>
      </c>
      <c r="N2" s="124" t="inlineStr">
        <is>
          <t>Vr. compra</t>
        </is>
      </c>
      <c r="O2" s="124" t="inlineStr">
        <is>
          <t>Cantid</t>
        </is>
      </c>
      <c r="P2" s="124" t="inlineStr">
        <is>
          <t>Costo unit</t>
        </is>
      </c>
      <c r="Q2" s="124" t="inlineStr">
        <is>
          <t>Vr. compra</t>
        </is>
      </c>
      <c r="R2" s="124" t="inlineStr">
        <is>
          <t>Cantid</t>
        </is>
      </c>
      <c r="S2" s="124" t="inlineStr">
        <is>
          <t>Costo</t>
        </is>
      </c>
      <c r="T2" s="124" t="inlineStr">
        <is>
          <t>Vr. compra</t>
        </is>
      </c>
      <c r="U2" s="124" t="inlineStr">
        <is>
          <t>Cantid</t>
        </is>
      </c>
      <c r="V2" s="124" t="inlineStr">
        <is>
          <t>Costo unit</t>
        </is>
      </c>
      <c r="W2" s="124" t="inlineStr">
        <is>
          <t>Vr. compra</t>
        </is>
      </c>
      <c r="X2" s="124" t="inlineStr">
        <is>
          <t>Cantid</t>
        </is>
      </c>
      <c r="Y2" s="124" t="inlineStr">
        <is>
          <t>Costo unit</t>
        </is>
      </c>
      <c r="Z2" s="124" t="inlineStr">
        <is>
          <t>Vr. compra</t>
        </is>
      </c>
      <c r="AA2" s="124" t="inlineStr">
        <is>
          <t>Cantid</t>
        </is>
      </c>
      <c r="AB2" s="124" t="inlineStr">
        <is>
          <t>Costo unit</t>
        </is>
      </c>
      <c r="AC2" s="124" t="inlineStr">
        <is>
          <t>Vr. compra</t>
        </is>
      </c>
      <c r="AD2" s="124" t="inlineStr">
        <is>
          <t>Cantid</t>
        </is>
      </c>
      <c r="AE2" s="124" t="inlineStr">
        <is>
          <t>Costo unit</t>
        </is>
      </c>
      <c r="AF2" s="124" t="inlineStr">
        <is>
          <t>Vr. compra</t>
        </is>
      </c>
      <c r="AG2" s="124" t="inlineStr">
        <is>
          <t>Cantid</t>
        </is>
      </c>
      <c r="AH2" s="124" t="inlineStr">
        <is>
          <t>Costo unit</t>
        </is>
      </c>
      <c r="AI2" s="124" t="inlineStr">
        <is>
          <t>Vr. compra</t>
        </is>
      </c>
      <c r="AJ2" s="124" t="inlineStr">
        <is>
          <t>Cantid</t>
        </is>
      </c>
      <c r="AK2" s="124" t="inlineStr">
        <is>
          <t>Costo unit</t>
        </is>
      </c>
      <c r="AL2" s="124" t="inlineStr">
        <is>
          <t>Vr. compra</t>
        </is>
      </c>
      <c r="AM2" s="124" t="inlineStr">
        <is>
          <t>Cantid</t>
        </is>
      </c>
      <c r="AN2" s="124" t="inlineStr">
        <is>
          <t>Costo unit</t>
        </is>
      </c>
      <c r="AO2" s="124" t="inlineStr">
        <is>
          <t>Vr. compra</t>
        </is>
      </c>
      <c r="AP2" s="124" t="inlineStr">
        <is>
          <t>Cantid</t>
        </is>
      </c>
      <c r="AQ2" s="124" t="inlineStr">
        <is>
          <t>Costo</t>
        </is>
      </c>
      <c r="AR2" s="124" t="inlineStr">
        <is>
          <t>Vr. compra</t>
        </is>
      </c>
      <c r="AS2" s="124" t="inlineStr">
        <is>
          <t>Cantid</t>
        </is>
      </c>
      <c r="AT2" s="124" t="inlineStr">
        <is>
          <t>Costo unit</t>
        </is>
      </c>
      <c r="AU2" s="124" t="inlineStr">
        <is>
          <t>Vr. compra</t>
        </is>
      </c>
      <c r="AV2" s="124" t="inlineStr">
        <is>
          <t>Cantid</t>
        </is>
      </c>
      <c r="AW2" s="124" t="inlineStr">
        <is>
          <t>Costo unit</t>
        </is>
      </c>
      <c r="AX2" s="124" t="inlineStr">
        <is>
          <t>Vr. compra</t>
        </is>
      </c>
      <c r="AY2" s="124" t="inlineStr">
        <is>
          <t>Cantid</t>
        </is>
      </c>
      <c r="AZ2" s="124" t="inlineStr">
        <is>
          <t>Costo unit</t>
        </is>
      </c>
      <c r="BA2" s="124" t="inlineStr">
        <is>
          <t>Vr. compra</t>
        </is>
      </c>
      <c r="BB2" s="27" t="inlineStr">
        <is>
          <t>Cantid</t>
        </is>
      </c>
      <c r="BC2" s="124" t="inlineStr">
        <is>
          <t>Costo unit</t>
        </is>
      </c>
      <c r="BD2" s="124" t="inlineStr">
        <is>
          <t>Vr. compra</t>
        </is>
      </c>
      <c r="BE2" s="124" t="inlineStr">
        <is>
          <t>Cantid</t>
        </is>
      </c>
      <c r="BF2" s="124" t="inlineStr">
        <is>
          <t>Costo unit</t>
        </is>
      </c>
      <c r="BG2" s="124" t="inlineStr">
        <is>
          <t>Vr. compra</t>
        </is>
      </c>
      <c r="BH2" s="124" t="inlineStr">
        <is>
          <t>Cantid</t>
        </is>
      </c>
      <c r="BI2" s="124" t="inlineStr">
        <is>
          <t>Costo unit</t>
        </is>
      </c>
      <c r="BJ2" s="124" t="inlineStr">
        <is>
          <t>Vr. compra</t>
        </is>
      </c>
      <c r="BK2" s="124" t="inlineStr">
        <is>
          <t>Cantid</t>
        </is>
      </c>
      <c r="BL2" s="124" t="inlineStr">
        <is>
          <t>Costo unit</t>
        </is>
      </c>
      <c r="BM2" s="124" t="inlineStr">
        <is>
          <t>Vr. compra</t>
        </is>
      </c>
      <c r="BN2" s="124" t="inlineStr">
        <is>
          <t>Cantid</t>
        </is>
      </c>
      <c r="BO2" s="124" t="inlineStr">
        <is>
          <t>Costo</t>
        </is>
      </c>
      <c r="BP2" s="124" t="inlineStr">
        <is>
          <t>Vr. compra</t>
        </is>
      </c>
      <c r="BQ2" s="124" t="inlineStr">
        <is>
          <t>Cantid</t>
        </is>
      </c>
      <c r="BR2" s="124" t="inlineStr">
        <is>
          <t>Costo unit</t>
        </is>
      </c>
      <c r="BS2" s="124" t="inlineStr">
        <is>
          <t>Vr. compra</t>
        </is>
      </c>
      <c r="BT2" s="124" t="inlineStr">
        <is>
          <t>Cantid</t>
        </is>
      </c>
      <c r="BU2" s="124" t="inlineStr">
        <is>
          <t>Costo unit</t>
        </is>
      </c>
      <c r="BV2" s="124" t="inlineStr">
        <is>
          <t>Vr. compra</t>
        </is>
      </c>
      <c r="BW2" s="124" t="inlineStr">
        <is>
          <t>Cantid</t>
        </is>
      </c>
      <c r="BX2" s="124" t="inlineStr">
        <is>
          <t>Costo unit</t>
        </is>
      </c>
      <c r="BY2" s="124" t="inlineStr">
        <is>
          <t>Vr. compra</t>
        </is>
      </c>
      <c r="BZ2" s="124" t="inlineStr">
        <is>
          <t>Cantid</t>
        </is>
      </c>
      <c r="CA2" s="124" t="inlineStr">
        <is>
          <t>Costo unit</t>
        </is>
      </c>
      <c r="CB2" s="124" t="inlineStr">
        <is>
          <t>Vr. compra</t>
        </is>
      </c>
      <c r="CC2" s="124" t="inlineStr">
        <is>
          <t>Cantid</t>
        </is>
      </c>
      <c r="CD2" s="124" t="inlineStr">
        <is>
          <t>Costo unit</t>
        </is>
      </c>
      <c r="CE2" s="124" t="inlineStr">
        <is>
          <t>Vr. compra</t>
        </is>
      </c>
      <c r="CF2" s="124" t="inlineStr">
        <is>
          <t>Cantid</t>
        </is>
      </c>
      <c r="CG2" s="124" t="inlineStr">
        <is>
          <t>Costo unit</t>
        </is>
      </c>
      <c r="CH2" s="124" t="inlineStr">
        <is>
          <t>Vr. compra</t>
        </is>
      </c>
      <c r="CI2" s="124" t="inlineStr">
        <is>
          <t>Cantid</t>
        </is>
      </c>
      <c r="CJ2" s="124" t="inlineStr">
        <is>
          <t>Costo unit</t>
        </is>
      </c>
      <c r="CK2" s="124" t="inlineStr">
        <is>
          <t>Vr. compra</t>
        </is>
      </c>
      <c r="CL2" s="124" t="inlineStr">
        <is>
          <t>Cantid</t>
        </is>
      </c>
      <c r="CM2" s="124" t="inlineStr">
        <is>
          <t>Costo</t>
        </is>
      </c>
      <c r="CN2" s="124" t="inlineStr">
        <is>
          <t>Vr. compra</t>
        </is>
      </c>
      <c r="CO2" s="124" t="inlineStr">
        <is>
          <t>Cantid</t>
        </is>
      </c>
      <c r="CP2" s="124" t="inlineStr">
        <is>
          <t>Costo unit</t>
        </is>
      </c>
      <c r="CQ2" s="124" t="inlineStr">
        <is>
          <t>Vr. compra</t>
        </is>
      </c>
      <c r="CR2" s="124" t="inlineStr">
        <is>
          <t>Cantid</t>
        </is>
      </c>
      <c r="CS2" s="124" t="inlineStr">
        <is>
          <t>Costo unit</t>
        </is>
      </c>
      <c r="CT2" s="124" t="inlineStr">
        <is>
          <t>Vr. compra</t>
        </is>
      </c>
      <c r="CU2" s="124" t="inlineStr">
        <is>
          <t>Cantid</t>
        </is>
      </c>
      <c r="CV2" s="124" t="inlineStr">
        <is>
          <t>Costo unit</t>
        </is>
      </c>
      <c r="CW2" s="27" t="inlineStr">
        <is>
          <t>Vr. compra</t>
        </is>
      </c>
    </row>
    <row r="3" ht="15.75" customHeight="1">
      <c r="A3" s="28" t="inlineStr">
        <is>
          <t>Zapayo</t>
        </is>
      </c>
      <c r="B3" s="28" t="inlineStr">
        <is>
          <t>Kg</t>
        </is>
      </c>
      <c r="C3" s="29" t="n"/>
      <c r="D3" s="30" t="n"/>
      <c r="E3" s="30" t="n"/>
      <c r="F3" s="31" t="n"/>
      <c r="G3" s="32" t="n"/>
      <c r="H3" s="30">
        <f>IFERROR(F3*G3, 0)</f>
        <v/>
      </c>
      <c r="I3" s="31" t="n"/>
      <c r="J3" s="32" t="n"/>
      <c r="K3" s="30">
        <f>IFERROR(I3*J3, 0)</f>
        <v/>
      </c>
      <c r="L3" s="31" t="n"/>
      <c r="M3" s="32" t="n"/>
      <c r="N3" s="30">
        <f>IFERROR(L3*M3, 0)</f>
        <v/>
      </c>
      <c r="O3" s="31" t="n"/>
      <c r="P3" s="32" t="n"/>
      <c r="Q3" s="30">
        <f>IFERROR(O3*P3, 0)</f>
        <v/>
      </c>
      <c r="R3" s="31" t="n"/>
      <c r="S3" s="32" t="n"/>
      <c r="T3" s="30">
        <f>IFERROR(R3*S3, 0)</f>
        <v/>
      </c>
      <c r="U3" s="31" t="n"/>
      <c r="V3" s="32" t="n"/>
      <c r="W3" s="30">
        <f>IFERROR(U3*V3, 0)</f>
        <v/>
      </c>
      <c r="X3" s="31" t="n"/>
      <c r="Y3" s="32" t="n"/>
      <c r="Z3" s="30">
        <f>IFERROR(X3*Y3, 0)</f>
        <v/>
      </c>
      <c r="AA3" s="31" t="n"/>
      <c r="AB3" s="32" t="n"/>
      <c r="AC3" s="30">
        <f>IFERROR(AA3*AB3, 0)</f>
        <v/>
      </c>
      <c r="AD3" s="31" t="n"/>
      <c r="AE3" s="32" t="n"/>
      <c r="AF3" s="30">
        <f>IFERROR(AD3*AE3, 0)</f>
        <v/>
      </c>
      <c r="AG3" s="31" t="n"/>
      <c r="AH3" s="32" t="n"/>
      <c r="AI3" s="30">
        <f>IFERROR(AG3*AH3, 0)</f>
        <v/>
      </c>
      <c r="AJ3" s="31" t="n"/>
      <c r="AK3" s="32" t="n"/>
      <c r="AL3" s="30">
        <f>IFERROR(AJ3*AK3, 0)</f>
        <v/>
      </c>
      <c r="AM3" s="31" t="n"/>
      <c r="AN3" s="32" t="n"/>
      <c r="AO3" s="30">
        <f>IFERROR(AM3*AN3, 0)</f>
        <v/>
      </c>
      <c r="AP3" s="31" t="n"/>
      <c r="AQ3" s="32" t="n"/>
      <c r="AR3" s="30">
        <f>IFERROR(AP3*AQ3, 0)</f>
        <v/>
      </c>
      <c r="AS3" s="31" t="n"/>
      <c r="AT3" s="32" t="n"/>
      <c r="AU3" s="30">
        <f>IFERROR(AS3*AT3, 0)</f>
        <v/>
      </c>
      <c r="AV3" s="31" t="n"/>
      <c r="AW3" s="32" t="n"/>
      <c r="AX3" s="30">
        <f>IFERROR(AV3*AW3, 0)</f>
        <v/>
      </c>
      <c r="AY3" s="31" t="n"/>
      <c r="AZ3" s="32" t="n"/>
      <c r="BA3" s="30">
        <f>IFERROR(AY3*AZ3, 0)</f>
        <v/>
      </c>
      <c r="BB3" s="31" t="n"/>
      <c r="BC3" s="32" t="n"/>
      <c r="BD3" s="30">
        <f>IFERROR(BB3*BC3, 0)</f>
        <v/>
      </c>
      <c r="BE3" s="31" t="n"/>
      <c r="BF3" s="32" t="n"/>
      <c r="BG3" s="30">
        <f>IFERROR(BE3*BF3, 0)</f>
        <v/>
      </c>
      <c r="BH3" s="31" t="n"/>
      <c r="BI3" s="32" t="n"/>
      <c r="BJ3" s="30">
        <f>IFERROR(BH3*BI3, 0)</f>
        <v/>
      </c>
      <c r="BK3" s="31" t="n"/>
      <c r="BL3" s="32" t="n"/>
      <c r="BM3" s="30">
        <f>IFERROR(BK3*BL3, 0)</f>
        <v/>
      </c>
      <c r="BN3" s="31" t="n"/>
      <c r="BO3" s="32" t="n"/>
      <c r="BP3" s="30">
        <f>IFERROR(BN3*BO3, 0)</f>
        <v/>
      </c>
      <c r="BQ3" s="31" t="n"/>
      <c r="BR3" s="32" t="n"/>
      <c r="BS3" s="30">
        <f>IFERROR(BQ3*BR3, 0)</f>
        <v/>
      </c>
      <c r="BT3" s="31" t="n"/>
      <c r="BU3" s="32" t="n"/>
      <c r="BV3" s="30">
        <f>IFERROR(BT3*BU3, 0)</f>
        <v/>
      </c>
      <c r="BW3" s="31" t="n"/>
      <c r="BX3" s="32" t="n"/>
      <c r="BY3" s="30">
        <f>IFERROR(BW3*BX3, 0)</f>
        <v/>
      </c>
      <c r="BZ3" s="31" t="n"/>
      <c r="CA3" s="32" t="n"/>
      <c r="CB3" s="30">
        <f>IFERROR(BZ3*CA3, 0)</f>
        <v/>
      </c>
      <c r="CC3" s="31" t="n"/>
      <c r="CD3" s="32" t="n"/>
      <c r="CE3" s="30">
        <f>IFERROR(CC3*CD3, 0)</f>
        <v/>
      </c>
      <c r="CF3" s="31" t="n"/>
      <c r="CG3" s="32" t="n"/>
      <c r="CH3" s="30">
        <f>IFERROR(CF3*CG3, 0)</f>
        <v/>
      </c>
      <c r="CI3" s="31" t="n"/>
      <c r="CJ3" s="32" t="n"/>
      <c r="CK3" s="30">
        <f>IFERROR(CI3*CJ3, 0)</f>
        <v/>
      </c>
      <c r="CL3" s="31" t="n"/>
      <c r="CM3" s="32" t="n"/>
      <c r="CN3" s="30">
        <f>IFERROR(CL3*CM3, 0)</f>
        <v/>
      </c>
      <c r="CO3" s="31" t="n"/>
      <c r="CP3" s="32" t="n"/>
      <c r="CQ3" s="30">
        <f>IFERROR(CO3*CP3, 0)</f>
        <v/>
      </c>
      <c r="CR3" s="31" t="n"/>
      <c r="CS3" s="32" t="n"/>
      <c r="CT3" s="30">
        <f>IFERROR(CR3*CS3, 0)</f>
        <v/>
      </c>
      <c r="CU3" s="33">
        <f>IFERROR(SUM(F3,I3,L3,O3,R3,U3,X3,AA3,AD3,AG3,AJ3,AM3,AP3,AS3,AV3,AY3,BB3,BE3,BH3,BK3,BN3,BQ3,BT3,BW3,BZ3,CC3,CF3,CI3,CL3,CO3,CR3), 0)</f>
        <v/>
      </c>
      <c r="CV3" s="30">
        <f>IFERROR(AVERAGE(G3,J3,M3,P3,S3,V3,Y3,AB3,AE3,AH3,AK3,AN3,AQ3,AT3,AW3,AZ3,BC3,BF3,BI3,BL3,BO3,BR3,BU3,BX3,CA3,CD3,CG3,CJ3,CM3,CP3,CS3), 0)</f>
        <v/>
      </c>
      <c r="CW3" s="30">
        <f>CU3*CV3</f>
        <v/>
      </c>
    </row>
    <row r="4" ht="15.75" customHeight="1">
      <c r="A4" s="28" t="inlineStr">
        <is>
          <t>Zanahoria</t>
        </is>
      </c>
      <c r="B4" s="28" t="inlineStr">
        <is>
          <t>Kg</t>
        </is>
      </c>
      <c r="C4" s="29" t="n"/>
      <c r="D4" s="30" t="n"/>
      <c r="E4" s="30" t="n"/>
      <c r="F4" s="31" t="n"/>
      <c r="G4" s="32" t="n"/>
      <c r="H4" s="30">
        <f>IFERROR(F4*G4, 0)</f>
        <v/>
      </c>
      <c r="I4" s="31" t="n"/>
      <c r="J4" s="32" t="n"/>
      <c r="K4" s="30">
        <f>IFERROR(I4*J4, 0)</f>
        <v/>
      </c>
      <c r="L4" s="31" t="n"/>
      <c r="M4" s="32" t="n"/>
      <c r="N4" s="30">
        <f>IFERROR(L4*M4, 0)</f>
        <v/>
      </c>
      <c r="O4" s="31" t="n"/>
      <c r="P4" s="32" t="n"/>
      <c r="Q4" s="30">
        <f>IFERROR(O4*P4, 0)</f>
        <v/>
      </c>
      <c r="R4" s="31" t="n"/>
      <c r="S4" s="32" t="n"/>
      <c r="T4" s="30">
        <f>IFERROR(R4*S4, 0)</f>
        <v/>
      </c>
      <c r="U4" s="31" t="n"/>
      <c r="V4" s="32" t="n"/>
      <c r="W4" s="30">
        <f>IFERROR(U4*V4, 0)</f>
        <v/>
      </c>
      <c r="X4" s="31" t="n"/>
      <c r="Y4" s="32" t="n"/>
      <c r="Z4" s="30">
        <f>IFERROR(X4*Y4, 0)</f>
        <v/>
      </c>
      <c r="AA4" s="31" t="n"/>
      <c r="AB4" s="32" t="n"/>
      <c r="AC4" s="30">
        <f>IFERROR(AA4*AB4, 0)</f>
        <v/>
      </c>
      <c r="AD4" s="31" t="n"/>
      <c r="AE4" s="32" t="n"/>
      <c r="AF4" s="30">
        <f>IFERROR(AD4*AE4, 0)</f>
        <v/>
      </c>
      <c r="AG4" s="31" t="n"/>
      <c r="AH4" s="32" t="n"/>
      <c r="AI4" s="30">
        <f>IFERROR(AG4*AH4, 0)</f>
        <v/>
      </c>
      <c r="AJ4" s="31" t="n"/>
      <c r="AK4" s="32" t="n"/>
      <c r="AL4" s="30">
        <f>IFERROR(AJ4*AK4, 0)</f>
        <v/>
      </c>
      <c r="AM4" s="31" t="n"/>
      <c r="AN4" s="32" t="n"/>
      <c r="AO4" s="30">
        <f>IFERROR(AM4*AN4, 0)</f>
        <v/>
      </c>
      <c r="AP4" s="31" t="n">
        <v>16.5</v>
      </c>
      <c r="AQ4" s="32" t="n">
        <v>2800</v>
      </c>
      <c r="AR4" s="30" t="n">
        <v>44460</v>
      </c>
      <c r="AS4" s="31" t="n">
        <v>9.1</v>
      </c>
      <c r="AT4" s="32" t="n">
        <v>2000</v>
      </c>
      <c r="AU4" s="30" t="n">
        <v>18200</v>
      </c>
      <c r="AV4" s="31" t="n"/>
      <c r="AW4" s="32" t="n"/>
      <c r="AX4" s="30">
        <f>IFERROR(AV4*AW4, 0)</f>
        <v/>
      </c>
      <c r="AY4" s="31" t="n"/>
      <c r="AZ4" s="32" t="n"/>
      <c r="BA4" s="30">
        <f>IFERROR(AY4*AZ4, 0)</f>
        <v/>
      </c>
      <c r="BB4" s="31" t="n"/>
      <c r="BC4" s="32" t="n"/>
      <c r="BD4" s="30">
        <f>IFERROR(BB4*BC4, 0)</f>
        <v/>
      </c>
      <c r="BE4" s="31" t="n"/>
      <c r="BF4" s="32" t="n"/>
      <c r="BG4" s="30">
        <f>IFERROR(BE4*BF4, 0)</f>
        <v/>
      </c>
      <c r="BH4" s="31" t="n"/>
      <c r="BI4" s="32" t="n"/>
      <c r="BJ4" s="30">
        <f>IFERROR(BH4*BI4, 0)</f>
        <v/>
      </c>
      <c r="BK4" s="31" t="n"/>
      <c r="BL4" s="32" t="n"/>
      <c r="BM4" s="30">
        <f>IFERROR(BK4*BL4, 0)</f>
        <v/>
      </c>
      <c r="BN4" s="31" t="n">
        <v>15.2</v>
      </c>
      <c r="BO4" s="32" t="n">
        <v>2000</v>
      </c>
      <c r="BP4" s="30" t="n">
        <v>36700</v>
      </c>
      <c r="BQ4" s="31" t="n"/>
      <c r="BR4" s="32" t="n"/>
      <c r="BS4" s="30">
        <f>IFERROR(BQ4*BR4, 0)</f>
        <v/>
      </c>
      <c r="BT4" s="31" t="n"/>
      <c r="BU4" s="32" t="n"/>
      <c r="BV4" s="30">
        <f>IFERROR(BT4*BU4, 0)</f>
        <v/>
      </c>
      <c r="BW4" s="31" t="n"/>
      <c r="BX4" s="32" t="n"/>
      <c r="BY4" s="30">
        <f>IFERROR(BW4*BX4, 0)</f>
        <v/>
      </c>
      <c r="BZ4" s="31" t="n"/>
      <c r="CA4" s="32" t="n"/>
      <c r="CB4" s="30">
        <f>IFERROR(BZ4*CA4, 0)</f>
        <v/>
      </c>
      <c r="CC4" s="31" t="n"/>
      <c r="CD4" s="32" t="n"/>
      <c r="CE4" s="30">
        <f>IFERROR(CC4*CD4, 0)</f>
        <v/>
      </c>
      <c r="CF4" s="31" t="n"/>
      <c r="CG4" s="32" t="n"/>
      <c r="CH4" s="30">
        <f>IFERROR(CF4*CG4, 0)</f>
        <v/>
      </c>
      <c r="CI4" s="31" t="n"/>
      <c r="CJ4" s="32" t="n"/>
      <c r="CK4" s="30">
        <f>IFERROR(CI4*CJ4, 0)</f>
        <v/>
      </c>
      <c r="CL4" s="31" t="n"/>
      <c r="CM4" s="32" t="n"/>
      <c r="CN4" s="30">
        <f>IFERROR(CL4*CM4, 0)</f>
        <v/>
      </c>
      <c r="CO4" s="31" t="n"/>
      <c r="CP4" s="32" t="n"/>
      <c r="CQ4" s="30">
        <f>IFERROR(CO4*CP4, 0)</f>
        <v/>
      </c>
      <c r="CR4" s="31" t="n"/>
      <c r="CS4" s="32" t="n"/>
      <c r="CT4" s="30">
        <f>IFERROR(CR4*CS4, 0)</f>
        <v/>
      </c>
      <c r="CU4" s="33">
        <f>IFERROR(SUM(F4,I4,L4,O4,R4,U4,X4,AA4,AD4,AG4,AJ4,AM4,AP4,AS4,AV4,AY4,BB4,BE4,BH4,BK4,BN4,BQ4,BT4,BW4,BZ4,CC4,CF4,CI4,CL4,CO4,CR4), 0)</f>
        <v/>
      </c>
      <c r="CV4" s="30">
        <f>IFERROR(AVERAGE(G4,J4,M4,P4,S4,V4,Y4,AB4,AE4,AH4,AK4,AN4,AQ4,AT4,AW4,AZ4,BC4,BF4,BI4,BL4,BO4,BR4,BU4,BX4,CA4,CD4,CG4,CJ4,CM4,CP4,CS4), 0)</f>
        <v/>
      </c>
      <c r="CW4" s="30">
        <f>CU4*CV4</f>
        <v/>
      </c>
    </row>
    <row r="5" ht="15.75" customHeight="1">
      <c r="A5" s="28" t="inlineStr">
        <is>
          <t>Yuca</t>
        </is>
      </c>
      <c r="B5" s="28" t="inlineStr">
        <is>
          <t>Kg</t>
        </is>
      </c>
      <c r="C5" s="29" t="n"/>
      <c r="D5" s="30" t="n"/>
      <c r="E5" s="30" t="n"/>
      <c r="F5" s="31" t="n"/>
      <c r="G5" s="32" t="n"/>
      <c r="H5" s="30">
        <f>IFERROR(F5*G5, 0)</f>
        <v/>
      </c>
      <c r="I5" s="31" t="n"/>
      <c r="J5" s="32" t="n"/>
      <c r="K5" s="30">
        <f>IFERROR(I5*J5, 0)</f>
        <v/>
      </c>
      <c r="L5" s="31" t="n"/>
      <c r="M5" s="32" t="n"/>
      <c r="N5" s="30">
        <f>IFERROR(L5*M5, 0)</f>
        <v/>
      </c>
      <c r="O5" s="31" t="n"/>
      <c r="P5" s="32" t="n"/>
      <c r="Q5" s="30">
        <f>IFERROR(O5*P5, 0)</f>
        <v/>
      </c>
      <c r="R5" s="31" t="n"/>
      <c r="S5" s="32" t="n"/>
      <c r="T5" s="30">
        <f>IFERROR(R5*S5, 0)</f>
        <v/>
      </c>
      <c r="U5" s="31" t="n"/>
      <c r="V5" s="32" t="n"/>
      <c r="W5" s="30">
        <f>IFERROR(U5*V5, 0)</f>
        <v/>
      </c>
      <c r="X5" s="31" t="n"/>
      <c r="Y5" s="32" t="n"/>
      <c r="Z5" s="30">
        <f>IFERROR(X5*Y5, 0)</f>
        <v/>
      </c>
      <c r="AA5" s="31" t="n"/>
      <c r="AB5" s="32" t="n"/>
      <c r="AC5" s="30">
        <f>IFERROR(AA5*AB5, 0)</f>
        <v/>
      </c>
      <c r="AD5" s="31" t="n"/>
      <c r="AE5" s="32" t="n"/>
      <c r="AF5" s="30">
        <f>IFERROR(AD5*AE5, 0)</f>
        <v/>
      </c>
      <c r="AG5" s="31" t="n"/>
      <c r="AH5" s="32" t="n"/>
      <c r="AI5" s="30">
        <f>IFERROR(AG5*AH5, 0)</f>
        <v/>
      </c>
      <c r="AJ5" s="31" t="n"/>
      <c r="AK5" s="32" t="n"/>
      <c r="AL5" s="30">
        <f>IFERROR(AJ5*AK5, 0)</f>
        <v/>
      </c>
      <c r="AM5" s="31" t="n"/>
      <c r="AN5" s="32" t="n"/>
      <c r="AO5" s="30">
        <f>IFERROR(AM5*AN5, 0)</f>
        <v/>
      </c>
      <c r="AP5" s="31" t="n"/>
      <c r="AQ5" s="32" t="n"/>
      <c r="AR5" s="30">
        <f>IFERROR(AP5*AQ5, 0)</f>
        <v/>
      </c>
      <c r="AS5" s="31" t="n"/>
      <c r="AT5" s="32" t="n"/>
      <c r="AU5" s="30">
        <f>IFERROR(AS5*AT5, 0)</f>
        <v/>
      </c>
      <c r="AV5" s="31" t="n"/>
      <c r="AW5" s="32" t="n"/>
      <c r="AX5" s="30">
        <f>IFERROR(AV5*AW5, 0)</f>
        <v/>
      </c>
      <c r="AY5" s="31" t="n"/>
      <c r="AZ5" s="32" t="n"/>
      <c r="BA5" s="30">
        <f>IFERROR(AY5*AZ5, 0)</f>
        <v/>
      </c>
      <c r="BB5" s="31" t="n"/>
      <c r="BC5" s="32" t="n"/>
      <c r="BD5" s="30">
        <f>IFERROR(BB5*BC5, 0)</f>
        <v/>
      </c>
      <c r="BE5" s="31" t="n"/>
      <c r="BF5" s="32" t="n"/>
      <c r="BG5" s="30">
        <f>IFERROR(BE5*BF5, 0)</f>
        <v/>
      </c>
      <c r="BH5" s="31" t="n"/>
      <c r="BI5" s="32" t="n"/>
      <c r="BJ5" s="30">
        <f>IFERROR(BH5*BI5, 0)</f>
        <v/>
      </c>
      <c r="BK5" s="31" t="n"/>
      <c r="BL5" s="32" t="n"/>
      <c r="BM5" s="30">
        <f>IFERROR(BK5*BL5, 0)</f>
        <v/>
      </c>
      <c r="BN5" s="31" t="n"/>
      <c r="BO5" s="32" t="n"/>
      <c r="BP5" s="30">
        <f>IFERROR(BN5*BO5, 0)</f>
        <v/>
      </c>
      <c r="BQ5" s="31" t="n"/>
      <c r="BR5" s="32" t="n"/>
      <c r="BS5" s="30">
        <f>IFERROR(BQ5*BR5, 0)</f>
        <v/>
      </c>
      <c r="BT5" s="31" t="n"/>
      <c r="BU5" s="32" t="n"/>
      <c r="BV5" s="30">
        <f>IFERROR(BT5*BU5, 0)</f>
        <v/>
      </c>
      <c r="BW5" s="31" t="n"/>
      <c r="BX5" s="32" t="n"/>
      <c r="BY5" s="30">
        <f>IFERROR(BW5*BX5, 0)</f>
        <v/>
      </c>
      <c r="BZ5" s="31" t="n"/>
      <c r="CA5" s="32" t="n"/>
      <c r="CB5" s="30">
        <f>IFERROR(BZ5*CA5, 0)</f>
        <v/>
      </c>
      <c r="CC5" s="31" t="n"/>
      <c r="CD5" s="32" t="n"/>
      <c r="CE5" s="30">
        <f>IFERROR(CC5*CD5, 0)</f>
        <v/>
      </c>
      <c r="CF5" s="31" t="n"/>
      <c r="CG5" s="32" t="n"/>
      <c r="CH5" s="30">
        <f>IFERROR(CF5*CG5, 0)</f>
        <v/>
      </c>
      <c r="CI5" s="31" t="n"/>
      <c r="CJ5" s="32" t="n"/>
      <c r="CK5" s="30">
        <f>IFERROR(CI5*CJ5, 0)</f>
        <v/>
      </c>
      <c r="CL5" s="31" t="n"/>
      <c r="CM5" s="32" t="n"/>
      <c r="CN5" s="30">
        <f>IFERROR(CL5*CM5, 0)</f>
        <v/>
      </c>
      <c r="CO5" s="31" t="n"/>
      <c r="CP5" s="32" t="n"/>
      <c r="CQ5" s="30">
        <f>IFERROR(CO5*CP5, 0)</f>
        <v/>
      </c>
      <c r="CR5" s="31" t="n"/>
      <c r="CS5" s="32" t="n"/>
      <c r="CT5" s="30">
        <f>IFERROR(CR5*CS5, 0)</f>
        <v/>
      </c>
      <c r="CU5" s="33">
        <f>IFERROR(SUM(F5,I5,L5,O5,R5,U5,X5,AA5,AD5,AG5,AJ5,AM5,AP5,AS5,AV5,AY5,BB5,BE5,BH5,BK5,BN5,BQ5,BT5,BW5,BZ5,CC5,CF5,CI5,CL5,CO5,CR5), 0)</f>
        <v/>
      </c>
      <c r="CV5" s="30">
        <f>IFERROR(AVERAGE(G5,J5,M5,P5,S5,V5,Y5,AB5,AE5,AH5,AK5,AN5,AQ5,AT5,AW5,AZ5,BC5,BF5,BI5,BL5,BO5,BR5,BU5,BX5,CA5,CD5,CG5,CJ5,CM5,CP5,CS5), 0)</f>
        <v/>
      </c>
      <c r="CW5" s="30">
        <f>CU5*CV5</f>
        <v/>
      </c>
    </row>
    <row r="6" ht="15.75" customHeight="1">
      <c r="A6" s="28" t="inlineStr">
        <is>
          <t>Uva</t>
        </is>
      </c>
      <c r="B6" s="28" t="inlineStr">
        <is>
          <t>Kg</t>
        </is>
      </c>
      <c r="C6" s="34" t="n"/>
      <c r="D6" s="32" t="n"/>
      <c r="E6" s="32" t="n"/>
      <c r="F6" s="31" t="n"/>
      <c r="G6" s="32" t="n"/>
      <c r="H6" s="30">
        <f>IFERROR(F6*G6, 0)</f>
        <v/>
      </c>
      <c r="I6" s="31" t="n"/>
      <c r="J6" s="32" t="n"/>
      <c r="K6" s="30">
        <f>IFERROR(I6*J6, 0)</f>
        <v/>
      </c>
      <c r="L6" s="31" t="n"/>
      <c r="M6" s="32" t="n"/>
      <c r="N6" s="30">
        <f>IFERROR(L6*M6, 0)</f>
        <v/>
      </c>
      <c r="O6" s="31" t="n"/>
      <c r="P6" s="32" t="n"/>
      <c r="Q6" s="30">
        <f>IFERROR(O6*P6, 0)</f>
        <v/>
      </c>
      <c r="R6" s="31" t="n"/>
      <c r="S6" s="32" t="n"/>
      <c r="T6" s="30">
        <f>IFERROR(R6*S6, 0)</f>
        <v/>
      </c>
      <c r="U6" s="31" t="n"/>
      <c r="V6" s="32" t="n"/>
      <c r="W6" s="30">
        <f>IFERROR(U6*V6, 0)</f>
        <v/>
      </c>
      <c r="X6" s="31" t="n"/>
      <c r="Y6" s="32" t="n"/>
      <c r="Z6" s="30">
        <f>IFERROR(X6*Y6, 0)</f>
        <v/>
      </c>
      <c r="AA6" s="31" t="n"/>
      <c r="AB6" s="32" t="n"/>
      <c r="AC6" s="30">
        <f>IFERROR(AA6*AB6, 0)</f>
        <v/>
      </c>
      <c r="AD6" s="31" t="n"/>
      <c r="AE6" s="32" t="n"/>
      <c r="AF6" s="30">
        <f>IFERROR(AD6*AE6, 0)</f>
        <v/>
      </c>
      <c r="AG6" s="31" t="n"/>
      <c r="AH6" s="32" t="n"/>
      <c r="AI6" s="30">
        <f>IFERROR(AG6*AH6, 0)</f>
        <v/>
      </c>
      <c r="AJ6" s="31" t="n"/>
      <c r="AK6" s="32" t="n"/>
      <c r="AL6" s="30">
        <f>IFERROR(AJ6*AK6, 0)</f>
        <v/>
      </c>
      <c r="AM6" s="31" t="n"/>
      <c r="AN6" s="32" t="n"/>
      <c r="AO6" s="30">
        <f>IFERROR(AM6*AN6, 0)</f>
        <v/>
      </c>
      <c r="AP6" s="31" t="n"/>
      <c r="AQ6" s="32" t="n"/>
      <c r="AR6" s="30">
        <f>IFERROR(AP6*AQ6, 0)</f>
        <v/>
      </c>
      <c r="AS6" s="31" t="n"/>
      <c r="AT6" s="32" t="n"/>
      <c r="AU6" s="30">
        <f>IFERROR(AS6*AT6, 0)</f>
        <v/>
      </c>
      <c r="AV6" s="31" t="n"/>
      <c r="AW6" s="32" t="n"/>
      <c r="AX6" s="30">
        <f>IFERROR(AV6*AW6, 0)</f>
        <v/>
      </c>
      <c r="AY6" s="31" t="n"/>
      <c r="AZ6" s="32" t="n"/>
      <c r="BA6" s="30">
        <f>IFERROR(AY6*AZ6, 0)</f>
        <v/>
      </c>
      <c r="BB6" s="31" t="n"/>
      <c r="BC6" s="32" t="n"/>
      <c r="BD6" s="30">
        <f>IFERROR(BB6*BC6, 0)</f>
        <v/>
      </c>
      <c r="BE6" s="31" t="n"/>
      <c r="BF6" s="32" t="n"/>
      <c r="BG6" s="30">
        <f>IFERROR(BE6*BF6, 0)</f>
        <v/>
      </c>
      <c r="BH6" s="31" t="n"/>
      <c r="BI6" s="32" t="n"/>
      <c r="BJ6" s="30">
        <f>IFERROR(BH6*BI6, 0)</f>
        <v/>
      </c>
      <c r="BK6" s="31" t="n"/>
      <c r="BL6" s="32" t="n"/>
      <c r="BM6" s="30">
        <f>IFERROR(BK6*BL6, 0)</f>
        <v/>
      </c>
      <c r="BN6" s="31" t="n"/>
      <c r="BO6" s="32" t="n"/>
      <c r="BP6" s="30">
        <f>IFERROR(BN6*BO6, 0)</f>
        <v/>
      </c>
      <c r="BQ6" s="31" t="n"/>
      <c r="BR6" s="32" t="n"/>
      <c r="BS6" s="30">
        <f>IFERROR(BQ6*BR6, 0)</f>
        <v/>
      </c>
      <c r="BT6" s="31" t="n"/>
      <c r="BU6" s="32" t="n"/>
      <c r="BV6" s="30">
        <f>IFERROR(BT6*BU6, 0)</f>
        <v/>
      </c>
      <c r="BW6" s="31" t="n"/>
      <c r="BX6" s="32" t="n"/>
      <c r="BY6" s="30">
        <f>IFERROR(BW6*BX6, 0)</f>
        <v/>
      </c>
      <c r="BZ6" s="31" t="n"/>
      <c r="CA6" s="32" t="n"/>
      <c r="CB6" s="30">
        <f>IFERROR(BZ6*CA6, 0)</f>
        <v/>
      </c>
      <c r="CC6" s="31" t="n"/>
      <c r="CD6" s="32" t="n"/>
      <c r="CE6" s="30">
        <f>IFERROR(CC6*CD6, 0)</f>
        <v/>
      </c>
      <c r="CF6" s="31" t="n"/>
      <c r="CG6" s="32" t="n"/>
      <c r="CH6" s="30">
        <f>IFERROR(CF6*CG6, 0)</f>
        <v/>
      </c>
      <c r="CI6" s="31" t="n"/>
      <c r="CJ6" s="32" t="n"/>
      <c r="CK6" s="30">
        <f>IFERROR(CI6*CJ6, 0)</f>
        <v/>
      </c>
      <c r="CL6" s="31" t="n"/>
      <c r="CM6" s="32" t="n"/>
      <c r="CN6" s="30">
        <f>IFERROR(CL6*CM6, 0)</f>
        <v/>
      </c>
      <c r="CO6" s="31" t="n"/>
      <c r="CP6" s="32" t="n"/>
      <c r="CQ6" s="30">
        <f>IFERROR(CO6*CP6, 0)</f>
        <v/>
      </c>
      <c r="CR6" s="31" t="n"/>
      <c r="CS6" s="32" t="n"/>
      <c r="CT6" s="30">
        <f>IFERROR(CR6*CS6, 0)</f>
        <v/>
      </c>
      <c r="CU6" s="33">
        <f>IFERROR(SUM(F6,I6,L6,O6,R6,U6,X6,AA6,AD6,AG6,AJ6,AM6,AP6,AS6,AV6,AY6,BB6,BE6,BH6,BK6,BN6,BQ6,BT6,BW6,BZ6,CC6,CF6,CI6,CL6,CO6,CR6), 0)</f>
        <v/>
      </c>
      <c r="CV6" s="30">
        <f>IFERROR(AVERAGE(G6,J6,M6,P6,S6,V6,Y6,AB6,AE6,AH6,AK6,AN6,AQ6,AT6,AW6,AZ6,BC6,BF6,BI6,BL6,BO6,BR6,BU6,BX6,CA6,CD6,CG6,CJ6,CM6,CP6,CS6), 0)</f>
        <v/>
      </c>
      <c r="CW6" s="30">
        <f>CU6*CV6</f>
        <v/>
      </c>
    </row>
    <row r="7" ht="15.75" customHeight="1">
      <c r="A7" s="35" t="inlineStr">
        <is>
          <t>Ulluco Limpio</t>
        </is>
      </c>
      <c r="B7" s="28" t="inlineStr">
        <is>
          <t>Kg</t>
        </is>
      </c>
      <c r="C7" s="35" t="n"/>
      <c r="D7" s="35" t="n"/>
      <c r="E7" s="35" t="n"/>
      <c r="F7" s="31" t="n"/>
      <c r="G7" s="32" t="n"/>
      <c r="H7" s="30">
        <f>IFERROR(F7*G7, 0)</f>
        <v/>
      </c>
      <c r="I7" s="31" t="n"/>
      <c r="J7" s="32" t="n"/>
      <c r="K7" s="30">
        <f>IFERROR(I7*J7, 0)</f>
        <v/>
      </c>
      <c r="L7" s="31" t="n"/>
      <c r="M7" s="32" t="n"/>
      <c r="N7" s="30">
        <f>IFERROR(L7*M7, 0)</f>
        <v/>
      </c>
      <c r="O7" s="31" t="n"/>
      <c r="P7" s="32" t="n"/>
      <c r="Q7" s="30">
        <f>IFERROR(O7*P7, 0)</f>
        <v/>
      </c>
      <c r="R7" s="31" t="n"/>
      <c r="S7" s="32" t="n"/>
      <c r="T7" s="30">
        <f>IFERROR(R7*S7, 0)</f>
        <v/>
      </c>
      <c r="U7" s="31" t="n"/>
      <c r="V7" s="32" t="n"/>
      <c r="W7" s="30">
        <f>IFERROR(U7*V7, 0)</f>
        <v/>
      </c>
      <c r="X7" s="31" t="n"/>
      <c r="Y7" s="32" t="n"/>
      <c r="Z7" s="30">
        <f>IFERROR(X7*Y7, 0)</f>
        <v/>
      </c>
      <c r="AA7" s="31" t="n"/>
      <c r="AB7" s="32" t="n"/>
      <c r="AC7" s="30">
        <f>IFERROR(AA7*AB7, 0)</f>
        <v/>
      </c>
      <c r="AD7" s="31" t="n"/>
      <c r="AE7" s="32" t="n"/>
      <c r="AF7" s="30">
        <f>IFERROR(AD7*AE7, 0)</f>
        <v/>
      </c>
      <c r="AG7" s="31" t="n"/>
      <c r="AH7" s="32" t="n"/>
      <c r="AI7" s="30">
        <f>IFERROR(AG7*AH7, 0)</f>
        <v/>
      </c>
      <c r="AJ7" s="31" t="n"/>
      <c r="AK7" s="32" t="n"/>
      <c r="AL7" s="30">
        <f>IFERROR(AJ7*AK7, 0)</f>
        <v/>
      </c>
      <c r="AM7" s="31" t="n"/>
      <c r="AN7" s="32" t="n"/>
      <c r="AO7" s="30">
        <f>IFERROR(AM7*AN7, 0)</f>
        <v/>
      </c>
      <c r="AP7" s="31" t="n">
        <v>4.8</v>
      </c>
      <c r="AQ7" s="32" t="n">
        <v>9000</v>
      </c>
      <c r="AR7" s="30" t="n">
        <v>43200</v>
      </c>
      <c r="AS7" s="31" t="n">
        <v>5</v>
      </c>
      <c r="AT7" s="32" t="n">
        <v>10000</v>
      </c>
      <c r="AU7" s="30" t="n">
        <v>50000</v>
      </c>
      <c r="AV7" s="31" t="n"/>
      <c r="AW7" s="32" t="n"/>
      <c r="AX7" s="30">
        <f>IFERROR(AV7*AW7, 0)</f>
        <v/>
      </c>
      <c r="AY7" s="31" t="n"/>
      <c r="AZ7" s="32" t="n"/>
      <c r="BA7" s="30">
        <f>IFERROR(AY7*AZ7, 0)</f>
        <v/>
      </c>
      <c r="BB7" s="31" t="n"/>
      <c r="BC7" s="32" t="n"/>
      <c r="BD7" s="30">
        <f>IFERROR(BB7*BC7, 0)</f>
        <v/>
      </c>
      <c r="BE7" s="31" t="n"/>
      <c r="BF7" s="32" t="n"/>
      <c r="BG7" s="30">
        <f>IFERROR(BE7*BF7, 0)</f>
        <v/>
      </c>
      <c r="BH7" s="31" t="n"/>
      <c r="BI7" s="32" t="n"/>
      <c r="BJ7" s="30">
        <f>IFERROR(BH7*BI7, 0)</f>
        <v/>
      </c>
      <c r="BK7" s="31" t="n"/>
      <c r="BL7" s="32" t="n"/>
      <c r="BM7" s="30">
        <f>IFERROR(BK7*BL7, 0)</f>
        <v/>
      </c>
      <c r="BN7" s="31" t="n"/>
      <c r="BO7" s="32" t="n"/>
      <c r="BP7" s="30">
        <f>IFERROR(BN7*BO7, 0)</f>
        <v/>
      </c>
      <c r="BQ7" s="31" t="n"/>
      <c r="BR7" s="32" t="n"/>
      <c r="BS7" s="30">
        <f>IFERROR(BQ7*BR7, 0)</f>
        <v/>
      </c>
      <c r="BT7" s="31" t="n"/>
      <c r="BU7" s="32" t="n"/>
      <c r="BV7" s="30">
        <f>IFERROR(BT7*BU7, 0)</f>
        <v/>
      </c>
      <c r="BW7" s="31" t="n"/>
      <c r="BX7" s="32" t="n"/>
      <c r="BY7" s="30">
        <f>IFERROR(BW7*BX7, 0)</f>
        <v/>
      </c>
      <c r="BZ7" s="31" t="n"/>
      <c r="CA7" s="32" t="n"/>
      <c r="CB7" s="30">
        <f>IFERROR(BZ7*CA7, 0)</f>
        <v/>
      </c>
      <c r="CC7" s="31" t="n"/>
      <c r="CD7" s="32" t="n"/>
      <c r="CE7" s="30">
        <f>IFERROR(CC7*CD7, 0)</f>
        <v/>
      </c>
      <c r="CF7" s="31" t="n"/>
      <c r="CG7" s="32" t="n"/>
      <c r="CH7" s="30">
        <f>IFERROR(CF7*CG7, 0)</f>
        <v/>
      </c>
      <c r="CI7" s="31" t="n"/>
      <c r="CJ7" s="32" t="n"/>
      <c r="CK7" s="30">
        <f>IFERROR(CI7*CJ7, 0)</f>
        <v/>
      </c>
      <c r="CL7" s="31" t="n"/>
      <c r="CM7" s="32" t="n"/>
      <c r="CN7" s="30">
        <f>IFERROR(CL7*CM7, 0)</f>
        <v/>
      </c>
      <c r="CO7" s="31" t="n"/>
      <c r="CP7" s="32" t="n"/>
      <c r="CQ7" s="30">
        <f>IFERROR(CO7*CP7, 0)</f>
        <v/>
      </c>
      <c r="CR7" s="31" t="n"/>
      <c r="CS7" s="32" t="n"/>
      <c r="CT7" s="30">
        <f>IFERROR(CR7*CS7, 0)</f>
        <v/>
      </c>
      <c r="CU7" s="33">
        <f>IFERROR(SUM(F7,I7,L7,O7,R7,U7,X7,AA7,AD7,AG7,AJ7,AM7,AP7,AS7,AV7,AY7,BB7,BE7,BH7,BK7,BN7,BQ7,BT7,BW7,BZ7,CC7,CF7,CI7,CL7,CO7,CR7), 0)</f>
        <v/>
      </c>
      <c r="CV7" s="30">
        <f>IFERROR(AVERAGE(G7,J7,M7,P7,S7,V7,Y7,AB7,AE7,AH7,AK7,AN7,AQ7,AT7,AW7,AZ7,BC7,BF7,BI7,BL7,BO7,BR7,BU7,BX7,CA7,CD7,CG7,CJ7,CM7,CP7,CS7), 0)</f>
        <v/>
      </c>
      <c r="CW7" s="30">
        <f>CU7*CV7</f>
        <v/>
      </c>
    </row>
    <row r="8" ht="15.75" customHeight="1">
      <c r="A8" s="28" t="inlineStr">
        <is>
          <t xml:space="preserve">Tortillas </t>
        </is>
      </c>
      <c r="B8" s="28" t="inlineStr">
        <is>
          <t>Atados</t>
        </is>
      </c>
      <c r="C8" s="34" t="n"/>
      <c r="D8" s="32" t="n"/>
      <c r="E8" s="32" t="n"/>
      <c r="F8" s="31" t="n"/>
      <c r="G8" s="32" t="n"/>
      <c r="H8" s="30">
        <f>IFERROR(F8*G8, 0)</f>
        <v/>
      </c>
      <c r="I8" s="31" t="n"/>
      <c r="J8" s="32" t="n"/>
      <c r="K8" s="30">
        <f>IFERROR(I8*J8, 0)</f>
        <v/>
      </c>
      <c r="L8" s="31" t="n"/>
      <c r="M8" s="32" t="n"/>
      <c r="N8" s="30">
        <f>IFERROR(L8*M8, 0)</f>
        <v/>
      </c>
      <c r="O8" s="31" t="n"/>
      <c r="P8" s="32" t="n"/>
      <c r="Q8" s="30">
        <f>IFERROR(O8*P8, 0)</f>
        <v/>
      </c>
      <c r="R8" s="31" t="n"/>
      <c r="S8" s="32" t="n"/>
      <c r="T8" s="30">
        <f>IFERROR(R8*S8, 0)</f>
        <v/>
      </c>
      <c r="U8" s="31" t="n"/>
      <c r="V8" s="32" t="n"/>
      <c r="W8" s="30">
        <f>IFERROR(U8*V8, 0)</f>
        <v/>
      </c>
      <c r="X8" s="31" t="n"/>
      <c r="Y8" s="32" t="n"/>
      <c r="Z8" s="30">
        <f>IFERROR(X8*Y8, 0)</f>
        <v/>
      </c>
      <c r="AA8" s="31" t="n"/>
      <c r="AB8" s="32" t="n"/>
      <c r="AC8" s="30">
        <f>IFERROR(AA8*AB8, 0)</f>
        <v/>
      </c>
      <c r="AD8" s="31" t="n"/>
      <c r="AE8" s="32" t="n"/>
      <c r="AF8" s="30">
        <f>IFERROR(AD8*AE8, 0)</f>
        <v/>
      </c>
      <c r="AG8" s="31" t="n"/>
      <c r="AH8" s="32" t="n"/>
      <c r="AI8" s="30">
        <f>IFERROR(AG8*AH8, 0)</f>
        <v/>
      </c>
      <c r="AJ8" s="31" t="n"/>
      <c r="AK8" s="32" t="n"/>
      <c r="AL8" s="30">
        <f>IFERROR(AJ8*AK8, 0)</f>
        <v/>
      </c>
      <c r="AM8" s="31" t="n"/>
      <c r="AN8" s="32" t="n"/>
      <c r="AO8" s="30">
        <f>IFERROR(AM8*AN8, 0)</f>
        <v/>
      </c>
      <c r="AP8" s="31" t="n"/>
      <c r="AQ8" s="32" t="n"/>
      <c r="AR8" s="30">
        <f>IFERROR(AP8*AQ8, 0)</f>
        <v/>
      </c>
      <c r="AS8" s="31" t="n"/>
      <c r="AT8" s="32" t="n"/>
      <c r="AU8" s="30">
        <f>IFERROR(AS8*AT8, 0)</f>
        <v/>
      </c>
      <c r="AV8" s="31" t="n"/>
      <c r="AW8" s="32" t="n"/>
      <c r="AX8" s="30">
        <f>IFERROR(AV8*AW8, 0)</f>
        <v/>
      </c>
      <c r="AY8" s="31" t="n"/>
      <c r="AZ8" s="32" t="n"/>
      <c r="BA8" s="30">
        <f>IFERROR(AY8*AZ8, 0)</f>
        <v/>
      </c>
      <c r="BB8" s="31" t="n"/>
      <c r="BC8" s="32" t="n"/>
      <c r="BD8" s="30">
        <f>IFERROR(BB8*BC8, 0)</f>
        <v/>
      </c>
      <c r="BE8" s="31" t="n"/>
      <c r="BF8" s="32" t="n"/>
      <c r="BG8" s="30">
        <f>IFERROR(BE8*BF8, 0)</f>
        <v/>
      </c>
      <c r="BH8" s="31" t="n"/>
      <c r="BI8" s="32" t="n"/>
      <c r="BJ8" s="30">
        <f>IFERROR(BH8*BI8, 0)</f>
        <v/>
      </c>
      <c r="BK8" s="31" t="n"/>
      <c r="BL8" s="32" t="n"/>
      <c r="BM8" s="30">
        <f>IFERROR(BK8*BL8, 0)</f>
        <v/>
      </c>
      <c r="BN8" s="31" t="n"/>
      <c r="BO8" s="32" t="n"/>
      <c r="BP8" s="30">
        <f>IFERROR(BN8*BO8, 0)</f>
        <v/>
      </c>
      <c r="BQ8" s="31" t="n"/>
      <c r="BR8" s="32" t="n"/>
      <c r="BS8" s="30">
        <f>IFERROR(BQ8*BR8, 0)</f>
        <v/>
      </c>
      <c r="BT8" s="31" t="n"/>
      <c r="BU8" s="32" t="n"/>
      <c r="BV8" s="30">
        <f>IFERROR(BT8*BU8, 0)</f>
        <v/>
      </c>
      <c r="BW8" s="31" t="n"/>
      <c r="BX8" s="32" t="n"/>
      <c r="BY8" s="30">
        <f>IFERROR(BW8*BX8, 0)</f>
        <v/>
      </c>
      <c r="BZ8" s="31" t="n"/>
      <c r="CA8" s="32" t="n"/>
      <c r="CB8" s="30">
        <f>IFERROR(BZ8*CA8, 0)</f>
        <v/>
      </c>
      <c r="CC8" s="31" t="n"/>
      <c r="CD8" s="32" t="n"/>
      <c r="CE8" s="30">
        <f>IFERROR(CC8*CD8, 0)</f>
        <v/>
      </c>
      <c r="CF8" s="31" t="n"/>
      <c r="CG8" s="32" t="n"/>
      <c r="CH8" s="30">
        <f>IFERROR(CF8*CG8, 0)</f>
        <v/>
      </c>
      <c r="CI8" s="31" t="n"/>
      <c r="CJ8" s="32" t="n"/>
      <c r="CK8" s="30">
        <f>IFERROR(CI8*CJ8, 0)</f>
        <v/>
      </c>
      <c r="CL8" s="31" t="n"/>
      <c r="CM8" s="32" t="n"/>
      <c r="CN8" s="30">
        <f>IFERROR(CL8*CM8, 0)</f>
        <v/>
      </c>
      <c r="CO8" s="31" t="n"/>
      <c r="CP8" s="32" t="n"/>
      <c r="CQ8" s="30">
        <f>IFERROR(CO8*CP8, 0)</f>
        <v/>
      </c>
      <c r="CR8" s="31" t="n"/>
      <c r="CS8" s="32" t="n"/>
      <c r="CT8" s="30">
        <f>IFERROR(CR8*CS8, 0)</f>
        <v/>
      </c>
      <c r="CU8" s="33">
        <f>IFERROR(SUM(F8,I8,L8,O8,R8,U8,X8,AA8,AD8,AG8,AJ8,AM8,AP8,AS8,AV8,AY8,BB8,BE8,BH8,BK8,BN8,BQ8,BT8,BW8,BZ8,CC8,CF8,CI8,CL8,CO8,CR8), 0)</f>
        <v/>
      </c>
      <c r="CV8" s="30">
        <f>IFERROR(AVERAGE(G8,J8,M8,P8,S8,V8,Y8,AB8,AE8,AH8,AK8,AN8,AQ8,AT8,AW8,AZ8,BC8,BF8,BI8,BL8,BO8,BR8,BU8,BX8,CA8,CD8,CG8,CJ8,CM8,CP8,CS8), 0)</f>
        <v/>
      </c>
      <c r="CW8" s="30">
        <f>CU8*CV8</f>
        <v/>
      </c>
    </row>
    <row r="9" ht="15.75" customHeight="1">
      <c r="A9" s="28" t="inlineStr">
        <is>
          <t>Tomillo</t>
        </is>
      </c>
      <c r="B9" s="28" t="inlineStr">
        <is>
          <t>Kg</t>
        </is>
      </c>
      <c r="C9" s="34" t="n"/>
      <c r="D9" s="32" t="n"/>
      <c r="E9" s="32" t="n"/>
      <c r="F9" s="31" t="n"/>
      <c r="G9" s="32" t="n"/>
      <c r="H9" s="30">
        <f>IFERROR(F9*G9, 0)</f>
        <v/>
      </c>
      <c r="I9" s="31" t="n"/>
      <c r="J9" s="32" t="n"/>
      <c r="K9" s="30">
        <f>IFERROR(I9*J9, 0)</f>
        <v/>
      </c>
      <c r="L9" s="31" t="n"/>
      <c r="M9" s="32" t="n"/>
      <c r="N9" s="30">
        <f>IFERROR(L9*M9, 0)</f>
        <v/>
      </c>
      <c r="O9" s="31" t="n"/>
      <c r="P9" s="32" t="n"/>
      <c r="Q9" s="30">
        <f>IFERROR(O9*P9, 0)</f>
        <v/>
      </c>
      <c r="R9" s="31" t="n"/>
      <c r="S9" s="32" t="n"/>
      <c r="T9" s="30">
        <f>IFERROR(R9*S9, 0)</f>
        <v/>
      </c>
      <c r="U9" s="31" t="n"/>
      <c r="V9" s="32" t="n"/>
      <c r="W9" s="30">
        <f>IFERROR(U9*V9, 0)</f>
        <v/>
      </c>
      <c r="X9" s="31" t="n"/>
      <c r="Y9" s="32" t="n"/>
      <c r="Z9" s="30">
        <f>IFERROR(X9*Y9, 0)</f>
        <v/>
      </c>
      <c r="AA9" s="31" t="n"/>
      <c r="AB9" s="32" t="n"/>
      <c r="AC9" s="30">
        <f>IFERROR(AA9*AB9, 0)</f>
        <v/>
      </c>
      <c r="AD9" s="31" t="n"/>
      <c r="AE9" s="32" t="n"/>
      <c r="AF9" s="30">
        <f>IFERROR(AD9*AE9, 0)</f>
        <v/>
      </c>
      <c r="AG9" s="31" t="n"/>
      <c r="AH9" s="32" t="n"/>
      <c r="AI9" s="30">
        <f>IFERROR(AG9*AH9, 0)</f>
        <v/>
      </c>
      <c r="AJ9" s="31" t="n"/>
      <c r="AK9" s="32" t="n"/>
      <c r="AL9" s="30">
        <f>IFERROR(AJ9*AK9, 0)</f>
        <v/>
      </c>
      <c r="AM9" s="31" t="n"/>
      <c r="AN9" s="32" t="n"/>
      <c r="AO9" s="30">
        <f>IFERROR(AM9*AN9, 0)</f>
        <v/>
      </c>
      <c r="AP9" s="31" t="n">
        <v>1</v>
      </c>
      <c r="AQ9" s="32" t="n">
        <v>10000</v>
      </c>
      <c r="AR9" s="30" t="n">
        <v>10000</v>
      </c>
      <c r="AS9" s="31" t="n">
        <v>1</v>
      </c>
      <c r="AT9" s="32" t="n">
        <v>10000</v>
      </c>
      <c r="AU9" s="30" t="n">
        <v>10000</v>
      </c>
      <c r="AV9" s="31" t="n"/>
      <c r="AW9" s="32" t="n"/>
      <c r="AX9" s="30">
        <f>IFERROR(AV9*AW9, 0)</f>
        <v/>
      </c>
      <c r="AY9" s="31" t="n"/>
      <c r="AZ9" s="32" t="n"/>
      <c r="BA9" s="30">
        <f>IFERROR(AY9*AZ9, 0)</f>
        <v/>
      </c>
      <c r="BB9" s="31" t="n"/>
      <c r="BC9" s="32" t="n"/>
      <c r="BD9" s="30">
        <f>IFERROR(BB9*BC9, 0)</f>
        <v/>
      </c>
      <c r="BE9" s="31" t="n"/>
      <c r="BF9" s="32" t="n"/>
      <c r="BG9" s="30">
        <f>IFERROR(BE9*BF9, 0)</f>
        <v/>
      </c>
      <c r="BH9" s="31" t="n"/>
      <c r="BI9" s="32" t="n"/>
      <c r="BJ9" s="30">
        <f>IFERROR(BH9*BI9, 0)</f>
        <v/>
      </c>
      <c r="BK9" s="31" t="n"/>
      <c r="BL9" s="32" t="n"/>
      <c r="BM9" s="30">
        <f>IFERROR(BK9*BL9, 0)</f>
        <v/>
      </c>
      <c r="BN9" s="31" t="n"/>
      <c r="BO9" s="32" t="n"/>
      <c r="BP9" s="30">
        <f>IFERROR(BN9*BO9, 0)</f>
        <v/>
      </c>
      <c r="BQ9" s="31" t="n"/>
      <c r="BR9" s="32" t="n"/>
      <c r="BS9" s="30">
        <f>IFERROR(BQ9*BR9, 0)</f>
        <v/>
      </c>
      <c r="BT9" s="31" t="n"/>
      <c r="BU9" s="32" t="n"/>
      <c r="BV9" s="30">
        <f>IFERROR(BT9*BU9, 0)</f>
        <v/>
      </c>
      <c r="BW9" s="31" t="n"/>
      <c r="BX9" s="32" t="n"/>
      <c r="BY9" s="30">
        <f>IFERROR(BW9*BX9, 0)</f>
        <v/>
      </c>
      <c r="BZ9" s="31" t="n"/>
      <c r="CA9" s="32" t="n"/>
      <c r="CB9" s="30">
        <f>IFERROR(BZ9*CA9, 0)</f>
        <v/>
      </c>
      <c r="CC9" s="31" t="n"/>
      <c r="CD9" s="32" t="n"/>
      <c r="CE9" s="30">
        <f>IFERROR(CC9*CD9, 0)</f>
        <v/>
      </c>
      <c r="CF9" s="31" t="n"/>
      <c r="CG9" s="32" t="n"/>
      <c r="CH9" s="30">
        <f>IFERROR(CF9*CG9, 0)</f>
        <v/>
      </c>
      <c r="CI9" s="31" t="n"/>
      <c r="CJ9" s="32" t="n"/>
      <c r="CK9" s="30">
        <f>IFERROR(CI9*CJ9, 0)</f>
        <v/>
      </c>
      <c r="CL9" s="31" t="n"/>
      <c r="CM9" s="32" t="n"/>
      <c r="CN9" s="30">
        <f>IFERROR(CL9*CM9, 0)</f>
        <v/>
      </c>
      <c r="CO9" s="31" t="n"/>
      <c r="CP9" s="32" t="n"/>
      <c r="CQ9" s="30">
        <f>IFERROR(CO9*CP9, 0)</f>
        <v/>
      </c>
      <c r="CR9" s="31" t="n"/>
      <c r="CS9" s="32" t="n"/>
      <c r="CT9" s="30">
        <f>IFERROR(CR9*CS9, 0)</f>
        <v/>
      </c>
      <c r="CU9" s="33">
        <f>IFERROR(SUM(F9,I9,L9,O9,R9,U9,X9,AA9,AD9,AG9,AJ9,AM9,AP9,AS9,AV9,AY9,BB9,BE9,BH9,BK9,BN9,BQ9,BT9,BW9,BZ9,CC9,CF9,CI9,CL9,CO9,CR9), 0)</f>
        <v/>
      </c>
      <c r="CV9" s="30">
        <f>IFERROR(AVERAGE(G9,J9,M9,P9,S9,V9,Y9,AB9,AE9,AH9,AK9,AN9,AQ9,AT9,AW9,AZ9,BC9,BF9,BI9,BL9,BO9,BR9,BU9,BX9,CA9,CD9,CG9,CJ9,CM9,CP9,CS9), 0)</f>
        <v/>
      </c>
      <c r="CW9" s="30">
        <f>CU9*CV9</f>
        <v/>
      </c>
    </row>
    <row r="10" ht="15.75" customHeight="1">
      <c r="A10" s="28" t="inlineStr">
        <is>
          <t>Tomate tahiti</t>
        </is>
      </c>
      <c r="B10" s="28" t="inlineStr">
        <is>
          <t>Kg</t>
        </is>
      </c>
      <c r="C10" s="34" t="n"/>
      <c r="D10" s="32" t="n"/>
      <c r="E10" s="32" t="n"/>
      <c r="F10" s="31" t="n"/>
      <c r="G10" s="32" t="n"/>
      <c r="H10" s="30">
        <f>IFERROR(F10*G10, 0)</f>
        <v/>
      </c>
      <c r="I10" s="31" t="n"/>
      <c r="J10" s="32" t="n"/>
      <c r="K10" s="30">
        <f>IFERROR(I10*J10, 0)</f>
        <v/>
      </c>
      <c r="L10" s="31" t="n"/>
      <c r="M10" s="32" t="n"/>
      <c r="N10" s="30">
        <f>IFERROR(L10*M10, 0)</f>
        <v/>
      </c>
      <c r="O10" s="31" t="n"/>
      <c r="P10" s="32" t="n"/>
      <c r="Q10" s="30">
        <f>IFERROR(O10*P10, 0)</f>
        <v/>
      </c>
      <c r="R10" s="31" t="n"/>
      <c r="S10" s="32" t="n"/>
      <c r="T10" s="30">
        <f>IFERROR(R10*S10, 0)</f>
        <v/>
      </c>
      <c r="U10" s="31" t="n"/>
      <c r="V10" s="32" t="n"/>
      <c r="W10" s="30">
        <f>IFERROR(U10*V10, 0)</f>
        <v/>
      </c>
      <c r="X10" s="31" t="n"/>
      <c r="Y10" s="32" t="n"/>
      <c r="Z10" s="30">
        <f>IFERROR(X10*Y10, 0)</f>
        <v/>
      </c>
      <c r="AA10" s="31" t="n"/>
      <c r="AB10" s="32" t="n"/>
      <c r="AC10" s="30">
        <f>IFERROR(AA10*AB10, 0)</f>
        <v/>
      </c>
      <c r="AD10" s="31" t="n"/>
      <c r="AE10" s="32" t="n"/>
      <c r="AF10" s="30">
        <f>IFERROR(AD10*AE10, 0)</f>
        <v/>
      </c>
      <c r="AG10" s="31" t="n"/>
      <c r="AH10" s="32" t="n"/>
      <c r="AI10" s="30">
        <f>IFERROR(AG10*AH10, 0)</f>
        <v/>
      </c>
      <c r="AJ10" s="31" t="n"/>
      <c r="AK10" s="32" t="n"/>
      <c r="AL10" s="30">
        <f>IFERROR(AJ10*AK10, 0)</f>
        <v/>
      </c>
      <c r="AM10" s="31" t="n"/>
      <c r="AN10" s="32" t="n"/>
      <c r="AO10" s="30">
        <f>IFERROR(AM10*AN10, 0)</f>
        <v/>
      </c>
      <c r="AP10" s="31" t="n"/>
      <c r="AQ10" s="32" t="n"/>
      <c r="AR10" s="30">
        <f>IFERROR(AP10*AQ10, 0)</f>
        <v/>
      </c>
      <c r="AS10" s="31" t="n"/>
      <c r="AT10" s="32" t="n"/>
      <c r="AU10" s="30">
        <f>IFERROR(AS10*AT10, 0)</f>
        <v/>
      </c>
      <c r="AV10" s="31" t="n"/>
      <c r="AW10" s="32" t="n"/>
      <c r="AX10" s="30">
        <f>IFERROR(AV10*AW10, 0)</f>
        <v/>
      </c>
      <c r="AY10" s="31" t="n"/>
      <c r="AZ10" s="32" t="n"/>
      <c r="BA10" s="30">
        <f>IFERROR(AY10*AZ10, 0)</f>
        <v/>
      </c>
      <c r="BB10" s="31" t="n"/>
      <c r="BC10" s="32" t="n"/>
      <c r="BD10" s="30">
        <f>IFERROR(BB10*BC10, 0)</f>
        <v/>
      </c>
      <c r="BE10" s="31" t="n"/>
      <c r="BF10" s="32" t="n"/>
      <c r="BG10" s="30">
        <f>IFERROR(BE10*BF10, 0)</f>
        <v/>
      </c>
      <c r="BH10" s="31" t="n"/>
      <c r="BI10" s="32" t="n"/>
      <c r="BJ10" s="30">
        <f>IFERROR(BH10*BI10, 0)</f>
        <v/>
      </c>
      <c r="BK10" s="31" t="n"/>
      <c r="BL10" s="32" t="n"/>
      <c r="BM10" s="30">
        <f>IFERROR(BK10*BL10, 0)</f>
        <v/>
      </c>
      <c r="BN10" s="31" t="n"/>
      <c r="BO10" s="32" t="n"/>
      <c r="BP10" s="30">
        <f>IFERROR(BN10*BO10, 0)</f>
        <v/>
      </c>
      <c r="BQ10" s="31" t="n"/>
      <c r="BR10" s="32" t="n"/>
      <c r="BS10" s="30">
        <f>IFERROR(BQ10*BR10, 0)</f>
        <v/>
      </c>
      <c r="BT10" s="31" t="n"/>
      <c r="BU10" s="32" t="n"/>
      <c r="BV10" s="30">
        <f>IFERROR(BT10*BU10, 0)</f>
        <v/>
      </c>
      <c r="BW10" s="31" t="n"/>
      <c r="BX10" s="32" t="n"/>
      <c r="BY10" s="30">
        <f>IFERROR(BW10*BX10, 0)</f>
        <v/>
      </c>
      <c r="BZ10" s="31" t="n"/>
      <c r="CA10" s="32" t="n"/>
      <c r="CB10" s="30">
        <f>IFERROR(BZ10*CA10, 0)</f>
        <v/>
      </c>
      <c r="CC10" s="31" t="n"/>
      <c r="CD10" s="32" t="n"/>
      <c r="CE10" s="30">
        <f>IFERROR(CC10*CD10, 0)</f>
        <v/>
      </c>
      <c r="CF10" s="31" t="n"/>
      <c r="CG10" s="32" t="n"/>
      <c r="CH10" s="30">
        <f>IFERROR(CF10*CG10, 0)</f>
        <v/>
      </c>
      <c r="CI10" s="31" t="n"/>
      <c r="CJ10" s="32" t="n"/>
      <c r="CK10" s="30">
        <f>IFERROR(CI10*CJ10, 0)</f>
        <v/>
      </c>
      <c r="CL10" s="31" t="n"/>
      <c r="CM10" s="32" t="n"/>
      <c r="CN10" s="30">
        <f>IFERROR(CL10*CM10, 0)</f>
        <v/>
      </c>
      <c r="CO10" s="31" t="n"/>
      <c r="CP10" s="32" t="n"/>
      <c r="CQ10" s="30">
        <f>IFERROR(CO10*CP10, 0)</f>
        <v/>
      </c>
      <c r="CR10" s="31" t="n"/>
      <c r="CS10" s="32" t="n"/>
      <c r="CT10" s="30">
        <f>IFERROR(CR10*CS10, 0)</f>
        <v/>
      </c>
      <c r="CU10" s="33">
        <f>IFERROR(SUM(F10,I10,L10,O10,R10,U10,X10,AA10,AD10,AG10,AJ10,AM10,AP10,AS10,AV10,AY10,BB10,BE10,BH10,BK10,BN10,BQ10,BT10,BW10,BZ10,CC10,CF10,CI10,CL10,CO10,CR10), 0)</f>
        <v/>
      </c>
      <c r="CV10" s="30">
        <f>IFERROR(AVERAGE(G10,J10,M10,P10,S10,V10,Y10,AB10,AE10,AH10,AK10,AN10,AQ10,AT10,AW10,AZ10,BC10,BF10,BI10,BL10,BO10,BR10,BU10,BX10,CA10,CD10,CG10,CJ10,CM10,CP10,CS10), 0)</f>
        <v/>
      </c>
      <c r="CW10" s="30">
        <f>CU10*CV10</f>
        <v/>
      </c>
    </row>
    <row r="11" ht="15.75" customHeight="1">
      <c r="A11" s="28" t="inlineStr">
        <is>
          <t>Tomate milano</t>
        </is>
      </c>
      <c r="B11" s="28" t="inlineStr">
        <is>
          <t>Kg</t>
        </is>
      </c>
      <c r="C11" s="29" t="n"/>
      <c r="D11" s="30" t="n"/>
      <c r="E11" s="30" t="n"/>
      <c r="F11" s="31" t="n"/>
      <c r="G11" s="32" t="n"/>
      <c r="H11" s="30">
        <f>IFERROR(F11*G11, 0)</f>
        <v/>
      </c>
      <c r="I11" s="31" t="n">
        <v>16</v>
      </c>
      <c r="J11" s="32" t="n">
        <v>1800</v>
      </c>
      <c r="K11" s="30" t="n">
        <v>28800</v>
      </c>
      <c r="L11" s="31" t="n"/>
      <c r="M11" s="32" t="n"/>
      <c r="N11" s="30">
        <f>IFERROR(L11*M11, 0)</f>
        <v/>
      </c>
      <c r="O11" s="31" t="n"/>
      <c r="P11" s="32" t="n"/>
      <c r="Q11" s="30">
        <f>IFERROR(O11*P11, 0)</f>
        <v/>
      </c>
      <c r="R11" s="31" t="n"/>
      <c r="S11" s="32" t="n"/>
      <c r="T11" s="30">
        <f>IFERROR(R11*S11, 0)</f>
        <v/>
      </c>
      <c r="U11" s="31" t="n"/>
      <c r="V11" s="32" t="n"/>
      <c r="W11" s="30">
        <f>IFERROR(U11*V11, 0)</f>
        <v/>
      </c>
      <c r="X11" s="31" t="n"/>
      <c r="Y11" s="32" t="n"/>
      <c r="Z11" s="30">
        <f>IFERROR(X11*Y11, 0)</f>
        <v/>
      </c>
      <c r="AA11" s="31" t="n"/>
      <c r="AB11" s="32" t="n"/>
      <c r="AC11" s="30">
        <f>IFERROR(AA11*AB11, 0)</f>
        <v/>
      </c>
      <c r="AD11" s="31" t="n"/>
      <c r="AE11" s="32" t="n"/>
      <c r="AF11" s="30">
        <f>IFERROR(AD11*AE11, 0)</f>
        <v/>
      </c>
      <c r="AG11" s="31" t="n"/>
      <c r="AH11" s="32" t="n"/>
      <c r="AI11" s="30">
        <f>IFERROR(AG11*AH11, 0)</f>
        <v/>
      </c>
      <c r="AJ11" s="31" t="n"/>
      <c r="AK11" s="32" t="n"/>
      <c r="AL11" s="30">
        <f>IFERROR(AJ11*AK11, 0)</f>
        <v/>
      </c>
      <c r="AM11" s="31" t="n"/>
      <c r="AN11" s="32" t="n"/>
      <c r="AO11" s="30">
        <f>IFERROR(AM11*AN11, 0)</f>
        <v/>
      </c>
      <c r="AP11" s="31" t="n">
        <v>3.8</v>
      </c>
      <c r="AQ11" s="32" t="n">
        <v>5000</v>
      </c>
      <c r="AR11" s="30" t="n">
        <v>19000</v>
      </c>
      <c r="AS11" s="31" t="n">
        <v>4</v>
      </c>
      <c r="AT11" s="32" t="n">
        <v>4500</v>
      </c>
      <c r="AU11" s="30" t="n">
        <v>18000</v>
      </c>
      <c r="AV11" s="31" t="n"/>
      <c r="AW11" s="32" t="n"/>
      <c r="AX11" s="30">
        <f>IFERROR(AV11*AW11, 0)</f>
        <v/>
      </c>
      <c r="AY11" s="31" t="n"/>
      <c r="AZ11" s="32" t="n"/>
      <c r="BA11" s="30">
        <f>IFERROR(AY11*AZ11, 0)</f>
        <v/>
      </c>
      <c r="BB11" s="31" t="n"/>
      <c r="BC11" s="32" t="n"/>
      <c r="BD11" s="30">
        <f>IFERROR(BB11*BC11, 0)</f>
        <v/>
      </c>
      <c r="BE11" s="31" t="n"/>
      <c r="BF11" s="32" t="n"/>
      <c r="BG11" s="30">
        <f>IFERROR(BE11*BF11, 0)</f>
        <v/>
      </c>
      <c r="BH11" s="31" t="n"/>
      <c r="BI11" s="32" t="n"/>
      <c r="BJ11" s="30">
        <f>IFERROR(BH11*BI11, 0)</f>
        <v/>
      </c>
      <c r="BK11" s="31" t="n"/>
      <c r="BL11" s="32" t="n"/>
      <c r="BM11" s="30">
        <f>IFERROR(BK11*BL11, 0)</f>
        <v/>
      </c>
      <c r="BN11" s="31" t="n">
        <v>3.2</v>
      </c>
      <c r="BO11" s="32" t="n">
        <v>5000</v>
      </c>
      <c r="BP11" s="30" t="n">
        <v>16000</v>
      </c>
      <c r="BQ11" s="31" t="n"/>
      <c r="BR11" s="32" t="n"/>
      <c r="BS11" s="30">
        <f>IFERROR(BQ11*BR11, 0)</f>
        <v/>
      </c>
      <c r="BT11" s="31" t="n"/>
      <c r="BU11" s="32" t="n"/>
      <c r="BV11" s="30">
        <f>IFERROR(BT11*BU11, 0)</f>
        <v/>
      </c>
      <c r="BW11" s="31" t="n"/>
      <c r="BX11" s="32" t="n"/>
      <c r="BY11" s="30">
        <f>IFERROR(BW11*BX11, 0)</f>
        <v/>
      </c>
      <c r="BZ11" s="31" t="n"/>
      <c r="CA11" s="32" t="n"/>
      <c r="CB11" s="30">
        <f>IFERROR(BZ11*CA11, 0)</f>
        <v/>
      </c>
      <c r="CC11" s="31" t="n"/>
      <c r="CD11" s="32" t="n"/>
      <c r="CE11" s="30">
        <f>IFERROR(CC11*CD11, 0)</f>
        <v/>
      </c>
      <c r="CF11" s="31" t="n"/>
      <c r="CG11" s="32" t="n"/>
      <c r="CH11" s="30">
        <f>IFERROR(CF11*CG11, 0)</f>
        <v/>
      </c>
      <c r="CI11" s="31" t="n"/>
      <c r="CJ11" s="32" t="n"/>
      <c r="CK11" s="30">
        <f>IFERROR(CI11*CJ11, 0)</f>
        <v/>
      </c>
      <c r="CL11" s="31" t="n"/>
      <c r="CM11" s="32" t="n"/>
      <c r="CN11" s="30">
        <f>IFERROR(CL11*CM11, 0)</f>
        <v/>
      </c>
      <c r="CO11" s="31" t="n"/>
      <c r="CP11" s="32" t="n"/>
      <c r="CQ11" s="30">
        <f>IFERROR(CO11*CP11, 0)</f>
        <v/>
      </c>
      <c r="CR11" s="31" t="n"/>
      <c r="CS11" s="32" t="n"/>
      <c r="CT11" s="30">
        <f>IFERROR(CR11*CS11, 0)</f>
        <v/>
      </c>
      <c r="CU11" s="33">
        <f>IFERROR(SUM(F11,I11,L11,O11,R11,U11,X11,AA11,AD11,AG11,AJ11,AM11,AP11,AS11,AV11,AY11,BB11,BE11,BH11,BK11,BN11,BQ11,BT11,BW11,BZ11,CC11,CF11,CI11,CL11,CO11,CR11), 0)</f>
        <v/>
      </c>
      <c r="CV11" s="30">
        <f>IFERROR(AVERAGE(G11,J11,M11,P11,S11,V11,Y11,AB11,AE11,AH11,AK11,AN11,AQ11,AT11,AW11,AZ11,BC11,BF11,BI11,BL11,BO11,BR11,BU11,BX11,CA11,CD11,CG11,CJ11,CM11,CP11,CS11), 0)</f>
        <v/>
      </c>
      <c r="CW11" s="30">
        <f>CU11*CV11</f>
        <v/>
      </c>
    </row>
    <row r="12" ht="15.75" customHeight="1">
      <c r="A12" s="28" t="inlineStr">
        <is>
          <t>Tomate chonto</t>
        </is>
      </c>
      <c r="B12" s="28" t="inlineStr">
        <is>
          <t>Kg</t>
        </is>
      </c>
      <c r="C12" s="29" t="n"/>
      <c r="D12" s="30" t="n"/>
      <c r="E12" s="30" t="n"/>
      <c r="F12" s="31" t="n"/>
      <c r="G12" s="32" t="n"/>
      <c r="H12" s="30">
        <f>IFERROR(F12*G12, 0)</f>
        <v/>
      </c>
      <c r="I12" s="31" t="n"/>
      <c r="J12" s="32" t="n"/>
      <c r="K12" s="30">
        <f>IFERROR(I12*J12, 0)</f>
        <v/>
      </c>
      <c r="L12" s="31" t="n"/>
      <c r="M12" s="32" t="n"/>
      <c r="N12" s="30">
        <f>IFERROR(L12*M12, 0)</f>
        <v/>
      </c>
      <c r="O12" s="31" t="n"/>
      <c r="P12" s="32" t="n"/>
      <c r="Q12" s="30">
        <f>IFERROR(O12*P12, 0)</f>
        <v/>
      </c>
      <c r="R12" s="31" t="n"/>
      <c r="S12" s="32" t="n"/>
      <c r="T12" s="30">
        <f>IFERROR(R12*S12, 0)</f>
        <v/>
      </c>
      <c r="U12" s="31" t="n"/>
      <c r="V12" s="32" t="n"/>
      <c r="W12" s="30">
        <f>IFERROR(U12*V12, 0)</f>
        <v/>
      </c>
      <c r="X12" s="31" t="n">
        <v>2.71</v>
      </c>
      <c r="Y12" s="32" t="n">
        <v>5450</v>
      </c>
      <c r="Z12" s="30" t="n">
        <v>14769</v>
      </c>
      <c r="AA12" s="31" t="n"/>
      <c r="AB12" s="32" t="n"/>
      <c r="AC12" s="30">
        <f>IFERROR(AA12*AB12, 0)</f>
        <v/>
      </c>
      <c r="AD12" s="31" t="n"/>
      <c r="AE12" s="32" t="n"/>
      <c r="AF12" s="30">
        <f>IFERROR(AD12*AE12, 0)</f>
        <v/>
      </c>
      <c r="AG12" s="31" t="n"/>
      <c r="AH12" s="32" t="n"/>
      <c r="AI12" s="30">
        <f>IFERROR(AG12*AH12, 0)</f>
        <v/>
      </c>
      <c r="AJ12" s="31" t="n"/>
      <c r="AK12" s="32" t="n"/>
      <c r="AL12" s="30">
        <f>IFERROR(AJ12*AK12, 0)</f>
        <v/>
      </c>
      <c r="AM12" s="31" t="n"/>
      <c r="AN12" s="32" t="n"/>
      <c r="AO12" s="30">
        <f>IFERROR(AM12*AN12, 0)</f>
        <v/>
      </c>
      <c r="AP12" s="31" t="n">
        <v>14.4</v>
      </c>
      <c r="AQ12" s="32" t="n">
        <v>4000</v>
      </c>
      <c r="AR12" s="30" t="n">
        <v>55150</v>
      </c>
      <c r="AS12" s="31" t="n">
        <v>14.5</v>
      </c>
      <c r="AT12" s="32" t="n">
        <v>3800</v>
      </c>
      <c r="AU12" s="30" t="n">
        <v>55100</v>
      </c>
      <c r="AV12" s="31" t="n"/>
      <c r="AW12" s="32" t="n"/>
      <c r="AX12" s="30">
        <f>IFERROR(AV12*AW12, 0)</f>
        <v/>
      </c>
      <c r="AY12" s="31" t="n"/>
      <c r="AZ12" s="32" t="n"/>
      <c r="BA12" s="30">
        <f>IFERROR(AY12*AZ12, 0)</f>
        <v/>
      </c>
      <c r="BB12" s="31" t="n"/>
      <c r="BC12" s="32" t="n"/>
      <c r="BD12" s="30">
        <f>IFERROR(BB12*BC12, 0)</f>
        <v/>
      </c>
      <c r="BE12" s="31" t="n"/>
      <c r="BF12" s="32" t="n"/>
      <c r="BG12" s="30">
        <f>IFERROR(BE12*BF12, 0)</f>
        <v/>
      </c>
      <c r="BH12" s="31" t="n"/>
      <c r="BI12" s="32" t="n"/>
      <c r="BJ12" s="30">
        <f>IFERROR(BH12*BI12, 0)</f>
        <v/>
      </c>
      <c r="BK12" s="31" t="n"/>
      <c r="BL12" s="32" t="n"/>
      <c r="BM12" s="30">
        <f>IFERROR(BK12*BL12, 0)</f>
        <v/>
      </c>
      <c r="BN12" s="31" t="n">
        <v>19</v>
      </c>
      <c r="BO12" s="32" t="n">
        <v>3800</v>
      </c>
      <c r="BP12" s="30" t="n">
        <v>72200</v>
      </c>
      <c r="BQ12" s="31" t="n"/>
      <c r="BR12" s="32" t="n"/>
      <c r="BS12" s="30">
        <f>IFERROR(BQ12*BR12, 0)</f>
        <v/>
      </c>
      <c r="BT12" s="31" t="n"/>
      <c r="BU12" s="32" t="n"/>
      <c r="BV12" s="30">
        <f>IFERROR(BT12*BU12, 0)</f>
        <v/>
      </c>
      <c r="BW12" s="31" t="n"/>
      <c r="BX12" s="32" t="n"/>
      <c r="BY12" s="30">
        <f>IFERROR(BW12*BX12, 0)</f>
        <v/>
      </c>
      <c r="BZ12" s="31" t="n"/>
      <c r="CA12" s="32" t="n"/>
      <c r="CB12" s="30">
        <f>IFERROR(BZ12*CA12, 0)</f>
        <v/>
      </c>
      <c r="CC12" s="31" t="n"/>
      <c r="CD12" s="32" t="n"/>
      <c r="CE12" s="30">
        <f>IFERROR(CC12*CD12, 0)</f>
        <v/>
      </c>
      <c r="CF12" s="31" t="n"/>
      <c r="CG12" s="32" t="n"/>
      <c r="CH12" s="30">
        <f>IFERROR(CF12*CG12, 0)</f>
        <v/>
      </c>
      <c r="CI12" s="31" t="n"/>
      <c r="CJ12" s="32" t="n"/>
      <c r="CK12" s="30">
        <f>IFERROR(CI12*CJ12, 0)</f>
        <v/>
      </c>
      <c r="CL12" s="31" t="n"/>
      <c r="CM12" s="32" t="n"/>
      <c r="CN12" s="30">
        <f>IFERROR(CL12*CM12, 0)</f>
        <v/>
      </c>
      <c r="CO12" s="31" t="n"/>
      <c r="CP12" s="32" t="n"/>
      <c r="CQ12" s="30">
        <f>IFERROR(CO12*CP12, 0)</f>
        <v/>
      </c>
      <c r="CR12" s="31" t="n"/>
      <c r="CS12" s="32" t="n"/>
      <c r="CT12" s="30">
        <f>IFERROR(CR12*CS12, 0)</f>
        <v/>
      </c>
      <c r="CU12" s="33">
        <f>IFERROR(SUM(F12,I12,L12,O12,R12,U12,X12,AA12,AD12,AG12,AJ12,AM12,AP12,AS12,AV12,AY12,BB12,BE12,BH12,BK12,BN12,BQ12,BT12,BW12,BZ12,CC12,CF12,CI12,CL12,CO12,CR12), 0)</f>
        <v/>
      </c>
      <c r="CV12" s="30">
        <f>IFERROR(AVERAGE(G12,J12,M12,P12,S12,V12,Y12,AB12,AE12,AH12,AK12,AN12,AQ12,AT12,AW12,AZ12,BC12,BF12,BI12,BL12,BO12,BR12,BU12,BX12,CA12,CD12,CG12,CJ12,CM12,CP12,CS12), 0)</f>
        <v/>
      </c>
      <c r="CW12" s="30">
        <f>CU12*CV12</f>
        <v/>
      </c>
    </row>
    <row r="13" ht="15.75" customHeight="1">
      <c r="A13" s="28" t="inlineStr">
        <is>
          <t>Repollo morado</t>
        </is>
      </c>
      <c r="B13" s="28" t="inlineStr">
        <is>
          <t>Kg</t>
        </is>
      </c>
      <c r="C13" s="29" t="n"/>
      <c r="D13" s="30" t="n"/>
      <c r="E13" s="30" t="n"/>
      <c r="F13" s="31" t="n"/>
      <c r="G13" s="32" t="n"/>
      <c r="H13" s="30">
        <f>IFERROR(F13*G13, 0)</f>
        <v/>
      </c>
      <c r="I13" s="31" t="n"/>
      <c r="J13" s="32" t="n"/>
      <c r="K13" s="30">
        <f>IFERROR(I13*J13, 0)</f>
        <v/>
      </c>
      <c r="L13" s="31" t="n"/>
      <c r="M13" s="32" t="n"/>
      <c r="N13" s="30">
        <f>IFERROR(L13*M13, 0)</f>
        <v/>
      </c>
      <c r="O13" s="31" t="n"/>
      <c r="P13" s="32" t="n"/>
      <c r="Q13" s="30">
        <f>IFERROR(O13*P13, 0)</f>
        <v/>
      </c>
      <c r="R13" s="31" t="n"/>
      <c r="S13" s="32" t="n"/>
      <c r="T13" s="30">
        <f>IFERROR(R13*S13, 0)</f>
        <v/>
      </c>
      <c r="U13" s="31" t="n"/>
      <c r="V13" s="32" t="n"/>
      <c r="W13" s="30">
        <f>IFERROR(U13*V13, 0)</f>
        <v/>
      </c>
      <c r="X13" s="31" t="n"/>
      <c r="Y13" s="32" t="n"/>
      <c r="Z13" s="30">
        <f>IFERROR(X13*Y13, 0)</f>
        <v/>
      </c>
      <c r="AA13" s="31" t="n"/>
      <c r="AB13" s="32" t="n"/>
      <c r="AC13" s="30">
        <f>IFERROR(AA13*AB13, 0)</f>
        <v/>
      </c>
      <c r="AD13" s="31" t="n"/>
      <c r="AE13" s="32" t="n"/>
      <c r="AF13" s="30">
        <f>IFERROR(AD13*AE13, 0)</f>
        <v/>
      </c>
      <c r="AG13" s="31" t="n"/>
      <c r="AH13" s="32" t="n"/>
      <c r="AI13" s="30">
        <f>IFERROR(AG13*AH13, 0)</f>
        <v/>
      </c>
      <c r="AJ13" s="31" t="n"/>
      <c r="AK13" s="32" t="n"/>
      <c r="AL13" s="30">
        <f>IFERROR(AJ13*AK13, 0)</f>
        <v/>
      </c>
      <c r="AM13" s="31" t="n"/>
      <c r="AN13" s="32" t="n"/>
      <c r="AO13" s="30">
        <f>IFERROR(AM13*AN13, 0)</f>
        <v/>
      </c>
      <c r="AP13" s="31" t="n">
        <v>3.4</v>
      </c>
      <c r="AQ13" s="32" t="n">
        <v>2500</v>
      </c>
      <c r="AR13" s="30" t="n">
        <v>8500</v>
      </c>
      <c r="AS13" s="31" t="n">
        <v>2.2</v>
      </c>
      <c r="AT13" s="32" t="n">
        <v>2500</v>
      </c>
      <c r="AU13" s="30" t="n">
        <v>5500</v>
      </c>
      <c r="AV13" s="31" t="n"/>
      <c r="AW13" s="32" t="n"/>
      <c r="AX13" s="30">
        <f>IFERROR(AV13*AW13, 0)</f>
        <v/>
      </c>
      <c r="AY13" s="31" t="n"/>
      <c r="AZ13" s="32" t="n"/>
      <c r="BA13" s="30">
        <f>IFERROR(AY13*AZ13, 0)</f>
        <v/>
      </c>
      <c r="BB13" s="31" t="n"/>
      <c r="BC13" s="32" t="n"/>
      <c r="BD13" s="30">
        <f>IFERROR(BB13*BC13, 0)</f>
        <v/>
      </c>
      <c r="BE13" s="31" t="n"/>
      <c r="BF13" s="32" t="n"/>
      <c r="BG13" s="30">
        <f>IFERROR(BE13*BF13, 0)</f>
        <v/>
      </c>
      <c r="BH13" s="31" t="n"/>
      <c r="BI13" s="32" t="n"/>
      <c r="BJ13" s="30">
        <f>IFERROR(BH13*BI13, 0)</f>
        <v/>
      </c>
      <c r="BK13" s="31" t="n"/>
      <c r="BL13" s="32" t="n"/>
      <c r="BM13" s="30">
        <f>IFERROR(BK13*BL13, 0)</f>
        <v/>
      </c>
      <c r="BN13" s="31" t="n"/>
      <c r="BO13" s="32" t="n"/>
      <c r="BP13" s="30">
        <f>IFERROR(BN13*BO13, 0)</f>
        <v/>
      </c>
      <c r="BQ13" s="31" t="n">
        <v>2.325</v>
      </c>
      <c r="BR13" s="32" t="n">
        <v>2800</v>
      </c>
      <c r="BS13" s="30" t="n">
        <v>6510</v>
      </c>
      <c r="BT13" s="31" t="n"/>
      <c r="BU13" s="32" t="n"/>
      <c r="BV13" s="30">
        <f>IFERROR(BT13*BU13, 0)</f>
        <v/>
      </c>
      <c r="BW13" s="31" t="n"/>
      <c r="BX13" s="32" t="n"/>
      <c r="BY13" s="30">
        <f>IFERROR(BW13*BX13, 0)</f>
        <v/>
      </c>
      <c r="BZ13" s="31" t="n"/>
      <c r="CA13" s="32" t="n"/>
      <c r="CB13" s="30">
        <f>IFERROR(BZ13*CA13, 0)</f>
        <v/>
      </c>
      <c r="CC13" s="31" t="n"/>
      <c r="CD13" s="32" t="n"/>
      <c r="CE13" s="30">
        <f>IFERROR(CC13*CD13, 0)</f>
        <v/>
      </c>
      <c r="CF13" s="31" t="n"/>
      <c r="CG13" s="32" t="n"/>
      <c r="CH13" s="30">
        <f>IFERROR(CF13*CG13, 0)</f>
        <v/>
      </c>
      <c r="CI13" s="31" t="n"/>
      <c r="CJ13" s="32" t="n"/>
      <c r="CK13" s="30">
        <f>IFERROR(CI13*CJ13, 0)</f>
        <v/>
      </c>
      <c r="CL13" s="31" t="n"/>
      <c r="CM13" s="32" t="n"/>
      <c r="CN13" s="30">
        <f>IFERROR(CL13*CM13, 0)</f>
        <v/>
      </c>
      <c r="CO13" s="31" t="n"/>
      <c r="CP13" s="32" t="n"/>
      <c r="CQ13" s="30">
        <f>IFERROR(CO13*CP13, 0)</f>
        <v/>
      </c>
      <c r="CR13" s="31" t="n"/>
      <c r="CS13" s="32" t="n"/>
      <c r="CT13" s="30">
        <f>IFERROR(CR13*CS13, 0)</f>
        <v/>
      </c>
      <c r="CU13" s="33">
        <f>IFERROR(SUM(F13,I13,L13,O13,R13,U13,X13,AA13,AD13,AG13,AJ13,AM13,AP13,AS13,AV13,AY13,BB13,BE13,BH13,BK13,BN13,BQ13,BT13,BW13,BZ13,CC13,CF13,CI13,CL13,CO13,CR13), 0)</f>
        <v/>
      </c>
      <c r="CV13" s="30">
        <f>IFERROR(AVERAGE(G13,J13,M13,P13,S13,V13,Y13,AB13,AE13,AH13,AK13,AN13,AQ13,AT13,AW13,AZ13,BC13,BF13,BI13,BL13,BO13,BR13,BU13,BX13,CA13,CD13,CG13,CJ13,CM13,CP13,CS13), 0)</f>
        <v/>
      </c>
      <c r="CW13" s="30">
        <f>CU13*CV13</f>
        <v/>
      </c>
    </row>
    <row r="14" ht="15.75" customHeight="1">
      <c r="A14" s="28" t="inlineStr">
        <is>
          <t xml:space="preserve">Remolacha </t>
        </is>
      </c>
      <c r="B14" s="28" t="inlineStr">
        <is>
          <t>Kg</t>
        </is>
      </c>
      <c r="C14" s="34" t="n"/>
      <c r="D14" s="32" t="n"/>
      <c r="E14" s="32" t="n"/>
      <c r="F14" s="31" t="n"/>
      <c r="G14" s="32" t="n"/>
      <c r="H14" s="30">
        <f>IFERROR(F14*G14, 0)</f>
        <v/>
      </c>
      <c r="I14" s="31" t="n"/>
      <c r="J14" s="32" t="n"/>
      <c r="K14" s="30">
        <f>IFERROR(I14*J14, 0)</f>
        <v/>
      </c>
      <c r="L14" s="31" t="n"/>
      <c r="M14" s="32" t="n"/>
      <c r="N14" s="30">
        <f>IFERROR(L14*M14, 0)</f>
        <v/>
      </c>
      <c r="O14" s="31" t="n"/>
      <c r="P14" s="32" t="n"/>
      <c r="Q14" s="30">
        <f>IFERROR(O14*P14, 0)</f>
        <v/>
      </c>
      <c r="R14" s="31" t="n"/>
      <c r="S14" s="32" t="n"/>
      <c r="T14" s="30">
        <f>IFERROR(R14*S14, 0)</f>
        <v/>
      </c>
      <c r="U14" s="31" t="n"/>
      <c r="V14" s="32" t="n"/>
      <c r="W14" s="30">
        <f>IFERROR(U14*V14, 0)</f>
        <v/>
      </c>
      <c r="X14" s="31" t="n"/>
      <c r="Y14" s="32" t="n"/>
      <c r="Z14" s="30">
        <f>IFERROR(X14*Y14, 0)</f>
        <v/>
      </c>
      <c r="AA14" s="31" t="n"/>
      <c r="AB14" s="32" t="n"/>
      <c r="AC14" s="30">
        <f>IFERROR(AA14*AB14, 0)</f>
        <v/>
      </c>
      <c r="AD14" s="31" t="n"/>
      <c r="AE14" s="32" t="n"/>
      <c r="AF14" s="30">
        <f>IFERROR(AD14*AE14, 0)</f>
        <v/>
      </c>
      <c r="AG14" s="31" t="n"/>
      <c r="AH14" s="32" t="n"/>
      <c r="AI14" s="30">
        <f>IFERROR(AG14*AH14, 0)</f>
        <v/>
      </c>
      <c r="AJ14" s="31" t="n"/>
      <c r="AK14" s="32" t="n"/>
      <c r="AL14" s="30">
        <f>IFERROR(AJ14*AK14, 0)</f>
        <v/>
      </c>
      <c r="AM14" s="31" t="n"/>
      <c r="AN14" s="32" t="n"/>
      <c r="AO14" s="30">
        <f>IFERROR(AM14*AN14, 0)</f>
        <v/>
      </c>
      <c r="AP14" s="31" t="n"/>
      <c r="AQ14" s="32" t="n"/>
      <c r="AR14" s="30">
        <f>IFERROR(AP14*AQ14, 0)</f>
        <v/>
      </c>
      <c r="AS14" s="31" t="n"/>
      <c r="AT14" s="32" t="n"/>
      <c r="AU14" s="30">
        <f>IFERROR(AS14*AT14, 0)</f>
        <v/>
      </c>
      <c r="AV14" s="31" t="n"/>
      <c r="AW14" s="32" t="n"/>
      <c r="AX14" s="30">
        <f>IFERROR(AV14*AW14, 0)</f>
        <v/>
      </c>
      <c r="AY14" s="31" t="n"/>
      <c r="AZ14" s="32" t="n"/>
      <c r="BA14" s="30">
        <f>IFERROR(AY14*AZ14, 0)</f>
        <v/>
      </c>
      <c r="BB14" s="31" t="n"/>
      <c r="BC14" s="32" t="n"/>
      <c r="BD14" s="30">
        <f>IFERROR(BB14*BC14, 0)</f>
        <v/>
      </c>
      <c r="BE14" s="31" t="n"/>
      <c r="BF14" s="32" t="n"/>
      <c r="BG14" s="30">
        <f>IFERROR(BE14*BF14, 0)</f>
        <v/>
      </c>
      <c r="BH14" s="31" t="n"/>
      <c r="BI14" s="32" t="n"/>
      <c r="BJ14" s="30">
        <f>IFERROR(BH14*BI14, 0)</f>
        <v/>
      </c>
      <c r="BK14" s="31" t="n"/>
      <c r="BL14" s="32" t="n"/>
      <c r="BM14" s="30">
        <f>IFERROR(BK14*BL14, 0)</f>
        <v/>
      </c>
      <c r="BN14" s="31" t="n">
        <v>4</v>
      </c>
      <c r="BO14" s="32" t="n">
        <v>1500</v>
      </c>
      <c r="BP14" s="30" t="n">
        <v>6000</v>
      </c>
      <c r="BQ14" s="31" t="n"/>
      <c r="BR14" s="32" t="n"/>
      <c r="BS14" s="30">
        <f>IFERROR(BQ14*BR14, 0)</f>
        <v/>
      </c>
      <c r="BT14" s="31" t="n"/>
      <c r="BU14" s="32" t="n"/>
      <c r="BV14" s="30">
        <f>IFERROR(BT14*BU14, 0)</f>
        <v/>
      </c>
      <c r="BW14" s="31" t="n"/>
      <c r="BX14" s="32" t="n"/>
      <c r="BY14" s="30">
        <f>IFERROR(BW14*BX14, 0)</f>
        <v/>
      </c>
      <c r="BZ14" s="31" t="n"/>
      <c r="CA14" s="32" t="n"/>
      <c r="CB14" s="30">
        <f>IFERROR(BZ14*CA14, 0)</f>
        <v/>
      </c>
      <c r="CC14" s="31" t="n"/>
      <c r="CD14" s="32" t="n"/>
      <c r="CE14" s="30">
        <f>IFERROR(CC14*CD14, 0)</f>
        <v/>
      </c>
      <c r="CF14" s="31" t="n"/>
      <c r="CG14" s="32" t="n"/>
      <c r="CH14" s="30">
        <f>IFERROR(CF14*CG14, 0)</f>
        <v/>
      </c>
      <c r="CI14" s="31" t="n"/>
      <c r="CJ14" s="32" t="n"/>
      <c r="CK14" s="30">
        <f>IFERROR(CI14*CJ14, 0)</f>
        <v/>
      </c>
      <c r="CL14" s="31" t="n"/>
      <c r="CM14" s="32" t="n"/>
      <c r="CN14" s="30">
        <f>IFERROR(CL14*CM14, 0)</f>
        <v/>
      </c>
      <c r="CO14" s="31" t="n"/>
      <c r="CP14" s="32" t="n"/>
      <c r="CQ14" s="30">
        <f>IFERROR(CO14*CP14, 0)</f>
        <v/>
      </c>
      <c r="CR14" s="31" t="n"/>
      <c r="CS14" s="32" t="n"/>
      <c r="CT14" s="30">
        <f>IFERROR(CR14*CS14, 0)</f>
        <v/>
      </c>
      <c r="CU14" s="33">
        <f>IFERROR(SUM(F14,I14,L14,O14,R14,U14,X14,AA14,AD14,AG14,AJ14,AM14,AP14,AS14,AV14,AY14,BB14,BE14,BH14,BK14,BN14,BQ14,BT14,BW14,BZ14,CC14,CF14,CI14,CL14,CO14,CR14), 0)</f>
        <v/>
      </c>
      <c r="CV14" s="30">
        <f>IFERROR(AVERAGE(G14,J14,M14,P14,S14,V14,Y14,AB14,AE14,AH14,AK14,AN14,AQ14,AT14,AW14,AZ14,BC14,BF14,BI14,BL14,BO14,BR14,BU14,BX14,CA14,CD14,CG14,CJ14,CM14,CP14,CS14), 0)</f>
        <v/>
      </c>
      <c r="CW14" s="30">
        <f>CU14*CV14</f>
        <v/>
      </c>
    </row>
    <row r="15" ht="15.75" customHeight="1">
      <c r="A15" s="28" t="inlineStr">
        <is>
          <t>Raices  chinas</t>
        </is>
      </c>
      <c r="B15" s="28" t="inlineStr">
        <is>
          <t>Kg</t>
        </is>
      </c>
      <c r="C15" s="36" t="n"/>
      <c r="D15" s="32" t="n"/>
      <c r="E15" s="32" t="n"/>
      <c r="F15" s="31" t="n"/>
      <c r="G15" s="32" t="n"/>
      <c r="H15" s="30">
        <f>IFERROR(F15*G15, 0)</f>
        <v/>
      </c>
      <c r="I15" s="31" t="n"/>
      <c r="J15" s="32" t="n"/>
      <c r="K15" s="30">
        <f>IFERROR(I15*J15, 0)</f>
        <v/>
      </c>
      <c r="L15" s="31" t="n"/>
      <c r="M15" s="32" t="n"/>
      <c r="N15" s="30">
        <f>IFERROR(L15*M15, 0)</f>
        <v/>
      </c>
      <c r="O15" s="31" t="n"/>
      <c r="P15" s="32" t="n"/>
      <c r="Q15" s="30">
        <f>IFERROR(O15*P15, 0)</f>
        <v/>
      </c>
      <c r="R15" s="31" t="n"/>
      <c r="S15" s="32" t="n"/>
      <c r="T15" s="30">
        <f>IFERROR(R15*S15, 0)</f>
        <v/>
      </c>
      <c r="U15" s="31" t="n"/>
      <c r="V15" s="32" t="n"/>
      <c r="W15" s="30">
        <f>IFERROR(U15*V15, 0)</f>
        <v/>
      </c>
      <c r="X15" s="31" t="n"/>
      <c r="Y15" s="32" t="n"/>
      <c r="Z15" s="30">
        <f>IFERROR(X15*Y15, 0)</f>
        <v/>
      </c>
      <c r="AA15" s="31" t="n"/>
      <c r="AB15" s="32" t="n"/>
      <c r="AC15" s="30">
        <f>IFERROR(AA15*AB15, 0)</f>
        <v/>
      </c>
      <c r="AD15" s="31" t="n"/>
      <c r="AE15" s="32" t="n"/>
      <c r="AF15" s="30">
        <f>IFERROR(AD15*AE15, 0)</f>
        <v/>
      </c>
      <c r="AG15" s="31" t="n"/>
      <c r="AH15" s="32" t="n"/>
      <c r="AI15" s="30">
        <f>IFERROR(AG15*AH15, 0)</f>
        <v/>
      </c>
      <c r="AJ15" s="31" t="n"/>
      <c r="AK15" s="32" t="n"/>
      <c r="AL15" s="30">
        <f>IFERROR(AJ15*AK15, 0)</f>
        <v/>
      </c>
      <c r="AM15" s="31" t="n"/>
      <c r="AN15" s="32" t="n"/>
      <c r="AO15" s="30">
        <f>IFERROR(AM15*AN15, 0)</f>
        <v/>
      </c>
      <c r="AP15" s="31" t="n"/>
      <c r="AQ15" s="32" t="n"/>
      <c r="AR15" s="30">
        <f>IFERROR(AP15*AQ15, 0)</f>
        <v/>
      </c>
      <c r="AS15" s="31" t="n"/>
      <c r="AT15" s="32" t="n"/>
      <c r="AU15" s="30">
        <f>IFERROR(AS15*AT15, 0)</f>
        <v/>
      </c>
      <c r="AV15" s="31" t="n"/>
      <c r="AW15" s="32" t="n"/>
      <c r="AX15" s="30">
        <f>IFERROR(AV15*AW15, 0)</f>
        <v/>
      </c>
      <c r="AY15" s="31" t="n"/>
      <c r="AZ15" s="32" t="n"/>
      <c r="BA15" s="30">
        <f>IFERROR(AY15*AZ15, 0)</f>
        <v/>
      </c>
      <c r="BB15" s="31" t="n"/>
      <c r="BC15" s="32" t="n"/>
      <c r="BD15" s="30">
        <f>IFERROR(BB15*BC15, 0)</f>
        <v/>
      </c>
      <c r="BE15" s="31" t="n"/>
      <c r="BF15" s="32" t="n"/>
      <c r="BG15" s="30">
        <f>IFERROR(BE15*BF15, 0)</f>
        <v/>
      </c>
      <c r="BH15" s="31" t="n"/>
      <c r="BI15" s="32" t="n"/>
      <c r="BJ15" s="30">
        <f>IFERROR(BH15*BI15, 0)</f>
        <v/>
      </c>
      <c r="BK15" s="31" t="n"/>
      <c r="BL15" s="32" t="n"/>
      <c r="BM15" s="30">
        <f>IFERROR(BK15*BL15, 0)</f>
        <v/>
      </c>
      <c r="BN15" s="31" t="n"/>
      <c r="BO15" s="32" t="n"/>
      <c r="BP15" s="30">
        <f>IFERROR(BN15*BO15, 0)</f>
        <v/>
      </c>
      <c r="BQ15" s="31" t="n"/>
      <c r="BR15" s="32" t="n"/>
      <c r="BS15" s="30">
        <f>IFERROR(BQ15*BR15, 0)</f>
        <v/>
      </c>
      <c r="BT15" s="31" t="n"/>
      <c r="BU15" s="32" t="n"/>
      <c r="BV15" s="30">
        <f>IFERROR(BT15*BU15, 0)</f>
        <v/>
      </c>
      <c r="BW15" s="31" t="n"/>
      <c r="BX15" s="32" t="n"/>
      <c r="BY15" s="30">
        <f>IFERROR(BW15*BX15, 0)</f>
        <v/>
      </c>
      <c r="BZ15" s="31" t="n"/>
      <c r="CA15" s="32" t="n"/>
      <c r="CB15" s="30">
        <f>IFERROR(BZ15*CA15, 0)</f>
        <v/>
      </c>
      <c r="CC15" s="31" t="n"/>
      <c r="CD15" s="32" t="n"/>
      <c r="CE15" s="30">
        <f>IFERROR(CC15*CD15, 0)</f>
        <v/>
      </c>
      <c r="CF15" s="31" t="n"/>
      <c r="CG15" s="32" t="n"/>
      <c r="CH15" s="30">
        <f>IFERROR(CF15*CG15, 0)</f>
        <v/>
      </c>
      <c r="CI15" s="31" t="n"/>
      <c r="CJ15" s="32" t="n"/>
      <c r="CK15" s="30">
        <f>IFERROR(CI15*CJ15, 0)</f>
        <v/>
      </c>
      <c r="CL15" s="31" t="n"/>
      <c r="CM15" s="32" t="n"/>
      <c r="CN15" s="30">
        <f>IFERROR(CL15*CM15, 0)</f>
        <v/>
      </c>
      <c r="CO15" s="31" t="n"/>
      <c r="CP15" s="32" t="n"/>
      <c r="CQ15" s="30">
        <f>IFERROR(CO15*CP15, 0)</f>
        <v/>
      </c>
      <c r="CR15" s="31" t="n"/>
      <c r="CS15" s="32" t="n"/>
      <c r="CT15" s="30">
        <f>IFERROR(CR15*CS15, 0)</f>
        <v/>
      </c>
      <c r="CU15" s="33">
        <f>IFERROR(SUM(F15,I15,L15,O15,R15,U15,X15,AA15,AD15,AG15,AJ15,AM15,AP15,AS15,AV15,AY15,BB15,BE15,BH15,BK15,BN15,BQ15,BT15,BW15,BZ15,CC15,CF15,CI15,CL15,CO15,CR15), 0)</f>
        <v/>
      </c>
      <c r="CV15" s="30">
        <f>IFERROR(AVERAGE(G15,J15,M15,P15,S15,V15,Y15,AB15,AE15,AH15,AK15,AN15,AQ15,AT15,AW15,AZ15,BC15,BF15,BI15,BL15,BO15,BR15,BU15,BX15,CA15,CD15,CG15,CJ15,CM15,CP15,CS15), 0)</f>
        <v/>
      </c>
      <c r="CW15" s="30">
        <f>CU15*CV15</f>
        <v/>
      </c>
    </row>
    <row r="16" ht="15.75" customHeight="1">
      <c r="A16" s="28" t="inlineStr">
        <is>
          <t>Queso mozarella</t>
        </is>
      </c>
      <c r="B16" s="28" t="inlineStr">
        <is>
          <t>Kl</t>
        </is>
      </c>
      <c r="C16" s="36" t="n"/>
      <c r="D16" s="32" t="n"/>
      <c r="E16" s="32" t="n"/>
      <c r="F16" s="31" t="n"/>
      <c r="G16" s="32" t="n"/>
      <c r="H16" s="30">
        <f>IFERROR(F16*G16, 0)</f>
        <v/>
      </c>
      <c r="I16" s="31" t="n"/>
      <c r="J16" s="32" t="n"/>
      <c r="K16" s="30">
        <f>IFERROR(I16*J16, 0)</f>
        <v/>
      </c>
      <c r="L16" s="31" t="n"/>
      <c r="M16" s="32" t="n"/>
      <c r="N16" s="30">
        <f>IFERROR(L16*M16, 0)</f>
        <v/>
      </c>
      <c r="O16" s="31" t="n"/>
      <c r="P16" s="32" t="n"/>
      <c r="Q16" s="30">
        <f>IFERROR(O16*P16, 0)</f>
        <v/>
      </c>
      <c r="R16" s="31" t="n"/>
      <c r="S16" s="32" t="n"/>
      <c r="T16" s="30">
        <f>IFERROR(R16*S16, 0)</f>
        <v/>
      </c>
      <c r="U16" s="31" t="n"/>
      <c r="V16" s="32" t="n"/>
      <c r="W16" s="30">
        <f>IFERROR(U16*V16, 0)</f>
        <v/>
      </c>
      <c r="X16" s="31" t="n"/>
      <c r="Y16" s="32" t="n"/>
      <c r="Z16" s="30">
        <f>IFERROR(X16*Y16, 0)</f>
        <v/>
      </c>
      <c r="AA16" s="31" t="n"/>
      <c r="AB16" s="32" t="n"/>
      <c r="AC16" s="30">
        <f>IFERROR(AA16*AB16, 0)</f>
        <v/>
      </c>
      <c r="AD16" s="31" t="n"/>
      <c r="AE16" s="32" t="n"/>
      <c r="AF16" s="30">
        <f>IFERROR(AD16*AE16, 0)</f>
        <v/>
      </c>
      <c r="AG16" s="31" t="n"/>
      <c r="AH16" s="32" t="n"/>
      <c r="AI16" s="30">
        <f>IFERROR(AG16*AH16, 0)</f>
        <v/>
      </c>
      <c r="AJ16" s="31" t="n"/>
      <c r="AK16" s="32" t="n"/>
      <c r="AL16" s="30">
        <f>IFERROR(AJ16*AK16, 0)</f>
        <v/>
      </c>
      <c r="AM16" s="31" t="n"/>
      <c r="AN16" s="32" t="n"/>
      <c r="AO16" s="30">
        <f>IFERROR(AM16*AN16, 0)</f>
        <v/>
      </c>
      <c r="AP16" s="31" t="n"/>
      <c r="AQ16" s="32" t="n"/>
      <c r="AR16" s="30">
        <f>IFERROR(AP16*AQ16, 0)</f>
        <v/>
      </c>
      <c r="AS16" s="31" t="n"/>
      <c r="AT16" s="32" t="n"/>
      <c r="AU16" s="30">
        <f>IFERROR(AS16*AT16, 0)</f>
        <v/>
      </c>
      <c r="AV16" s="31" t="n"/>
      <c r="AW16" s="32" t="n"/>
      <c r="AX16" s="30">
        <f>IFERROR(AV16*AW16, 0)</f>
        <v/>
      </c>
      <c r="AY16" s="31" t="n"/>
      <c r="AZ16" s="32" t="n"/>
      <c r="BA16" s="30">
        <f>IFERROR(AY16*AZ16, 0)</f>
        <v/>
      </c>
      <c r="BB16" s="31" t="n"/>
      <c r="BC16" s="32" t="n"/>
      <c r="BD16" s="30">
        <f>IFERROR(BB16*BC16, 0)</f>
        <v/>
      </c>
      <c r="BE16" s="31" t="n"/>
      <c r="BF16" s="32" t="n"/>
      <c r="BG16" s="30">
        <f>IFERROR(BE16*BF16, 0)</f>
        <v/>
      </c>
      <c r="BH16" s="31" t="n"/>
      <c r="BI16" s="32" t="n"/>
      <c r="BJ16" s="30">
        <f>IFERROR(BH16*BI16, 0)</f>
        <v/>
      </c>
      <c r="BK16" s="31" t="n"/>
      <c r="BL16" s="32" t="n"/>
      <c r="BM16" s="30">
        <f>IFERROR(BK16*BL16, 0)</f>
        <v/>
      </c>
      <c r="BN16" s="31" t="n"/>
      <c r="BO16" s="32" t="n"/>
      <c r="BP16" s="30">
        <f>IFERROR(BN16*BO16, 0)</f>
        <v/>
      </c>
      <c r="BQ16" s="31" t="n"/>
      <c r="BR16" s="32" t="n"/>
      <c r="BS16" s="30">
        <f>IFERROR(BQ16*BR16, 0)</f>
        <v/>
      </c>
      <c r="BT16" s="31" t="n"/>
      <c r="BU16" s="32" t="n"/>
      <c r="BV16" s="30">
        <f>IFERROR(BT16*BU16, 0)</f>
        <v/>
      </c>
      <c r="BW16" s="31" t="n"/>
      <c r="BX16" s="32" t="n"/>
      <c r="BY16" s="30">
        <f>IFERROR(BW16*BX16, 0)</f>
        <v/>
      </c>
      <c r="BZ16" s="31" t="n"/>
      <c r="CA16" s="32" t="n"/>
      <c r="CB16" s="30">
        <f>IFERROR(BZ16*CA16, 0)</f>
        <v/>
      </c>
      <c r="CC16" s="31" t="n"/>
      <c r="CD16" s="32" t="n"/>
      <c r="CE16" s="30">
        <f>IFERROR(CC16*CD16, 0)</f>
        <v/>
      </c>
      <c r="CF16" s="31" t="n"/>
      <c r="CG16" s="32" t="n"/>
      <c r="CH16" s="30">
        <f>IFERROR(CF16*CG16, 0)</f>
        <v/>
      </c>
      <c r="CI16" s="31" t="n"/>
      <c r="CJ16" s="32" t="n"/>
      <c r="CK16" s="30">
        <f>IFERROR(CI16*CJ16, 0)</f>
        <v/>
      </c>
      <c r="CL16" s="31" t="n"/>
      <c r="CM16" s="32" t="n"/>
      <c r="CN16" s="30">
        <f>IFERROR(CL16*CM16, 0)</f>
        <v/>
      </c>
      <c r="CO16" s="31" t="n"/>
      <c r="CP16" s="32" t="n"/>
      <c r="CQ16" s="30">
        <f>IFERROR(CO16*CP16, 0)</f>
        <v/>
      </c>
      <c r="CR16" s="31" t="n"/>
      <c r="CS16" s="32" t="n"/>
      <c r="CT16" s="30">
        <f>IFERROR(CR16*CS16, 0)</f>
        <v/>
      </c>
      <c r="CU16" s="33">
        <f>IFERROR(SUM(F16,I16,L16,O16,R16,U16,X16,AA16,AD16,AG16,AJ16,AM16,AP16,AS16,AV16,AY16,BB16,BE16,BH16,BK16,BN16,BQ16,BT16,BW16,BZ16,CC16,CF16,CI16,CL16,CO16,CR16), 0)</f>
        <v/>
      </c>
      <c r="CV16" s="30">
        <f>IFERROR(AVERAGE(G16,J16,M16,P16,S16,V16,Y16,AB16,AE16,AH16,AK16,AN16,AQ16,AT16,AW16,AZ16,BC16,BF16,BI16,BL16,BO16,BR16,BU16,BX16,CA16,CD16,CG16,CJ16,CM16,CP16,CS16), 0)</f>
        <v/>
      </c>
      <c r="CW16" s="30">
        <f>CU16*CV16</f>
        <v/>
      </c>
    </row>
    <row r="17" ht="15.75" customHeight="1">
      <c r="A17" s="28" t="inlineStr">
        <is>
          <t>Queso mozarella</t>
        </is>
      </c>
      <c r="B17" s="28" t="inlineStr">
        <is>
          <t>Kl</t>
        </is>
      </c>
      <c r="C17" s="36" t="n"/>
      <c r="D17" s="32" t="n"/>
      <c r="E17" s="32" t="n"/>
      <c r="F17" s="31" t="n"/>
      <c r="G17" s="32" t="n"/>
      <c r="H17" s="30">
        <f>IFERROR(F17*G17, 0)</f>
        <v/>
      </c>
      <c r="I17" s="31" t="n"/>
      <c r="J17" s="32" t="n"/>
      <c r="K17" s="30">
        <f>IFERROR(I17*J17, 0)</f>
        <v/>
      </c>
      <c r="L17" s="31" t="n"/>
      <c r="M17" s="32" t="n"/>
      <c r="N17" s="30">
        <f>IFERROR(L17*M17, 0)</f>
        <v/>
      </c>
      <c r="O17" s="31" t="n"/>
      <c r="P17" s="32" t="n"/>
      <c r="Q17" s="30">
        <f>IFERROR(O17*P17, 0)</f>
        <v/>
      </c>
      <c r="R17" s="31" t="n"/>
      <c r="S17" s="32" t="n"/>
      <c r="T17" s="30">
        <f>IFERROR(R17*S17, 0)</f>
        <v/>
      </c>
      <c r="U17" s="31" t="n"/>
      <c r="V17" s="32" t="n"/>
      <c r="W17" s="30">
        <f>IFERROR(U17*V17, 0)</f>
        <v/>
      </c>
      <c r="X17" s="31" t="n">
        <v>4</v>
      </c>
      <c r="Y17" s="32" t="n">
        <v>11450</v>
      </c>
      <c r="Z17" s="30" t="n">
        <v>55440</v>
      </c>
      <c r="AA17" s="31" t="n"/>
      <c r="AB17" s="32" t="n"/>
      <c r="AC17" s="30">
        <f>IFERROR(AA17*AB17, 0)</f>
        <v/>
      </c>
      <c r="AD17" s="31" t="n"/>
      <c r="AE17" s="32" t="n"/>
      <c r="AF17" s="30">
        <f>IFERROR(AD17*AE17, 0)</f>
        <v/>
      </c>
      <c r="AG17" s="31" t="n"/>
      <c r="AH17" s="32" t="n"/>
      <c r="AI17" s="30">
        <f>IFERROR(AG17*AH17, 0)</f>
        <v/>
      </c>
      <c r="AJ17" s="31" t="n"/>
      <c r="AK17" s="32" t="n"/>
      <c r="AL17" s="30">
        <f>IFERROR(AJ17*AK17, 0)</f>
        <v/>
      </c>
      <c r="AM17" s="31" t="n"/>
      <c r="AN17" s="32" t="n"/>
      <c r="AO17" s="30">
        <f>IFERROR(AM17*AN17, 0)</f>
        <v/>
      </c>
      <c r="AP17" s="31" t="n"/>
      <c r="AQ17" s="32" t="n"/>
      <c r="AR17" s="30">
        <f>IFERROR(AP17*AQ17, 0)</f>
        <v/>
      </c>
      <c r="AS17" s="31" t="n"/>
      <c r="AT17" s="32" t="n"/>
      <c r="AU17" s="30">
        <f>IFERROR(AS17*AT17, 0)</f>
        <v/>
      </c>
      <c r="AV17" s="31" t="n"/>
      <c r="AW17" s="32" t="n"/>
      <c r="AX17" s="30">
        <f>IFERROR(AV17*AW17, 0)</f>
        <v/>
      </c>
      <c r="AY17" s="31" t="n"/>
      <c r="AZ17" s="32" t="n"/>
      <c r="BA17" s="30">
        <f>IFERROR(AY17*AZ17, 0)</f>
        <v/>
      </c>
      <c r="BB17" s="31" t="n"/>
      <c r="BC17" s="32" t="n"/>
      <c r="BD17" s="30">
        <f>IFERROR(BB17*BC17, 0)</f>
        <v/>
      </c>
      <c r="BE17" s="31" t="n"/>
      <c r="BF17" s="32" t="n"/>
      <c r="BG17" s="30">
        <f>IFERROR(BE17*BF17, 0)</f>
        <v/>
      </c>
      <c r="BH17" s="31" t="n"/>
      <c r="BI17" s="32" t="n"/>
      <c r="BJ17" s="30">
        <f>IFERROR(BH17*BI17, 0)</f>
        <v/>
      </c>
      <c r="BK17" s="31" t="n"/>
      <c r="BL17" s="32" t="n"/>
      <c r="BM17" s="30">
        <f>IFERROR(BK17*BL17, 0)</f>
        <v/>
      </c>
      <c r="BN17" s="31" t="n"/>
      <c r="BO17" s="32" t="n"/>
      <c r="BP17" s="30">
        <f>IFERROR(BN17*BO17, 0)</f>
        <v/>
      </c>
      <c r="BQ17" s="31" t="n"/>
      <c r="BR17" s="32" t="n"/>
      <c r="BS17" s="30">
        <f>IFERROR(BQ17*BR17, 0)</f>
        <v/>
      </c>
      <c r="BT17" s="31" t="n"/>
      <c r="BU17" s="32" t="n"/>
      <c r="BV17" s="30">
        <f>IFERROR(BT17*BU17, 0)</f>
        <v/>
      </c>
      <c r="BW17" s="31" t="n"/>
      <c r="BX17" s="32" t="n"/>
      <c r="BY17" s="30">
        <f>IFERROR(BW17*BX17, 0)</f>
        <v/>
      </c>
      <c r="BZ17" s="31" t="n"/>
      <c r="CA17" s="32" t="n"/>
      <c r="CB17" s="30">
        <f>IFERROR(BZ17*CA17, 0)</f>
        <v/>
      </c>
      <c r="CC17" s="31" t="n"/>
      <c r="CD17" s="32" t="n"/>
      <c r="CE17" s="30">
        <f>IFERROR(CC17*CD17, 0)</f>
        <v/>
      </c>
      <c r="CF17" s="31" t="n"/>
      <c r="CG17" s="32" t="n"/>
      <c r="CH17" s="30">
        <f>IFERROR(CF17*CG17, 0)</f>
        <v/>
      </c>
      <c r="CI17" s="31" t="n"/>
      <c r="CJ17" s="32" t="n"/>
      <c r="CK17" s="30">
        <f>IFERROR(CI17*CJ17, 0)</f>
        <v/>
      </c>
      <c r="CL17" s="31" t="n"/>
      <c r="CM17" s="32" t="n"/>
      <c r="CN17" s="30">
        <f>IFERROR(CL17*CM17, 0)</f>
        <v/>
      </c>
      <c r="CO17" s="31" t="n"/>
      <c r="CP17" s="32" t="n"/>
      <c r="CQ17" s="30">
        <f>IFERROR(CO17*CP17, 0)</f>
        <v/>
      </c>
      <c r="CR17" s="31" t="n"/>
      <c r="CS17" s="32" t="n"/>
      <c r="CT17" s="30">
        <f>IFERROR(CR17*CS17, 0)</f>
        <v/>
      </c>
      <c r="CU17" s="33">
        <f>IFERROR(SUM(F17,I17,L17,O17,R17,U17,X17,AA17,AD17,AG17,AJ17,AM17,AP17,AS17,AV17,AY17,BB17,BE17,BH17,BK17,BN17,BQ17,BT17,BW17,BZ17,CC17,CF17,CI17,CL17,CO17,CR17), 0)</f>
        <v/>
      </c>
      <c r="CV17" s="30">
        <f>IFERROR(AVERAGE(G17,J17,M17,P17,S17,V17,Y17,AB17,AE17,AH17,AK17,AN17,AQ17,AT17,AW17,AZ17,BC17,BF17,BI17,BL17,BO17,BR17,BU17,BX17,CA17,CD17,CG17,CJ17,CM17,CP17,CS17), 0)</f>
        <v/>
      </c>
      <c r="CW17" s="30">
        <f>CU17*CV17</f>
        <v/>
      </c>
    </row>
    <row r="18" ht="15.75" customHeight="1">
      <c r="A18" s="28" t="inlineStr">
        <is>
          <t>Platano verde</t>
        </is>
      </c>
      <c r="B18" s="28" t="inlineStr">
        <is>
          <t>Kg</t>
        </is>
      </c>
      <c r="C18" s="34" t="n"/>
      <c r="D18" s="32" t="n"/>
      <c r="E18" s="32" t="n"/>
      <c r="F18" s="31" t="n"/>
      <c r="G18" s="32" t="n"/>
      <c r="H18" s="30">
        <f>IFERROR(F18*G18, 0)</f>
        <v/>
      </c>
      <c r="I18" s="31" t="n">
        <v>1</v>
      </c>
      <c r="J18" s="32" t="n">
        <v>130000</v>
      </c>
      <c r="K18" s="30" t="n">
        <v>130000</v>
      </c>
      <c r="L18" s="31" t="n"/>
      <c r="M18" s="32" t="n"/>
      <c r="N18" s="30">
        <f>IFERROR(L18*M18, 0)</f>
        <v/>
      </c>
      <c r="O18" s="31" t="n"/>
      <c r="P18" s="32" t="n"/>
      <c r="Q18" s="30">
        <f>IFERROR(O18*P18, 0)</f>
        <v/>
      </c>
      <c r="R18" s="31" t="n"/>
      <c r="S18" s="32" t="n"/>
      <c r="T18" s="30">
        <f>IFERROR(R18*S18, 0)</f>
        <v/>
      </c>
      <c r="U18" s="31" t="n"/>
      <c r="V18" s="32" t="n"/>
      <c r="W18" s="30">
        <f>IFERROR(U18*V18, 0)</f>
        <v/>
      </c>
      <c r="X18" s="31" t="n"/>
      <c r="Y18" s="32" t="n"/>
      <c r="Z18" s="30">
        <f>IFERROR(X18*Y18, 0)</f>
        <v/>
      </c>
      <c r="AA18" s="31" t="n"/>
      <c r="AB18" s="32" t="n"/>
      <c r="AC18" s="30">
        <f>IFERROR(AA18*AB18, 0)</f>
        <v/>
      </c>
      <c r="AD18" s="31" t="n"/>
      <c r="AE18" s="32" t="n"/>
      <c r="AF18" s="30">
        <f>IFERROR(AD18*AE18, 0)</f>
        <v/>
      </c>
      <c r="AG18" s="31" t="n"/>
      <c r="AH18" s="32" t="n"/>
      <c r="AI18" s="30">
        <f>IFERROR(AG18*AH18, 0)</f>
        <v/>
      </c>
      <c r="AJ18" s="31" t="n"/>
      <c r="AK18" s="32" t="n"/>
      <c r="AL18" s="30">
        <f>IFERROR(AJ18*AK18, 0)</f>
        <v/>
      </c>
      <c r="AM18" s="31" t="n"/>
      <c r="AN18" s="32" t="n"/>
      <c r="AO18" s="30">
        <f>IFERROR(AM18*AN18, 0)</f>
        <v/>
      </c>
      <c r="AP18" s="31" t="n">
        <v>237.6</v>
      </c>
      <c r="AQ18" s="32" t="n">
        <v>1800</v>
      </c>
      <c r="AR18" s="30" t="n">
        <v>427680</v>
      </c>
      <c r="AS18" s="31" t="n">
        <v>75.2</v>
      </c>
      <c r="AT18" s="32" t="n">
        <v>1600</v>
      </c>
      <c r="AU18" s="30" t="n">
        <v>120320</v>
      </c>
      <c r="AV18" s="31" t="n"/>
      <c r="AW18" s="32" t="n"/>
      <c r="AX18" s="30">
        <f>IFERROR(AV18*AW18, 0)</f>
        <v/>
      </c>
      <c r="AY18" s="31" t="n"/>
      <c r="AZ18" s="32" t="n"/>
      <c r="BA18" s="30">
        <f>IFERROR(AY18*AZ18, 0)</f>
        <v/>
      </c>
      <c r="BB18" s="31" t="n"/>
      <c r="BC18" s="32" t="n"/>
      <c r="BD18" s="30">
        <f>IFERROR(BB18*BC18, 0)</f>
        <v/>
      </c>
      <c r="BE18" s="31" t="n"/>
      <c r="BF18" s="32" t="n"/>
      <c r="BG18" s="30">
        <f>IFERROR(BE18*BF18, 0)</f>
        <v/>
      </c>
      <c r="BH18" s="31" t="n"/>
      <c r="BI18" s="32" t="n"/>
      <c r="BJ18" s="30">
        <f>IFERROR(BH18*BI18, 0)</f>
        <v/>
      </c>
      <c r="BK18" s="31" t="n"/>
      <c r="BL18" s="32" t="n"/>
      <c r="BM18" s="30">
        <f>IFERROR(BK18*BL18, 0)</f>
        <v/>
      </c>
      <c r="BN18" s="31" t="n">
        <v>87.59999999999999</v>
      </c>
      <c r="BO18" s="32" t="n">
        <v>1500</v>
      </c>
      <c r="BP18" s="30" t="n">
        <v>146640</v>
      </c>
      <c r="BQ18" s="31" t="n"/>
      <c r="BR18" s="32" t="n"/>
      <c r="BS18" s="30">
        <f>IFERROR(BQ18*BR18, 0)</f>
        <v/>
      </c>
      <c r="BT18" s="31" t="n"/>
      <c r="BU18" s="32" t="n"/>
      <c r="BV18" s="30">
        <f>IFERROR(BT18*BU18, 0)</f>
        <v/>
      </c>
      <c r="BW18" s="31" t="n"/>
      <c r="BX18" s="32" t="n"/>
      <c r="BY18" s="30">
        <f>IFERROR(BW18*BX18, 0)</f>
        <v/>
      </c>
      <c r="BZ18" s="31" t="n"/>
      <c r="CA18" s="32" t="n"/>
      <c r="CB18" s="30">
        <f>IFERROR(BZ18*CA18, 0)</f>
        <v/>
      </c>
      <c r="CC18" s="31" t="n"/>
      <c r="CD18" s="32" t="n"/>
      <c r="CE18" s="30">
        <f>IFERROR(CC18*CD18, 0)</f>
        <v/>
      </c>
      <c r="CF18" s="31" t="n"/>
      <c r="CG18" s="32" t="n"/>
      <c r="CH18" s="30">
        <f>IFERROR(CF18*CG18, 0)</f>
        <v/>
      </c>
      <c r="CI18" s="31" t="n"/>
      <c r="CJ18" s="32" t="n"/>
      <c r="CK18" s="30">
        <f>IFERROR(CI18*CJ18, 0)</f>
        <v/>
      </c>
      <c r="CL18" s="31" t="n"/>
      <c r="CM18" s="32" t="n"/>
      <c r="CN18" s="30">
        <f>IFERROR(CL18*CM18, 0)</f>
        <v/>
      </c>
      <c r="CO18" s="31" t="n"/>
      <c r="CP18" s="32" t="n"/>
      <c r="CQ18" s="30">
        <f>IFERROR(CO18*CP18, 0)</f>
        <v/>
      </c>
      <c r="CR18" s="31" t="n"/>
      <c r="CS18" s="32" t="n"/>
      <c r="CT18" s="30">
        <f>IFERROR(CR18*CS18, 0)</f>
        <v/>
      </c>
      <c r="CU18" s="33">
        <f>IFERROR(SUM(F18,I18,L18,O18,R18,U18,X18,AA18,AD18,AG18,AJ18,AM18,AP18,AS18,AV18,AY18,BB18,BE18,BH18,BK18,BN18,BQ18,BT18,BW18,BZ18,CC18,CF18,CI18,CL18,CO18,CR18), 0)</f>
        <v/>
      </c>
      <c r="CV18" s="30">
        <f>IFERROR(AVERAGE(G18,J18,M18,P18,S18,V18,Y18,AB18,AE18,AH18,AK18,AN18,AQ18,AT18,AW18,AZ18,BC18,BF18,BI18,BL18,BO18,BR18,BU18,BX18,CA18,CD18,CG18,CJ18,CM18,CP18,CS18), 0)</f>
        <v/>
      </c>
      <c r="CW18" s="30">
        <f>CU18*CV18</f>
        <v/>
      </c>
    </row>
    <row r="19" ht="15.75" customHeight="1">
      <c r="A19" s="35" t="inlineStr">
        <is>
          <t xml:space="preserve">Platano Promocion </t>
        </is>
      </c>
      <c r="B19" s="28" t="inlineStr">
        <is>
          <t>Kg</t>
        </is>
      </c>
      <c r="C19" s="35" t="n"/>
      <c r="D19" s="35" t="n"/>
      <c r="E19" s="35" t="n"/>
      <c r="F19" s="31" t="n"/>
      <c r="G19" s="32" t="n"/>
      <c r="H19" s="30">
        <f>IFERROR(F19*G19, 0)</f>
        <v/>
      </c>
      <c r="I19" s="31" t="n"/>
      <c r="J19" s="32" t="n"/>
      <c r="K19" s="30">
        <f>IFERROR(I19*J19, 0)</f>
        <v/>
      </c>
      <c r="L19" s="31" t="n"/>
      <c r="M19" s="32" t="n"/>
      <c r="N19" s="30">
        <f>IFERROR(L19*M19, 0)</f>
        <v/>
      </c>
      <c r="O19" s="31" t="n"/>
      <c r="P19" s="32" t="n"/>
      <c r="Q19" s="30">
        <f>IFERROR(O19*P19, 0)</f>
        <v/>
      </c>
      <c r="R19" s="31" t="n"/>
      <c r="S19" s="32" t="n"/>
      <c r="T19" s="30">
        <f>IFERROR(R19*S19, 0)</f>
        <v/>
      </c>
      <c r="U19" s="31" t="n"/>
      <c r="V19" s="32" t="n"/>
      <c r="W19" s="30">
        <f>IFERROR(U19*V19, 0)</f>
        <v/>
      </c>
      <c r="X19" s="31" t="n"/>
      <c r="Y19" s="32" t="n"/>
      <c r="Z19" s="30">
        <f>IFERROR(X19*Y19, 0)</f>
        <v/>
      </c>
      <c r="AA19" s="31" t="n"/>
      <c r="AB19" s="32" t="n"/>
      <c r="AC19" s="30">
        <f>IFERROR(AA19*AB19, 0)</f>
        <v/>
      </c>
      <c r="AD19" s="31" t="n"/>
      <c r="AE19" s="32" t="n"/>
      <c r="AF19" s="30">
        <f>IFERROR(AD19*AE19, 0)</f>
        <v/>
      </c>
      <c r="AG19" s="31" t="n"/>
      <c r="AH19" s="32" t="n"/>
      <c r="AI19" s="30">
        <f>IFERROR(AG19*AH19, 0)</f>
        <v/>
      </c>
      <c r="AJ19" s="31" t="n"/>
      <c r="AK19" s="32" t="n"/>
      <c r="AL19" s="30">
        <f>IFERROR(AJ19*AK19, 0)</f>
        <v/>
      </c>
      <c r="AM19" s="31" t="n"/>
      <c r="AN19" s="32" t="n"/>
      <c r="AO19" s="30">
        <f>IFERROR(AM19*AN19, 0)</f>
        <v/>
      </c>
      <c r="AP19" s="31" t="n"/>
      <c r="AQ19" s="32" t="n"/>
      <c r="AR19" s="30">
        <f>IFERROR(AP19*AQ19, 0)</f>
        <v/>
      </c>
      <c r="AS19" s="31" t="n"/>
      <c r="AT19" s="32" t="n"/>
      <c r="AU19" s="30">
        <f>IFERROR(AS19*AT19, 0)</f>
        <v/>
      </c>
      <c r="AV19" s="31" t="n"/>
      <c r="AW19" s="32" t="n"/>
      <c r="AX19" s="30">
        <f>IFERROR(AV19*AW19, 0)</f>
        <v/>
      </c>
      <c r="AY19" s="31" t="n"/>
      <c r="AZ19" s="32" t="n"/>
      <c r="BA19" s="30">
        <f>IFERROR(AY19*AZ19, 0)</f>
        <v/>
      </c>
      <c r="BB19" s="31" t="n"/>
      <c r="BC19" s="32" t="n"/>
      <c r="BD19" s="30">
        <f>IFERROR(BB19*BC19, 0)</f>
        <v/>
      </c>
      <c r="BE19" s="31" t="n"/>
      <c r="BF19" s="32" t="n"/>
      <c r="BG19" s="30">
        <f>IFERROR(BE19*BF19, 0)</f>
        <v/>
      </c>
      <c r="BH19" s="31" t="n"/>
      <c r="BI19" s="32" t="n"/>
      <c r="BJ19" s="30">
        <f>IFERROR(BH19*BI19, 0)</f>
        <v/>
      </c>
      <c r="BK19" s="31" t="n"/>
      <c r="BL19" s="32" t="n"/>
      <c r="BM19" s="30">
        <f>IFERROR(BK19*BL19, 0)</f>
        <v/>
      </c>
      <c r="BN19" s="31" t="n"/>
      <c r="BO19" s="32" t="n"/>
      <c r="BP19" s="30">
        <f>IFERROR(BN19*BO19, 0)</f>
        <v/>
      </c>
      <c r="BQ19" s="31" t="n"/>
      <c r="BR19" s="32" t="n"/>
      <c r="BS19" s="30">
        <f>IFERROR(BQ19*BR19, 0)</f>
        <v/>
      </c>
      <c r="BT19" s="31" t="n"/>
      <c r="BU19" s="32" t="n"/>
      <c r="BV19" s="30">
        <f>IFERROR(BT19*BU19, 0)</f>
        <v/>
      </c>
      <c r="BW19" s="31" t="n"/>
      <c r="BX19" s="32" t="n"/>
      <c r="BY19" s="30">
        <f>IFERROR(BW19*BX19, 0)</f>
        <v/>
      </c>
      <c r="BZ19" s="31" t="n"/>
      <c r="CA19" s="32" t="n"/>
      <c r="CB19" s="30">
        <f>IFERROR(BZ19*CA19, 0)</f>
        <v/>
      </c>
      <c r="CC19" s="31" t="n"/>
      <c r="CD19" s="32" t="n"/>
      <c r="CE19" s="30">
        <f>IFERROR(CC19*CD19, 0)</f>
        <v/>
      </c>
      <c r="CF19" s="31" t="n"/>
      <c r="CG19" s="32" t="n"/>
      <c r="CH19" s="30">
        <f>IFERROR(CF19*CG19, 0)</f>
        <v/>
      </c>
      <c r="CI19" s="31" t="n"/>
      <c r="CJ19" s="32" t="n"/>
      <c r="CK19" s="30">
        <f>IFERROR(CI19*CJ19, 0)</f>
        <v/>
      </c>
      <c r="CL19" s="31" t="n"/>
      <c r="CM19" s="32" t="n"/>
      <c r="CN19" s="30">
        <f>IFERROR(CL19*CM19, 0)</f>
        <v/>
      </c>
      <c r="CO19" s="31" t="n"/>
      <c r="CP19" s="32" t="n"/>
      <c r="CQ19" s="30">
        <f>IFERROR(CO19*CP19, 0)</f>
        <v/>
      </c>
      <c r="CR19" s="31" t="n"/>
      <c r="CS19" s="32" t="n"/>
      <c r="CT19" s="30">
        <f>IFERROR(CR19*CS19, 0)</f>
        <v/>
      </c>
      <c r="CU19" s="33">
        <f>IFERROR(SUM(F19,I19,L19,O19,R19,U19,X19,AA19,AD19,AG19,AJ19,AM19,AP19,AS19,AV19,AY19,BB19,BE19,BH19,BK19,BN19,BQ19,BT19,BW19,BZ19,CC19,CF19,CI19,CL19,CO19,CR19), 0)</f>
        <v/>
      </c>
      <c r="CV19" s="30">
        <f>IFERROR(AVERAGE(G19,J19,M19,P19,S19,V19,Y19,AB19,AE19,AH19,AK19,AN19,AQ19,AT19,AW19,AZ19,BC19,BF19,BI19,BL19,BO19,BR19,BU19,BX19,CA19,CD19,CG19,CJ19,CM19,CP19,CS19), 0)</f>
        <v/>
      </c>
      <c r="CW19" s="30">
        <f>CU19*CV19</f>
        <v/>
      </c>
    </row>
    <row r="20" ht="15.75" customHeight="1">
      <c r="A20" s="28" t="inlineStr">
        <is>
          <t>Platano maduro</t>
        </is>
      </c>
      <c r="B20" s="28" t="inlineStr">
        <is>
          <t>Kg</t>
        </is>
      </c>
      <c r="C20" s="34" t="n"/>
      <c r="D20" s="32" t="n"/>
      <c r="E20" s="32" t="n"/>
      <c r="F20" s="31" t="n"/>
      <c r="G20" s="32" t="n"/>
      <c r="H20" s="30">
        <f>IFERROR(F20*G20, 0)</f>
        <v/>
      </c>
      <c r="I20" s="31" t="n"/>
      <c r="J20" s="32" t="n"/>
      <c r="K20" s="30">
        <f>IFERROR(I20*J20, 0)</f>
        <v/>
      </c>
      <c r="L20" s="31" t="n"/>
      <c r="M20" s="32" t="n"/>
      <c r="N20" s="30">
        <f>IFERROR(L20*M20, 0)</f>
        <v/>
      </c>
      <c r="O20" s="31" t="n"/>
      <c r="P20" s="32" t="n"/>
      <c r="Q20" s="30">
        <f>IFERROR(O20*P20, 0)</f>
        <v/>
      </c>
      <c r="R20" s="31" t="n"/>
      <c r="S20" s="32" t="n"/>
      <c r="T20" s="30">
        <f>IFERROR(R20*S20, 0)</f>
        <v/>
      </c>
      <c r="U20" s="31" t="n"/>
      <c r="V20" s="32" t="n"/>
      <c r="W20" s="30">
        <f>IFERROR(U20*V20, 0)</f>
        <v/>
      </c>
      <c r="X20" s="31" t="n"/>
      <c r="Y20" s="32" t="n"/>
      <c r="Z20" s="30">
        <f>IFERROR(X20*Y20, 0)</f>
        <v/>
      </c>
      <c r="AA20" s="31" t="n"/>
      <c r="AB20" s="32" t="n"/>
      <c r="AC20" s="30">
        <f>IFERROR(AA20*AB20, 0)</f>
        <v/>
      </c>
      <c r="AD20" s="31" t="n"/>
      <c r="AE20" s="32" t="n"/>
      <c r="AF20" s="30">
        <f>IFERROR(AD20*AE20, 0)</f>
        <v/>
      </c>
      <c r="AG20" s="31" t="n"/>
      <c r="AH20" s="32" t="n"/>
      <c r="AI20" s="30">
        <f>IFERROR(AG20*AH20, 0)</f>
        <v/>
      </c>
      <c r="AJ20" s="31" t="n"/>
      <c r="AK20" s="32" t="n"/>
      <c r="AL20" s="30">
        <f>IFERROR(AJ20*AK20, 0)</f>
        <v/>
      </c>
      <c r="AM20" s="31" t="n"/>
      <c r="AN20" s="32" t="n"/>
      <c r="AO20" s="30">
        <f>IFERROR(AM20*AN20, 0)</f>
        <v/>
      </c>
      <c r="AP20" s="31" t="n">
        <v>86.7</v>
      </c>
      <c r="AQ20" s="32" t="n">
        <v>1800</v>
      </c>
      <c r="AR20" s="30" t="n">
        <v>156060</v>
      </c>
      <c r="AS20" s="31" t="n">
        <v>43.7</v>
      </c>
      <c r="AT20" s="32" t="n">
        <v>1600</v>
      </c>
      <c r="AU20" s="30" t="n">
        <v>69920</v>
      </c>
      <c r="AV20" s="31" t="n"/>
      <c r="AW20" s="32" t="n"/>
      <c r="AX20" s="30">
        <f>IFERROR(AV20*AW20, 0)</f>
        <v/>
      </c>
      <c r="AY20" s="31" t="n"/>
      <c r="AZ20" s="32" t="n"/>
      <c r="BA20" s="30">
        <f>IFERROR(AY20*AZ20, 0)</f>
        <v/>
      </c>
      <c r="BB20" s="31" t="n"/>
      <c r="BC20" s="32" t="n"/>
      <c r="BD20" s="30">
        <f>IFERROR(BB20*BC20, 0)</f>
        <v/>
      </c>
      <c r="BE20" s="31" t="n"/>
      <c r="BF20" s="32" t="n"/>
      <c r="BG20" s="30">
        <f>IFERROR(BE20*BF20, 0)</f>
        <v/>
      </c>
      <c r="BH20" s="31" t="n"/>
      <c r="BI20" s="32" t="n"/>
      <c r="BJ20" s="30">
        <f>IFERROR(BH20*BI20, 0)</f>
        <v/>
      </c>
      <c r="BK20" s="31" t="n"/>
      <c r="BL20" s="32" t="n"/>
      <c r="BM20" s="30">
        <f>IFERROR(BK20*BL20, 0)</f>
        <v/>
      </c>
      <c r="BN20" s="31" t="n"/>
      <c r="BO20" s="32" t="n"/>
      <c r="BP20" s="30">
        <f>IFERROR(BN20*BO20, 0)</f>
        <v/>
      </c>
      <c r="BQ20" s="31" t="n"/>
      <c r="BR20" s="32" t="n"/>
      <c r="BS20" s="30">
        <f>IFERROR(BQ20*BR20, 0)</f>
        <v/>
      </c>
      <c r="BT20" s="31" t="n"/>
      <c r="BU20" s="32" t="n"/>
      <c r="BV20" s="30">
        <f>IFERROR(BT20*BU20, 0)</f>
        <v/>
      </c>
      <c r="BW20" s="31" t="n"/>
      <c r="BX20" s="32" t="n"/>
      <c r="BY20" s="30">
        <f>IFERROR(BW20*BX20, 0)</f>
        <v/>
      </c>
      <c r="BZ20" s="31" t="n"/>
      <c r="CA20" s="32" t="n"/>
      <c r="CB20" s="30">
        <f>IFERROR(BZ20*CA20, 0)</f>
        <v/>
      </c>
      <c r="CC20" s="31" t="n"/>
      <c r="CD20" s="32" t="n"/>
      <c r="CE20" s="30">
        <f>IFERROR(CC20*CD20, 0)</f>
        <v/>
      </c>
      <c r="CF20" s="31" t="n"/>
      <c r="CG20" s="32" t="n"/>
      <c r="CH20" s="30">
        <f>IFERROR(CF20*CG20, 0)</f>
        <v/>
      </c>
      <c r="CI20" s="31" t="n"/>
      <c r="CJ20" s="32" t="n"/>
      <c r="CK20" s="30">
        <f>IFERROR(CI20*CJ20, 0)</f>
        <v/>
      </c>
      <c r="CL20" s="31" t="n"/>
      <c r="CM20" s="32" t="n"/>
      <c r="CN20" s="30">
        <f>IFERROR(CL20*CM20, 0)</f>
        <v/>
      </c>
      <c r="CO20" s="31" t="n"/>
      <c r="CP20" s="32" t="n"/>
      <c r="CQ20" s="30">
        <f>IFERROR(CO20*CP20, 0)</f>
        <v/>
      </c>
      <c r="CR20" s="31" t="n"/>
      <c r="CS20" s="32" t="n"/>
      <c r="CT20" s="30">
        <f>IFERROR(CR20*CS20, 0)</f>
        <v/>
      </c>
      <c r="CU20" s="33">
        <f>IFERROR(SUM(F20,I20,L20,O20,R20,U20,X20,AA20,AD20,AG20,AJ20,AM20,AP20,AS20,AV20,AY20,BB20,BE20,BH20,BK20,BN20,BQ20,BT20,BW20,BZ20,CC20,CF20,CI20,CL20,CO20,CR20), 0)</f>
        <v/>
      </c>
      <c r="CV20" s="30">
        <f>IFERROR(AVERAGE(G20,J20,M20,P20,S20,V20,Y20,AB20,AE20,AH20,AK20,AN20,AQ20,AT20,AW20,AZ20,BC20,BF20,BI20,BL20,BO20,BR20,BU20,BX20,CA20,CD20,CG20,CJ20,CM20,CP20,CS20), 0)</f>
        <v/>
      </c>
      <c r="CW20" s="30">
        <f>CU20*CV20</f>
        <v/>
      </c>
    </row>
    <row r="21" ht="15.75" customHeight="1">
      <c r="A21" s="28" t="inlineStr">
        <is>
          <t>Platano guineo</t>
        </is>
      </c>
      <c r="B21" s="28" t="inlineStr">
        <is>
          <t>Kg</t>
        </is>
      </c>
      <c r="C21" s="29" t="n"/>
      <c r="D21" s="30" t="n"/>
      <c r="E21" s="30" t="n"/>
      <c r="F21" s="31" t="n"/>
      <c r="G21" s="32" t="n"/>
      <c r="H21" s="30">
        <f>IFERROR(F21*G21, 0)</f>
        <v/>
      </c>
      <c r="I21" s="31" t="n"/>
      <c r="J21" s="32" t="n"/>
      <c r="K21" s="30">
        <f>IFERROR(I21*J21, 0)</f>
        <v/>
      </c>
      <c r="L21" s="31" t="n"/>
      <c r="M21" s="32" t="n"/>
      <c r="N21" s="30">
        <f>IFERROR(L21*M21, 0)</f>
        <v/>
      </c>
      <c r="O21" s="31" t="n"/>
      <c r="P21" s="32" t="n"/>
      <c r="Q21" s="30">
        <f>IFERROR(O21*P21, 0)</f>
        <v/>
      </c>
      <c r="R21" s="31" t="n"/>
      <c r="S21" s="32" t="n"/>
      <c r="T21" s="30">
        <f>IFERROR(R21*S21, 0)</f>
        <v/>
      </c>
      <c r="U21" s="31" t="n"/>
      <c r="V21" s="32" t="n"/>
      <c r="W21" s="30">
        <f>IFERROR(U21*V21, 0)</f>
        <v/>
      </c>
      <c r="X21" s="31" t="n"/>
      <c r="Y21" s="32" t="n"/>
      <c r="Z21" s="30">
        <f>IFERROR(X21*Y21, 0)</f>
        <v/>
      </c>
      <c r="AA21" s="31" t="n"/>
      <c r="AB21" s="32" t="n"/>
      <c r="AC21" s="30">
        <f>IFERROR(AA21*AB21, 0)</f>
        <v/>
      </c>
      <c r="AD21" s="31" t="n"/>
      <c r="AE21" s="32" t="n"/>
      <c r="AF21" s="30">
        <f>IFERROR(AD21*AE21, 0)</f>
        <v/>
      </c>
      <c r="AG21" s="31" t="n"/>
      <c r="AH21" s="32" t="n"/>
      <c r="AI21" s="30">
        <f>IFERROR(AG21*AH21, 0)</f>
        <v/>
      </c>
      <c r="AJ21" s="31" t="n"/>
      <c r="AK21" s="32" t="n"/>
      <c r="AL21" s="30">
        <f>IFERROR(AJ21*AK21, 0)</f>
        <v/>
      </c>
      <c r="AM21" s="31" t="n"/>
      <c r="AN21" s="32" t="n"/>
      <c r="AO21" s="30">
        <f>IFERROR(AM21*AN21, 0)</f>
        <v/>
      </c>
      <c r="AP21" s="31" t="n"/>
      <c r="AQ21" s="32" t="n"/>
      <c r="AR21" s="30">
        <f>IFERROR(AP21*AQ21, 0)</f>
        <v/>
      </c>
      <c r="AS21" s="31" t="n"/>
      <c r="AT21" s="32" t="n"/>
      <c r="AU21" s="30">
        <f>IFERROR(AS21*AT21, 0)</f>
        <v/>
      </c>
      <c r="AV21" s="31" t="n"/>
      <c r="AW21" s="32" t="n"/>
      <c r="AX21" s="30">
        <f>IFERROR(AV21*AW21, 0)</f>
        <v/>
      </c>
      <c r="AY21" s="31" t="n"/>
      <c r="AZ21" s="32" t="n"/>
      <c r="BA21" s="30">
        <f>IFERROR(AY21*AZ21, 0)</f>
        <v/>
      </c>
      <c r="BB21" s="31" t="n"/>
      <c r="BC21" s="32" t="n"/>
      <c r="BD21" s="30">
        <f>IFERROR(BB21*BC21, 0)</f>
        <v/>
      </c>
      <c r="BE21" s="31" t="n"/>
      <c r="BF21" s="32" t="n"/>
      <c r="BG21" s="30">
        <f>IFERROR(BE21*BF21, 0)</f>
        <v/>
      </c>
      <c r="BH21" s="31" t="n"/>
      <c r="BI21" s="32" t="n"/>
      <c r="BJ21" s="30">
        <f>IFERROR(BH21*BI21, 0)</f>
        <v/>
      </c>
      <c r="BK21" s="31" t="n"/>
      <c r="BL21" s="32" t="n"/>
      <c r="BM21" s="30">
        <f>IFERROR(BK21*BL21, 0)</f>
        <v/>
      </c>
      <c r="BN21" s="31" t="n"/>
      <c r="BO21" s="32" t="n"/>
      <c r="BP21" s="30">
        <f>IFERROR(BN21*BO21, 0)</f>
        <v/>
      </c>
      <c r="BQ21" s="31" t="n"/>
      <c r="BR21" s="32" t="n"/>
      <c r="BS21" s="30">
        <f>IFERROR(BQ21*BR21, 0)</f>
        <v/>
      </c>
      <c r="BT21" s="31" t="n"/>
      <c r="BU21" s="32" t="n"/>
      <c r="BV21" s="30">
        <f>IFERROR(BT21*BU21, 0)</f>
        <v/>
      </c>
      <c r="BW21" s="31" t="n"/>
      <c r="BX21" s="32" t="n"/>
      <c r="BY21" s="30">
        <f>IFERROR(BW21*BX21, 0)</f>
        <v/>
      </c>
      <c r="BZ21" s="31" t="n"/>
      <c r="CA21" s="32" t="n"/>
      <c r="CB21" s="30">
        <f>IFERROR(BZ21*CA21, 0)</f>
        <v/>
      </c>
      <c r="CC21" s="31" t="n"/>
      <c r="CD21" s="32" t="n"/>
      <c r="CE21" s="30">
        <f>IFERROR(CC21*CD21, 0)</f>
        <v/>
      </c>
      <c r="CF21" s="31" t="n"/>
      <c r="CG21" s="32" t="n"/>
      <c r="CH21" s="30">
        <f>IFERROR(CF21*CG21, 0)</f>
        <v/>
      </c>
      <c r="CI21" s="31" t="n"/>
      <c r="CJ21" s="32" t="n"/>
      <c r="CK21" s="30">
        <f>IFERROR(CI21*CJ21, 0)</f>
        <v/>
      </c>
      <c r="CL21" s="31" t="n"/>
      <c r="CM21" s="32" t="n"/>
      <c r="CN21" s="30">
        <f>IFERROR(CL21*CM21, 0)</f>
        <v/>
      </c>
      <c r="CO21" s="31" t="n"/>
      <c r="CP21" s="32" t="n"/>
      <c r="CQ21" s="30">
        <f>IFERROR(CO21*CP21, 0)</f>
        <v/>
      </c>
      <c r="CR21" s="31" t="n"/>
      <c r="CS21" s="32" t="n"/>
      <c r="CT21" s="30">
        <f>IFERROR(CR21*CS21, 0)</f>
        <v/>
      </c>
      <c r="CU21" s="33">
        <f>IFERROR(SUM(F21,I21,L21,O21,R21,U21,X21,AA21,AD21,AG21,AJ21,AM21,AP21,AS21,AV21,AY21,BB21,BE21,BH21,BK21,BN21,BQ21,BT21,BW21,BZ21,CC21,CF21,CI21,CL21,CO21,CR21), 0)</f>
        <v/>
      </c>
      <c r="CV21" s="30">
        <f>IFERROR(AVERAGE(G21,J21,M21,P21,S21,V21,Y21,AB21,AE21,AH21,AK21,AN21,AQ21,AT21,AW21,AZ21,BC21,BF21,BI21,BL21,BO21,BR21,BU21,BX21,CA21,CD21,CG21,CJ21,CM21,CP21,CS21), 0)</f>
        <v/>
      </c>
      <c r="CW21" s="30">
        <f>CU21*CV21</f>
        <v/>
      </c>
    </row>
    <row r="22" ht="15.75" customHeight="1">
      <c r="A22" s="28" t="inlineStr">
        <is>
          <t xml:space="preserve">Platano </t>
        </is>
      </c>
      <c r="B22" s="28" t="inlineStr">
        <is>
          <t>Kg</t>
        </is>
      </c>
      <c r="C22" s="34" t="n"/>
      <c r="D22" s="32" t="n"/>
      <c r="E22" s="32" t="n"/>
      <c r="F22" s="31" t="n"/>
      <c r="G22" s="32" t="n"/>
      <c r="H22" s="30">
        <f>IFERROR(F22*G22, 0)</f>
        <v/>
      </c>
      <c r="I22" s="31" t="n"/>
      <c r="J22" s="32" t="n"/>
      <c r="K22" s="30">
        <f>IFERROR(I22*J22, 0)</f>
        <v/>
      </c>
      <c r="L22" s="31" t="n">
        <v>5.405</v>
      </c>
      <c r="M22" s="32" t="n">
        <v>3280</v>
      </c>
      <c r="N22" s="30" t="n">
        <v>17729</v>
      </c>
      <c r="O22" s="31" t="n"/>
      <c r="P22" s="32" t="n"/>
      <c r="Q22" s="30">
        <f>IFERROR(O22*P22, 0)</f>
        <v/>
      </c>
      <c r="R22" s="31" t="n"/>
      <c r="S22" s="32" t="n"/>
      <c r="T22" s="30">
        <f>IFERROR(R22*S22, 0)</f>
        <v/>
      </c>
      <c r="U22" s="31" t="n"/>
      <c r="V22" s="32" t="n"/>
      <c r="W22" s="30">
        <f>IFERROR(U22*V22, 0)</f>
        <v/>
      </c>
      <c r="X22" s="31" t="n"/>
      <c r="Y22" s="32" t="n"/>
      <c r="Z22" s="30">
        <f>IFERROR(X22*Y22, 0)</f>
        <v/>
      </c>
      <c r="AA22" s="31" t="n"/>
      <c r="AB22" s="32" t="n"/>
      <c r="AC22" s="30">
        <f>IFERROR(AA22*AB22, 0)</f>
        <v/>
      </c>
      <c r="AD22" s="31" t="n"/>
      <c r="AE22" s="32" t="n"/>
      <c r="AF22" s="30">
        <f>IFERROR(AD22*AE22, 0)</f>
        <v/>
      </c>
      <c r="AG22" s="31" t="n"/>
      <c r="AH22" s="32" t="n"/>
      <c r="AI22" s="30">
        <f>IFERROR(AG22*AH22, 0)</f>
        <v/>
      </c>
      <c r="AJ22" s="31" t="n"/>
      <c r="AK22" s="32" t="n"/>
      <c r="AL22" s="30">
        <f>IFERROR(AJ22*AK22, 0)</f>
        <v/>
      </c>
      <c r="AM22" s="31" t="n"/>
      <c r="AN22" s="32" t="n"/>
      <c r="AO22" s="30">
        <f>IFERROR(AM22*AN22, 0)</f>
        <v/>
      </c>
      <c r="AP22" s="31" t="n"/>
      <c r="AQ22" s="32" t="n"/>
      <c r="AR22" s="30">
        <f>IFERROR(AP22*AQ22, 0)</f>
        <v/>
      </c>
      <c r="AS22" s="31" t="n"/>
      <c r="AT22" s="32" t="n"/>
      <c r="AU22" s="30">
        <f>IFERROR(AS22*AT22, 0)</f>
        <v/>
      </c>
      <c r="AV22" s="31" t="n"/>
      <c r="AW22" s="32" t="n"/>
      <c r="AX22" s="30">
        <f>IFERROR(AV22*AW22, 0)</f>
        <v/>
      </c>
      <c r="AY22" s="31" t="n"/>
      <c r="AZ22" s="32" t="n"/>
      <c r="BA22" s="30">
        <f>IFERROR(AY22*AZ22, 0)</f>
        <v/>
      </c>
      <c r="BB22" s="31" t="n"/>
      <c r="BC22" s="32" t="n"/>
      <c r="BD22" s="30">
        <f>IFERROR(BB22*BC22, 0)</f>
        <v/>
      </c>
      <c r="BE22" s="31" t="n"/>
      <c r="BF22" s="32" t="n"/>
      <c r="BG22" s="30">
        <f>IFERROR(BE22*BF22, 0)</f>
        <v/>
      </c>
      <c r="BH22" s="31" t="n"/>
      <c r="BI22" s="32" t="n"/>
      <c r="BJ22" s="30">
        <f>IFERROR(BH22*BI22, 0)</f>
        <v/>
      </c>
      <c r="BK22" s="31" t="n">
        <v>1</v>
      </c>
      <c r="BL22" s="32" t="n">
        <v>70000</v>
      </c>
      <c r="BM22" s="30" t="n">
        <v>70000</v>
      </c>
      <c r="BN22" s="31" t="n"/>
      <c r="BO22" s="32" t="n"/>
      <c r="BP22" s="30">
        <f>IFERROR(BN22*BO22, 0)</f>
        <v/>
      </c>
      <c r="BQ22" s="31" t="n"/>
      <c r="BR22" s="32" t="n"/>
      <c r="BS22" s="30">
        <f>IFERROR(BQ22*BR22, 0)</f>
        <v/>
      </c>
      <c r="BT22" s="31" t="n"/>
      <c r="BU22" s="32" t="n"/>
      <c r="BV22" s="30">
        <f>IFERROR(BT22*BU22, 0)</f>
        <v/>
      </c>
      <c r="BW22" s="31" t="n"/>
      <c r="BX22" s="32" t="n"/>
      <c r="BY22" s="30">
        <f>IFERROR(BW22*BX22, 0)</f>
        <v/>
      </c>
      <c r="BZ22" s="31" t="n"/>
      <c r="CA22" s="32" t="n"/>
      <c r="CB22" s="30">
        <f>IFERROR(BZ22*CA22, 0)</f>
        <v/>
      </c>
      <c r="CC22" s="31" t="n"/>
      <c r="CD22" s="32" t="n"/>
      <c r="CE22" s="30">
        <f>IFERROR(CC22*CD22, 0)</f>
        <v/>
      </c>
      <c r="CF22" s="31" t="n"/>
      <c r="CG22" s="32" t="n"/>
      <c r="CH22" s="30">
        <f>IFERROR(CF22*CG22, 0)</f>
        <v/>
      </c>
      <c r="CI22" s="31" t="n"/>
      <c r="CJ22" s="32" t="n"/>
      <c r="CK22" s="30">
        <f>IFERROR(CI22*CJ22, 0)</f>
        <v/>
      </c>
      <c r="CL22" s="31" t="n"/>
      <c r="CM22" s="32" t="n"/>
      <c r="CN22" s="30">
        <f>IFERROR(CL22*CM22, 0)</f>
        <v/>
      </c>
      <c r="CO22" s="31" t="n"/>
      <c r="CP22" s="32" t="n"/>
      <c r="CQ22" s="30">
        <f>IFERROR(CO22*CP22, 0)</f>
        <v/>
      </c>
      <c r="CR22" s="31" t="n"/>
      <c r="CS22" s="32" t="n"/>
      <c r="CT22" s="30">
        <f>IFERROR(CR22*CS22, 0)</f>
        <v/>
      </c>
      <c r="CU22" s="33">
        <f>IFERROR(SUM(F22,I22,L22,O22,R22,U22,X22,AA22,AD22,AG22,AJ22,AM22,AP22,AS22,AV22,AY22,BB22,BE22,BH22,BK22,BN22,BQ22,BT22,BW22,BZ22,CC22,CF22,CI22,CL22,CO22,CR22), 0)</f>
        <v/>
      </c>
      <c r="CV22" s="30">
        <f>IFERROR(AVERAGE(G22,J22,M22,P22,S22,V22,Y22,AB22,AE22,AH22,AK22,AN22,AQ22,AT22,AW22,AZ22,BC22,BF22,BI22,BL22,BO22,BR22,BU22,BX22,CA22,CD22,CG22,CJ22,CM22,CP22,CS22), 0)</f>
        <v/>
      </c>
      <c r="CW22" s="30">
        <f>CU22*CV22</f>
        <v/>
      </c>
    </row>
    <row r="23" ht="15.75" customHeight="1">
      <c r="A23" s="28" t="inlineStr">
        <is>
          <t>Piña oromiel</t>
        </is>
      </c>
      <c r="B23" s="28" t="inlineStr">
        <is>
          <t>Kg</t>
        </is>
      </c>
      <c r="C23" s="34" t="n"/>
      <c r="D23" s="32" t="n"/>
      <c r="E23" s="32" t="n"/>
      <c r="F23" s="31" t="n"/>
      <c r="G23" s="32" t="n"/>
      <c r="H23" s="30">
        <f>IFERROR(F23*G23, 0)</f>
        <v/>
      </c>
      <c r="I23" s="31" t="n"/>
      <c r="J23" s="32" t="n"/>
      <c r="K23" s="30">
        <f>IFERROR(I23*J23, 0)</f>
        <v/>
      </c>
      <c r="L23" s="31" t="n"/>
      <c r="M23" s="32" t="n"/>
      <c r="N23" s="30">
        <f>IFERROR(L23*M23, 0)</f>
        <v/>
      </c>
      <c r="O23" s="31" t="n"/>
      <c r="P23" s="32" t="n"/>
      <c r="Q23" s="30">
        <f>IFERROR(O23*P23, 0)</f>
        <v/>
      </c>
      <c r="R23" s="31" t="n"/>
      <c r="S23" s="32" t="n"/>
      <c r="T23" s="30">
        <f>IFERROR(R23*S23, 0)</f>
        <v/>
      </c>
      <c r="U23" s="31" t="n"/>
      <c r="V23" s="32" t="n"/>
      <c r="W23" s="30">
        <f>IFERROR(U23*V23, 0)</f>
        <v/>
      </c>
      <c r="X23" s="31" t="n"/>
      <c r="Y23" s="32" t="n"/>
      <c r="Z23" s="30">
        <f>IFERROR(X23*Y23, 0)</f>
        <v/>
      </c>
      <c r="AA23" s="31" t="n"/>
      <c r="AB23" s="32" t="n"/>
      <c r="AC23" s="30">
        <f>IFERROR(AA23*AB23, 0)</f>
        <v/>
      </c>
      <c r="AD23" s="31" t="n"/>
      <c r="AE23" s="32" t="n"/>
      <c r="AF23" s="30">
        <f>IFERROR(AD23*AE23, 0)</f>
        <v/>
      </c>
      <c r="AG23" s="31" t="n"/>
      <c r="AH23" s="32" t="n"/>
      <c r="AI23" s="30">
        <f>IFERROR(AG23*AH23, 0)</f>
        <v/>
      </c>
      <c r="AJ23" s="31" t="n"/>
      <c r="AK23" s="32" t="n"/>
      <c r="AL23" s="30">
        <f>IFERROR(AJ23*AK23, 0)</f>
        <v/>
      </c>
      <c r="AM23" s="31" t="n"/>
      <c r="AN23" s="32" t="n"/>
      <c r="AO23" s="30">
        <f>IFERROR(AM23*AN23, 0)</f>
        <v/>
      </c>
      <c r="AP23" s="31" t="n"/>
      <c r="AQ23" s="32" t="n"/>
      <c r="AR23" s="30">
        <f>IFERROR(AP23*AQ23, 0)</f>
        <v/>
      </c>
      <c r="AS23" s="31" t="n"/>
      <c r="AT23" s="32" t="n"/>
      <c r="AU23" s="30">
        <f>IFERROR(AS23*AT23, 0)</f>
        <v/>
      </c>
      <c r="AV23" s="31" t="n"/>
      <c r="AW23" s="32" t="n"/>
      <c r="AX23" s="30">
        <f>IFERROR(AV23*AW23, 0)</f>
        <v/>
      </c>
      <c r="AY23" s="31" t="n"/>
      <c r="AZ23" s="32" t="n"/>
      <c r="BA23" s="30">
        <f>IFERROR(AY23*AZ23, 0)</f>
        <v/>
      </c>
      <c r="BB23" s="31" t="n"/>
      <c r="BC23" s="32" t="n"/>
      <c r="BD23" s="30">
        <f>IFERROR(BB23*BC23, 0)</f>
        <v/>
      </c>
      <c r="BE23" s="31" t="n"/>
      <c r="BF23" s="32" t="n"/>
      <c r="BG23" s="30">
        <f>IFERROR(BE23*BF23, 0)</f>
        <v/>
      </c>
      <c r="BH23" s="31" t="n"/>
      <c r="BI23" s="32" t="n"/>
      <c r="BJ23" s="30">
        <f>IFERROR(BH23*BI23, 0)</f>
        <v/>
      </c>
      <c r="BK23" s="31" t="n"/>
      <c r="BL23" s="32" t="n"/>
      <c r="BM23" s="30">
        <f>IFERROR(BK23*BL23, 0)</f>
        <v/>
      </c>
      <c r="BN23" s="31" t="n"/>
      <c r="BO23" s="32" t="n"/>
      <c r="BP23" s="30">
        <f>IFERROR(BN23*BO23, 0)</f>
        <v/>
      </c>
      <c r="BQ23" s="31" t="n"/>
      <c r="BR23" s="32" t="n"/>
      <c r="BS23" s="30">
        <f>IFERROR(BQ23*BR23, 0)</f>
        <v/>
      </c>
      <c r="BT23" s="31" t="n"/>
      <c r="BU23" s="32" t="n"/>
      <c r="BV23" s="30">
        <f>IFERROR(BT23*BU23, 0)</f>
        <v/>
      </c>
      <c r="BW23" s="31" t="n"/>
      <c r="BX23" s="32" t="n"/>
      <c r="BY23" s="30">
        <f>IFERROR(BW23*BX23, 0)</f>
        <v/>
      </c>
      <c r="BZ23" s="31" t="n"/>
      <c r="CA23" s="32" t="n"/>
      <c r="CB23" s="30">
        <f>IFERROR(BZ23*CA23, 0)</f>
        <v/>
      </c>
      <c r="CC23" s="31" t="n"/>
      <c r="CD23" s="32" t="n"/>
      <c r="CE23" s="30">
        <f>IFERROR(CC23*CD23, 0)</f>
        <v/>
      </c>
      <c r="CF23" s="31" t="n"/>
      <c r="CG23" s="32" t="n"/>
      <c r="CH23" s="30">
        <f>IFERROR(CF23*CG23, 0)</f>
        <v/>
      </c>
      <c r="CI23" s="31" t="n"/>
      <c r="CJ23" s="32" t="n"/>
      <c r="CK23" s="30">
        <f>IFERROR(CI23*CJ23, 0)</f>
        <v/>
      </c>
      <c r="CL23" s="31" t="n"/>
      <c r="CM23" s="32" t="n"/>
      <c r="CN23" s="30">
        <f>IFERROR(CL23*CM23, 0)</f>
        <v/>
      </c>
      <c r="CO23" s="31" t="n"/>
      <c r="CP23" s="32" t="n"/>
      <c r="CQ23" s="30">
        <f>IFERROR(CO23*CP23, 0)</f>
        <v/>
      </c>
      <c r="CR23" s="31" t="n"/>
      <c r="CS23" s="32" t="n"/>
      <c r="CT23" s="30">
        <f>IFERROR(CR23*CS23, 0)</f>
        <v/>
      </c>
      <c r="CU23" s="33">
        <f>IFERROR(SUM(F23,I23,L23,O23,R23,U23,X23,AA23,AD23,AG23,AJ23,AM23,AP23,AS23,AV23,AY23,BB23,BE23,BH23,BK23,BN23,BQ23,BT23,BW23,BZ23,CC23,CF23,CI23,CL23,CO23,CR23), 0)</f>
        <v/>
      </c>
      <c r="CV23" s="30">
        <f>IFERROR(AVERAGE(G23,J23,M23,P23,S23,V23,Y23,AB23,AE23,AH23,AK23,AN23,AQ23,AT23,AW23,AZ23,BC23,BF23,BI23,BL23,BO23,BR23,BU23,BX23,CA23,CD23,CG23,CJ23,CM23,CP23,CS23), 0)</f>
        <v/>
      </c>
      <c r="CW23" s="30">
        <f>CU23*CV23</f>
        <v/>
      </c>
    </row>
    <row r="24" ht="15.75" customHeight="1">
      <c r="A24" s="28" t="inlineStr">
        <is>
          <t>Piña</t>
        </is>
      </c>
      <c r="B24" s="28" t="inlineStr">
        <is>
          <t>Kg</t>
        </is>
      </c>
      <c r="C24" s="34" t="n"/>
      <c r="D24" s="32" t="n"/>
      <c r="E24" s="32" t="n"/>
      <c r="F24" s="31" t="n"/>
      <c r="G24" s="32" t="n"/>
      <c r="H24" s="30">
        <f>IFERROR(F24*G24, 0)</f>
        <v/>
      </c>
      <c r="I24" s="31" t="n"/>
      <c r="J24" s="32" t="n"/>
      <c r="K24" s="30">
        <f>IFERROR(I24*J24, 0)</f>
        <v/>
      </c>
      <c r="L24" s="31" t="n"/>
      <c r="M24" s="32" t="n"/>
      <c r="N24" s="30">
        <f>IFERROR(L24*M24, 0)</f>
        <v/>
      </c>
      <c r="O24" s="31" t="n"/>
      <c r="P24" s="32" t="n"/>
      <c r="Q24" s="30">
        <f>IFERROR(O24*P24, 0)</f>
        <v/>
      </c>
      <c r="R24" s="31" t="n"/>
      <c r="S24" s="32" t="n"/>
      <c r="T24" s="30">
        <f>IFERROR(R24*S24, 0)</f>
        <v/>
      </c>
      <c r="U24" s="31" t="n"/>
      <c r="V24" s="32" t="n"/>
      <c r="W24" s="30">
        <f>IFERROR(U24*V24, 0)</f>
        <v/>
      </c>
      <c r="X24" s="31" t="n"/>
      <c r="Y24" s="32" t="n"/>
      <c r="Z24" s="30">
        <f>IFERROR(X24*Y24, 0)</f>
        <v/>
      </c>
      <c r="AA24" s="31" t="n"/>
      <c r="AB24" s="32" t="n"/>
      <c r="AC24" s="30">
        <f>IFERROR(AA24*AB24, 0)</f>
        <v/>
      </c>
      <c r="AD24" s="31" t="n"/>
      <c r="AE24" s="32" t="n"/>
      <c r="AF24" s="30">
        <f>IFERROR(AD24*AE24, 0)</f>
        <v/>
      </c>
      <c r="AG24" s="31" t="n"/>
      <c r="AH24" s="32" t="n"/>
      <c r="AI24" s="30">
        <f>IFERROR(AG24*AH24, 0)</f>
        <v/>
      </c>
      <c r="AJ24" s="31" t="n"/>
      <c r="AK24" s="32" t="n"/>
      <c r="AL24" s="30">
        <f>IFERROR(AJ24*AK24, 0)</f>
        <v/>
      </c>
      <c r="AM24" s="31" t="n"/>
      <c r="AN24" s="32" t="n"/>
      <c r="AO24" s="30">
        <f>IFERROR(AM24*AN24, 0)</f>
        <v/>
      </c>
      <c r="AP24" s="31" t="n"/>
      <c r="AQ24" s="32" t="n"/>
      <c r="AR24" s="30">
        <f>IFERROR(AP24*AQ24, 0)</f>
        <v/>
      </c>
      <c r="AS24" s="31" t="n"/>
      <c r="AT24" s="32" t="n"/>
      <c r="AU24" s="30">
        <f>IFERROR(AS24*AT24, 0)</f>
        <v/>
      </c>
      <c r="AV24" s="31" t="n"/>
      <c r="AW24" s="32" t="n"/>
      <c r="AX24" s="30">
        <f>IFERROR(AV24*AW24, 0)</f>
        <v/>
      </c>
      <c r="AY24" s="31" t="n"/>
      <c r="AZ24" s="32" t="n"/>
      <c r="BA24" s="30">
        <f>IFERROR(AY24*AZ24, 0)</f>
        <v/>
      </c>
      <c r="BB24" s="31" t="n"/>
      <c r="BC24" s="32" t="n"/>
      <c r="BD24" s="30">
        <f>IFERROR(BB24*BC24, 0)</f>
        <v/>
      </c>
      <c r="BE24" s="31" t="n"/>
      <c r="BF24" s="32" t="n"/>
      <c r="BG24" s="30">
        <f>IFERROR(BE24*BF24, 0)</f>
        <v/>
      </c>
      <c r="BH24" s="31" t="n"/>
      <c r="BI24" s="32" t="n"/>
      <c r="BJ24" s="30">
        <f>IFERROR(BH24*BI24, 0)</f>
        <v/>
      </c>
      <c r="BK24" s="31" t="n"/>
      <c r="BL24" s="32" t="n"/>
      <c r="BM24" s="30">
        <f>IFERROR(BK24*BL24, 0)</f>
        <v/>
      </c>
      <c r="BN24" s="31" t="n"/>
      <c r="BO24" s="32" t="n"/>
      <c r="BP24" s="30">
        <f>IFERROR(BN24*BO24, 0)</f>
        <v/>
      </c>
      <c r="BQ24" s="31" t="n"/>
      <c r="BR24" s="32" t="n"/>
      <c r="BS24" s="30">
        <f>IFERROR(BQ24*BR24, 0)</f>
        <v/>
      </c>
      <c r="BT24" s="31" t="n"/>
      <c r="BU24" s="32" t="n"/>
      <c r="BV24" s="30">
        <f>IFERROR(BT24*BU24, 0)</f>
        <v/>
      </c>
      <c r="BW24" s="31" t="n"/>
      <c r="BX24" s="32" t="n"/>
      <c r="BY24" s="30">
        <f>IFERROR(BW24*BX24, 0)</f>
        <v/>
      </c>
      <c r="BZ24" s="31" t="n"/>
      <c r="CA24" s="32" t="n"/>
      <c r="CB24" s="30">
        <f>IFERROR(BZ24*CA24, 0)</f>
        <v/>
      </c>
      <c r="CC24" s="31" t="n"/>
      <c r="CD24" s="32" t="n"/>
      <c r="CE24" s="30">
        <f>IFERROR(CC24*CD24, 0)</f>
        <v/>
      </c>
      <c r="CF24" s="31" t="n"/>
      <c r="CG24" s="32" t="n"/>
      <c r="CH24" s="30">
        <f>IFERROR(CF24*CG24, 0)</f>
        <v/>
      </c>
      <c r="CI24" s="31" t="n"/>
      <c r="CJ24" s="32" t="n"/>
      <c r="CK24" s="30">
        <f>IFERROR(CI24*CJ24, 0)</f>
        <v/>
      </c>
      <c r="CL24" s="31" t="n"/>
      <c r="CM24" s="32" t="n"/>
      <c r="CN24" s="30">
        <f>IFERROR(CL24*CM24, 0)</f>
        <v/>
      </c>
      <c r="CO24" s="31" t="n"/>
      <c r="CP24" s="32" t="n"/>
      <c r="CQ24" s="30">
        <f>IFERROR(CO24*CP24, 0)</f>
        <v/>
      </c>
      <c r="CR24" s="31" t="n"/>
      <c r="CS24" s="32" t="n"/>
      <c r="CT24" s="30">
        <f>IFERROR(CR24*CS24, 0)</f>
        <v/>
      </c>
      <c r="CU24" s="33">
        <f>IFERROR(SUM(F24,I24,L24,O24,R24,U24,X24,AA24,AD24,AG24,AJ24,AM24,AP24,AS24,AV24,AY24,BB24,BE24,BH24,BK24,BN24,BQ24,BT24,BW24,BZ24,CC24,CF24,CI24,CL24,CO24,CR24), 0)</f>
        <v/>
      </c>
      <c r="CV24" s="30">
        <f>IFERROR(AVERAGE(G24,J24,M24,P24,S24,V24,Y24,AB24,AE24,AH24,AK24,AN24,AQ24,AT24,AW24,AZ24,BC24,BF24,BI24,BL24,BO24,BR24,BU24,BX24,CA24,CD24,CG24,CJ24,CM24,CP24,CS24), 0)</f>
        <v/>
      </c>
      <c r="CW24" s="30">
        <f>CU24*CV24</f>
        <v/>
      </c>
    </row>
    <row r="25" ht="15.75" customHeight="1">
      <c r="A25" s="28" t="inlineStr">
        <is>
          <t>Pimenton</t>
        </is>
      </c>
      <c r="B25" s="28" t="inlineStr">
        <is>
          <t>Kg</t>
        </is>
      </c>
      <c r="C25" s="29" t="n"/>
      <c r="D25" s="30" t="n"/>
      <c r="E25" s="30" t="n"/>
      <c r="F25" s="31" t="n"/>
      <c r="G25" s="32" t="n"/>
      <c r="H25" s="30">
        <f>IFERROR(F25*G25, 0)</f>
        <v/>
      </c>
      <c r="I25" s="31" t="n"/>
      <c r="J25" s="32" t="n"/>
      <c r="K25" s="30">
        <f>IFERROR(I25*J25, 0)</f>
        <v/>
      </c>
      <c r="L25" s="31" t="n"/>
      <c r="M25" s="32" t="n"/>
      <c r="N25" s="30">
        <f>IFERROR(L25*M25, 0)</f>
        <v/>
      </c>
      <c r="O25" s="31" t="n"/>
      <c r="P25" s="32" t="n"/>
      <c r="Q25" s="30">
        <f>IFERROR(O25*P25, 0)</f>
        <v/>
      </c>
      <c r="R25" s="31" t="n"/>
      <c r="S25" s="32" t="n"/>
      <c r="T25" s="30">
        <f>IFERROR(R25*S25, 0)</f>
        <v/>
      </c>
      <c r="U25" s="31" t="n"/>
      <c r="V25" s="32" t="n"/>
      <c r="W25" s="30">
        <f>IFERROR(U25*V25, 0)</f>
        <v/>
      </c>
      <c r="X25" s="31" t="n"/>
      <c r="Y25" s="32" t="n"/>
      <c r="Z25" s="30">
        <f>IFERROR(X25*Y25, 0)</f>
        <v/>
      </c>
      <c r="AA25" s="31" t="n"/>
      <c r="AB25" s="32" t="n"/>
      <c r="AC25" s="30">
        <f>IFERROR(AA25*AB25, 0)</f>
        <v/>
      </c>
      <c r="AD25" s="31" t="n"/>
      <c r="AE25" s="32" t="n"/>
      <c r="AF25" s="30">
        <f>IFERROR(AD25*AE25, 0)</f>
        <v/>
      </c>
      <c r="AG25" s="31" t="n"/>
      <c r="AH25" s="32" t="n"/>
      <c r="AI25" s="30">
        <f>IFERROR(AG25*AH25, 0)</f>
        <v/>
      </c>
      <c r="AJ25" s="31" t="n"/>
      <c r="AK25" s="32" t="n"/>
      <c r="AL25" s="30">
        <f>IFERROR(AJ25*AK25, 0)</f>
        <v/>
      </c>
      <c r="AM25" s="31" t="n"/>
      <c r="AN25" s="32" t="n"/>
      <c r="AO25" s="30">
        <f>IFERROR(AM25*AN25, 0)</f>
        <v/>
      </c>
      <c r="AP25" s="31" t="n">
        <v>10.9</v>
      </c>
      <c r="AQ25" s="32" t="n">
        <v>3000</v>
      </c>
      <c r="AR25" s="30" t="n">
        <v>34150</v>
      </c>
      <c r="AS25" s="31" t="n">
        <v>1</v>
      </c>
      <c r="AT25" s="32" t="n">
        <v>35000</v>
      </c>
      <c r="AU25" s="30" t="n">
        <v>35000</v>
      </c>
      <c r="AV25" s="31" t="n"/>
      <c r="AW25" s="32" t="n"/>
      <c r="AX25" s="30">
        <f>IFERROR(AV25*AW25, 0)</f>
        <v/>
      </c>
      <c r="AY25" s="31" t="n"/>
      <c r="AZ25" s="32" t="n"/>
      <c r="BA25" s="30">
        <f>IFERROR(AY25*AZ25, 0)</f>
        <v/>
      </c>
      <c r="BB25" s="31" t="n"/>
      <c r="BC25" s="32" t="n"/>
      <c r="BD25" s="30">
        <f>IFERROR(BB25*BC25, 0)</f>
        <v/>
      </c>
      <c r="BE25" s="31" t="n"/>
      <c r="BF25" s="32" t="n"/>
      <c r="BG25" s="30">
        <f>IFERROR(BE25*BF25, 0)</f>
        <v/>
      </c>
      <c r="BH25" s="31" t="n"/>
      <c r="BI25" s="32" t="n"/>
      <c r="BJ25" s="30">
        <f>IFERROR(BH25*BI25, 0)</f>
        <v/>
      </c>
      <c r="BK25" s="31" t="n"/>
      <c r="BL25" s="32" t="n"/>
      <c r="BM25" s="30">
        <f>IFERROR(BK25*BL25, 0)</f>
        <v/>
      </c>
      <c r="BN25" s="31" t="n">
        <v>5.5</v>
      </c>
      <c r="BO25" s="32" t="n">
        <v>3500</v>
      </c>
      <c r="BP25" s="30" t="n">
        <v>19250</v>
      </c>
      <c r="BQ25" s="31" t="n"/>
      <c r="BR25" s="32" t="n"/>
      <c r="BS25" s="30">
        <f>IFERROR(BQ25*BR25, 0)</f>
        <v/>
      </c>
      <c r="BT25" s="31" t="n"/>
      <c r="BU25" s="32" t="n"/>
      <c r="BV25" s="30">
        <f>IFERROR(BT25*BU25, 0)</f>
        <v/>
      </c>
      <c r="BW25" s="31" t="n">
        <v>1</v>
      </c>
      <c r="BX25" s="32" t="n">
        <v>40000</v>
      </c>
      <c r="BY25" s="30" t="n">
        <v>40000</v>
      </c>
      <c r="BZ25" s="31" t="n"/>
      <c r="CA25" s="32" t="n"/>
      <c r="CB25" s="30">
        <f>IFERROR(BZ25*CA25, 0)</f>
        <v/>
      </c>
      <c r="CC25" s="31" t="n"/>
      <c r="CD25" s="32" t="n"/>
      <c r="CE25" s="30">
        <f>IFERROR(CC25*CD25, 0)</f>
        <v/>
      </c>
      <c r="CF25" s="31" t="n"/>
      <c r="CG25" s="32" t="n"/>
      <c r="CH25" s="30">
        <f>IFERROR(CF25*CG25, 0)</f>
        <v/>
      </c>
      <c r="CI25" s="31" t="n"/>
      <c r="CJ25" s="32" t="n"/>
      <c r="CK25" s="30">
        <f>IFERROR(CI25*CJ25, 0)</f>
        <v/>
      </c>
      <c r="CL25" s="31" t="n"/>
      <c r="CM25" s="32" t="n"/>
      <c r="CN25" s="30">
        <f>IFERROR(CL25*CM25, 0)</f>
        <v/>
      </c>
      <c r="CO25" s="31" t="n"/>
      <c r="CP25" s="32" t="n"/>
      <c r="CQ25" s="30">
        <f>IFERROR(CO25*CP25, 0)</f>
        <v/>
      </c>
      <c r="CR25" s="31" t="n"/>
      <c r="CS25" s="32" t="n"/>
      <c r="CT25" s="30">
        <f>IFERROR(CR25*CS25, 0)</f>
        <v/>
      </c>
      <c r="CU25" s="33">
        <f>IFERROR(SUM(F25,I25,L25,O25,R25,U25,X25,AA25,AD25,AG25,AJ25,AM25,AP25,AS25,AV25,AY25,BB25,BE25,BH25,BK25,BN25,BQ25,BT25,BW25,BZ25,CC25,CF25,CI25,CL25,CO25,CR25), 0)</f>
        <v/>
      </c>
      <c r="CV25" s="30">
        <f>IFERROR(AVERAGE(G25,J25,M25,P25,S25,V25,Y25,AB25,AE25,AH25,AK25,AN25,AQ25,AT25,AW25,AZ25,BC25,BF25,BI25,BL25,BO25,BR25,BU25,BX25,CA25,CD25,CG25,CJ25,CM25,CP25,CS25), 0)</f>
        <v/>
      </c>
      <c r="CW25" s="30">
        <f>CU25*CV25</f>
        <v/>
      </c>
    </row>
    <row r="26" ht="15.75" customHeight="1">
      <c r="A26" s="28" t="inlineStr">
        <is>
          <t>Perejil</t>
        </is>
      </c>
      <c r="B26" s="28" t="inlineStr">
        <is>
          <t>Atado</t>
        </is>
      </c>
      <c r="C26" s="29" t="n"/>
      <c r="D26" s="30" t="n"/>
      <c r="E26" s="30" t="n"/>
      <c r="F26" s="31" t="n"/>
      <c r="G26" s="32" t="n"/>
      <c r="H26" s="30">
        <f>IFERROR(F26*G26, 0)</f>
        <v/>
      </c>
      <c r="I26" s="31" t="n"/>
      <c r="J26" s="32" t="n"/>
      <c r="K26" s="30">
        <f>IFERROR(I26*J26, 0)</f>
        <v/>
      </c>
      <c r="L26" s="31" t="n"/>
      <c r="M26" s="32" t="n"/>
      <c r="N26" s="30">
        <f>IFERROR(L26*M26, 0)</f>
        <v/>
      </c>
      <c r="O26" s="31" t="n"/>
      <c r="P26" s="32" t="n"/>
      <c r="Q26" s="30">
        <f>IFERROR(O26*P26, 0)</f>
        <v/>
      </c>
      <c r="R26" s="31" t="n"/>
      <c r="S26" s="32" t="n"/>
      <c r="T26" s="30">
        <f>IFERROR(R26*S26, 0)</f>
        <v/>
      </c>
      <c r="U26" s="31" t="n"/>
      <c r="V26" s="32" t="n"/>
      <c r="W26" s="30">
        <f>IFERROR(U26*V26, 0)</f>
        <v/>
      </c>
      <c r="X26" s="31" t="n"/>
      <c r="Y26" s="32" t="n"/>
      <c r="Z26" s="30">
        <f>IFERROR(X26*Y26, 0)</f>
        <v/>
      </c>
      <c r="AA26" s="31" t="n"/>
      <c r="AB26" s="32" t="n"/>
      <c r="AC26" s="30">
        <f>IFERROR(AA26*AB26, 0)</f>
        <v/>
      </c>
      <c r="AD26" s="31" t="n"/>
      <c r="AE26" s="32" t="n"/>
      <c r="AF26" s="30">
        <f>IFERROR(AD26*AE26, 0)</f>
        <v/>
      </c>
      <c r="AG26" s="31" t="n"/>
      <c r="AH26" s="32" t="n"/>
      <c r="AI26" s="30">
        <f>IFERROR(AG26*AH26, 0)</f>
        <v/>
      </c>
      <c r="AJ26" s="31" t="n"/>
      <c r="AK26" s="32" t="n"/>
      <c r="AL26" s="30">
        <f>IFERROR(AJ26*AK26, 0)</f>
        <v/>
      </c>
      <c r="AM26" s="31" t="n"/>
      <c r="AN26" s="32" t="n"/>
      <c r="AO26" s="30">
        <f>IFERROR(AM26*AN26, 0)</f>
        <v/>
      </c>
      <c r="AP26" s="31" t="n">
        <v>2</v>
      </c>
      <c r="AQ26" s="32" t="n">
        <v>8000</v>
      </c>
      <c r="AR26" s="30" t="n">
        <v>16000</v>
      </c>
      <c r="AS26" s="31" t="n">
        <v>3</v>
      </c>
      <c r="AT26" s="32" t="n">
        <v>8000</v>
      </c>
      <c r="AU26" s="30" t="n">
        <v>24000</v>
      </c>
      <c r="AV26" s="31" t="n"/>
      <c r="AW26" s="32" t="n"/>
      <c r="AX26" s="30">
        <f>IFERROR(AV26*AW26, 0)</f>
        <v/>
      </c>
      <c r="AY26" s="31" t="n"/>
      <c r="AZ26" s="32" t="n"/>
      <c r="BA26" s="30">
        <f>IFERROR(AY26*AZ26, 0)</f>
        <v/>
      </c>
      <c r="BB26" s="31" t="n"/>
      <c r="BC26" s="32" t="n"/>
      <c r="BD26" s="30">
        <f>IFERROR(BB26*BC26, 0)</f>
        <v/>
      </c>
      <c r="BE26" s="31" t="n"/>
      <c r="BF26" s="32" t="n"/>
      <c r="BG26" s="30">
        <f>IFERROR(BE26*BF26, 0)</f>
        <v/>
      </c>
      <c r="BH26" s="31" t="n"/>
      <c r="BI26" s="32" t="n"/>
      <c r="BJ26" s="30">
        <f>IFERROR(BH26*BI26, 0)</f>
        <v/>
      </c>
      <c r="BK26" s="31" t="n"/>
      <c r="BL26" s="32" t="n"/>
      <c r="BM26" s="30">
        <f>IFERROR(BK26*BL26, 0)</f>
        <v/>
      </c>
      <c r="BN26" s="31" t="n"/>
      <c r="BO26" s="32" t="n"/>
      <c r="BP26" s="30">
        <f>IFERROR(BN26*BO26, 0)</f>
        <v/>
      </c>
      <c r="BQ26" s="31" t="n"/>
      <c r="BR26" s="32" t="n"/>
      <c r="BS26" s="30">
        <f>IFERROR(BQ26*BR26, 0)</f>
        <v/>
      </c>
      <c r="BT26" s="31" t="n"/>
      <c r="BU26" s="32" t="n"/>
      <c r="BV26" s="30">
        <f>IFERROR(BT26*BU26, 0)</f>
        <v/>
      </c>
      <c r="BW26" s="31" t="n"/>
      <c r="BX26" s="32" t="n"/>
      <c r="BY26" s="30">
        <f>IFERROR(BW26*BX26, 0)</f>
        <v/>
      </c>
      <c r="BZ26" s="31" t="n"/>
      <c r="CA26" s="32" t="n"/>
      <c r="CB26" s="30">
        <f>IFERROR(BZ26*CA26, 0)</f>
        <v/>
      </c>
      <c r="CC26" s="31" t="n"/>
      <c r="CD26" s="32" t="n"/>
      <c r="CE26" s="30">
        <f>IFERROR(CC26*CD26, 0)</f>
        <v/>
      </c>
      <c r="CF26" s="31" t="n"/>
      <c r="CG26" s="32" t="n"/>
      <c r="CH26" s="30">
        <f>IFERROR(CF26*CG26, 0)</f>
        <v/>
      </c>
      <c r="CI26" s="31" t="n"/>
      <c r="CJ26" s="32" t="n"/>
      <c r="CK26" s="30">
        <f>IFERROR(CI26*CJ26, 0)</f>
        <v/>
      </c>
      <c r="CL26" s="31" t="n"/>
      <c r="CM26" s="32" t="n"/>
      <c r="CN26" s="30">
        <f>IFERROR(CL26*CM26, 0)</f>
        <v/>
      </c>
      <c r="CO26" s="31" t="n"/>
      <c r="CP26" s="32" t="n"/>
      <c r="CQ26" s="30">
        <f>IFERROR(CO26*CP26, 0)</f>
        <v/>
      </c>
      <c r="CR26" s="31" t="n"/>
      <c r="CS26" s="32" t="n"/>
      <c r="CT26" s="30">
        <f>IFERROR(CR26*CS26, 0)</f>
        <v/>
      </c>
      <c r="CU26" s="33">
        <f>IFERROR(SUM(F26,I26,L26,O26,R26,U26,X26,AA26,AD26,AG26,AJ26,AM26,AP26,AS26,AV26,AY26,BB26,BE26,BH26,BK26,BN26,BQ26,BT26,BW26,BZ26,CC26,CF26,CI26,CL26,CO26,CR26), 0)</f>
        <v/>
      </c>
      <c r="CV26" s="30">
        <f>IFERROR(AVERAGE(G26,J26,M26,P26,S26,V26,Y26,AB26,AE26,AH26,AK26,AN26,AQ26,AT26,AW26,AZ26,BC26,BF26,BI26,BL26,BO26,BR26,BU26,BX26,CA26,CD26,CG26,CJ26,CM26,CP26,CS26), 0)</f>
        <v/>
      </c>
      <c r="CW26" s="30">
        <f>CU26*CV26</f>
        <v/>
      </c>
    </row>
    <row r="27" ht="15.75" customHeight="1">
      <c r="A27" s="28" t="inlineStr">
        <is>
          <t>Pepino comun</t>
        </is>
      </c>
      <c r="B27" s="28" t="inlineStr">
        <is>
          <t>Kg</t>
        </is>
      </c>
      <c r="C27" s="29" t="n"/>
      <c r="D27" s="30" t="n"/>
      <c r="E27" s="30" t="n"/>
      <c r="F27" s="31" t="n"/>
      <c r="G27" s="32" t="n"/>
      <c r="H27" s="30">
        <f>IFERROR(F27*G27, 0)</f>
        <v/>
      </c>
      <c r="I27" s="31" t="n"/>
      <c r="J27" s="32" t="n"/>
      <c r="K27" s="30">
        <f>IFERROR(I27*J27, 0)</f>
        <v/>
      </c>
      <c r="L27" s="31" t="n"/>
      <c r="M27" s="32" t="n"/>
      <c r="N27" s="30">
        <f>IFERROR(L27*M27, 0)</f>
        <v/>
      </c>
      <c r="O27" s="31" t="n"/>
      <c r="P27" s="32" t="n"/>
      <c r="Q27" s="30">
        <f>IFERROR(O27*P27, 0)</f>
        <v/>
      </c>
      <c r="R27" s="31" t="n"/>
      <c r="S27" s="32" t="n"/>
      <c r="T27" s="30">
        <f>IFERROR(R27*S27, 0)</f>
        <v/>
      </c>
      <c r="U27" s="31" t="n"/>
      <c r="V27" s="32" t="n"/>
      <c r="W27" s="30">
        <f>IFERROR(U27*V27, 0)</f>
        <v/>
      </c>
      <c r="X27" s="31" t="n"/>
      <c r="Y27" s="32" t="n"/>
      <c r="Z27" s="30">
        <f>IFERROR(X27*Y27, 0)</f>
        <v/>
      </c>
      <c r="AA27" s="31" t="n"/>
      <c r="AB27" s="32" t="n"/>
      <c r="AC27" s="30">
        <f>IFERROR(AA27*AB27, 0)</f>
        <v/>
      </c>
      <c r="AD27" s="31" t="n"/>
      <c r="AE27" s="32" t="n"/>
      <c r="AF27" s="30">
        <f>IFERROR(AD27*AE27, 0)</f>
        <v/>
      </c>
      <c r="AG27" s="31" t="n"/>
      <c r="AH27" s="32" t="n"/>
      <c r="AI27" s="30">
        <f>IFERROR(AG27*AH27, 0)</f>
        <v/>
      </c>
      <c r="AJ27" s="31" t="n"/>
      <c r="AK27" s="32" t="n"/>
      <c r="AL27" s="30">
        <f>IFERROR(AJ27*AK27, 0)</f>
        <v/>
      </c>
      <c r="AM27" s="31" t="n"/>
      <c r="AN27" s="32" t="n"/>
      <c r="AO27" s="30">
        <f>IFERROR(AM27*AN27, 0)</f>
        <v/>
      </c>
      <c r="AP27" s="31" t="n">
        <v>8.9</v>
      </c>
      <c r="AQ27" s="32" t="n">
        <v>1800</v>
      </c>
      <c r="AR27" s="30" t="n">
        <v>14400</v>
      </c>
      <c r="AS27" s="31" t="n">
        <v>5.5</v>
      </c>
      <c r="AT27" s="32" t="n">
        <v>1800</v>
      </c>
      <c r="AU27" s="30" t="n">
        <v>9900</v>
      </c>
      <c r="AV27" s="31" t="n"/>
      <c r="AW27" s="32" t="n"/>
      <c r="AX27" s="30">
        <f>IFERROR(AV27*AW27, 0)</f>
        <v/>
      </c>
      <c r="AY27" s="31" t="n"/>
      <c r="AZ27" s="32" t="n"/>
      <c r="BA27" s="30">
        <f>IFERROR(AY27*AZ27, 0)</f>
        <v/>
      </c>
      <c r="BB27" s="31" t="n"/>
      <c r="BC27" s="32" t="n"/>
      <c r="BD27" s="30">
        <f>IFERROR(BB27*BC27, 0)</f>
        <v/>
      </c>
      <c r="BE27" s="31" t="n"/>
      <c r="BF27" s="32" t="n"/>
      <c r="BG27" s="30">
        <f>IFERROR(BE27*BF27, 0)</f>
        <v/>
      </c>
      <c r="BH27" s="31" t="n"/>
      <c r="BI27" s="32" t="n"/>
      <c r="BJ27" s="30">
        <f>IFERROR(BH27*BI27, 0)</f>
        <v/>
      </c>
      <c r="BK27" s="31" t="n"/>
      <c r="BL27" s="32" t="n"/>
      <c r="BM27" s="30">
        <f>IFERROR(BK27*BL27, 0)</f>
        <v/>
      </c>
      <c r="BN27" s="31" t="n">
        <v>3.5</v>
      </c>
      <c r="BO27" s="32" t="n">
        <v>1800</v>
      </c>
      <c r="BP27" s="30" t="n">
        <v>6300</v>
      </c>
      <c r="BQ27" s="31" t="n"/>
      <c r="BR27" s="32" t="n"/>
      <c r="BS27" s="30">
        <f>IFERROR(BQ27*BR27, 0)</f>
        <v/>
      </c>
      <c r="BT27" s="31" t="n"/>
      <c r="BU27" s="32" t="n"/>
      <c r="BV27" s="30">
        <f>IFERROR(BT27*BU27, 0)</f>
        <v/>
      </c>
      <c r="BW27" s="31" t="n"/>
      <c r="BX27" s="32" t="n"/>
      <c r="BY27" s="30">
        <f>IFERROR(BW27*BX27, 0)</f>
        <v/>
      </c>
      <c r="BZ27" s="31" t="n"/>
      <c r="CA27" s="32" t="n"/>
      <c r="CB27" s="30">
        <f>IFERROR(BZ27*CA27, 0)</f>
        <v/>
      </c>
      <c r="CC27" s="31" t="n"/>
      <c r="CD27" s="32" t="n"/>
      <c r="CE27" s="30">
        <f>IFERROR(CC27*CD27, 0)</f>
        <v/>
      </c>
      <c r="CF27" s="31" t="n"/>
      <c r="CG27" s="32" t="n"/>
      <c r="CH27" s="30">
        <f>IFERROR(CF27*CG27, 0)</f>
        <v/>
      </c>
      <c r="CI27" s="31" t="n"/>
      <c r="CJ27" s="32" t="n"/>
      <c r="CK27" s="30">
        <f>IFERROR(CI27*CJ27, 0)</f>
        <v/>
      </c>
      <c r="CL27" s="31" t="n"/>
      <c r="CM27" s="32" t="n"/>
      <c r="CN27" s="30">
        <f>IFERROR(CL27*CM27, 0)</f>
        <v/>
      </c>
      <c r="CO27" s="31" t="n"/>
      <c r="CP27" s="32" t="n"/>
      <c r="CQ27" s="30">
        <f>IFERROR(CO27*CP27, 0)</f>
        <v/>
      </c>
      <c r="CR27" s="31" t="n"/>
      <c r="CS27" s="32" t="n"/>
      <c r="CT27" s="30">
        <f>IFERROR(CR27*CS27, 0)</f>
        <v/>
      </c>
      <c r="CU27" s="33">
        <f>IFERROR(SUM(F27,I27,L27,O27,R27,U27,X27,AA27,AD27,AG27,AJ27,AM27,AP27,AS27,AV27,AY27,BB27,BE27,BH27,BK27,BN27,BQ27,BT27,BW27,BZ27,CC27,CF27,CI27,CL27,CO27,CR27), 0)</f>
        <v/>
      </c>
      <c r="CV27" s="30">
        <f>IFERROR(AVERAGE(G27,J27,M27,P27,S27,V27,Y27,AB27,AE27,AH27,AK27,AN27,AQ27,AT27,AW27,AZ27,BC27,BF27,BI27,BL27,BO27,BR27,BU27,BX27,CA27,CD27,CG27,CJ27,CM27,CP27,CS27), 0)</f>
        <v/>
      </c>
      <c r="CW27" s="30">
        <f>CU27*CV27</f>
        <v/>
      </c>
    </row>
    <row r="28" ht="15.75" customHeight="1">
      <c r="A28" s="37" t="inlineStr">
        <is>
          <t>Papa potera kl</t>
        </is>
      </c>
      <c r="B28" s="37" t="inlineStr">
        <is>
          <t>Kg</t>
        </is>
      </c>
      <c r="C28" s="35" t="n"/>
      <c r="D28" s="20" t="n"/>
      <c r="E28" s="20" t="n"/>
      <c r="F28" s="31" t="n"/>
      <c r="G28" s="32" t="n"/>
      <c r="H28" s="30">
        <f>IFERROR(F28*G28, 0)</f>
        <v/>
      </c>
      <c r="I28" s="31" t="n"/>
      <c r="J28" s="32" t="n"/>
      <c r="K28" s="30">
        <f>IFERROR(I28*J28, 0)</f>
        <v/>
      </c>
      <c r="L28" s="31" t="n"/>
      <c r="M28" s="32" t="n"/>
      <c r="N28" s="30">
        <f>IFERROR(L28*M28, 0)</f>
        <v/>
      </c>
      <c r="O28" s="31" t="n"/>
      <c r="P28" s="32" t="n"/>
      <c r="Q28" s="30">
        <f>IFERROR(O28*P28, 0)</f>
        <v/>
      </c>
      <c r="R28" s="31" t="n"/>
      <c r="S28" s="32" t="n"/>
      <c r="T28" s="30">
        <f>IFERROR(R28*S28, 0)</f>
        <v/>
      </c>
      <c r="U28" s="31" t="n"/>
      <c r="V28" s="32" t="n"/>
      <c r="W28" s="30">
        <f>IFERROR(U28*V28, 0)</f>
        <v/>
      </c>
      <c r="X28" s="31" t="n"/>
      <c r="Y28" s="32" t="n"/>
      <c r="Z28" s="30">
        <f>IFERROR(X28*Y28, 0)</f>
        <v/>
      </c>
      <c r="AA28" s="31" t="n"/>
      <c r="AB28" s="32" t="n"/>
      <c r="AC28" s="30">
        <f>IFERROR(AA28*AB28, 0)</f>
        <v/>
      </c>
      <c r="AD28" s="31" t="n"/>
      <c r="AE28" s="32" t="n"/>
      <c r="AF28" s="30">
        <f>IFERROR(AD28*AE28, 0)</f>
        <v/>
      </c>
      <c r="AG28" s="31" t="n"/>
      <c r="AH28" s="32" t="n"/>
      <c r="AI28" s="30">
        <f>IFERROR(AG28*AH28, 0)</f>
        <v/>
      </c>
      <c r="AJ28" s="31" t="n"/>
      <c r="AK28" s="32" t="n"/>
      <c r="AL28" s="30">
        <f>IFERROR(AJ28*AK28, 0)</f>
        <v/>
      </c>
      <c r="AM28" s="31" t="n"/>
      <c r="AN28" s="32" t="n"/>
      <c r="AO28" s="30">
        <f>IFERROR(AM28*AN28, 0)</f>
        <v/>
      </c>
      <c r="AP28" s="31" t="n"/>
      <c r="AQ28" s="32" t="n"/>
      <c r="AR28" s="30">
        <f>IFERROR(AP28*AQ28, 0)</f>
        <v/>
      </c>
      <c r="AS28" s="31" t="n"/>
      <c r="AT28" s="32" t="n"/>
      <c r="AU28" s="30">
        <f>IFERROR(AS28*AT28, 0)</f>
        <v/>
      </c>
      <c r="AV28" s="31" t="n"/>
      <c r="AW28" s="32" t="n"/>
      <c r="AX28" s="30">
        <f>IFERROR(AV28*AW28, 0)</f>
        <v/>
      </c>
      <c r="AY28" s="31" t="n"/>
      <c r="AZ28" s="32" t="n"/>
      <c r="BA28" s="30">
        <f>IFERROR(AY28*AZ28, 0)</f>
        <v/>
      </c>
      <c r="BB28" s="31" t="n"/>
      <c r="BC28" s="32" t="n"/>
      <c r="BD28" s="30">
        <f>IFERROR(BB28*BC28, 0)</f>
        <v/>
      </c>
      <c r="BE28" s="31" t="n"/>
      <c r="BF28" s="32" t="n"/>
      <c r="BG28" s="30">
        <f>IFERROR(BE28*BF28, 0)</f>
        <v/>
      </c>
      <c r="BH28" s="31" t="n"/>
      <c r="BI28" s="32" t="n"/>
      <c r="BJ28" s="30">
        <f>IFERROR(BH28*BI28, 0)</f>
        <v/>
      </c>
      <c r="BK28" s="31" t="n"/>
      <c r="BL28" s="32" t="n"/>
      <c r="BM28" s="30">
        <f>IFERROR(BK28*BL28, 0)</f>
        <v/>
      </c>
      <c r="BN28" s="31" t="n"/>
      <c r="BO28" s="32" t="n"/>
      <c r="BP28" s="30">
        <f>IFERROR(BN28*BO28, 0)</f>
        <v/>
      </c>
      <c r="BQ28" s="31" t="n"/>
      <c r="BR28" s="32" t="n"/>
      <c r="BS28" s="30">
        <f>IFERROR(BQ28*BR28, 0)</f>
        <v/>
      </c>
      <c r="BT28" s="31" t="n"/>
      <c r="BU28" s="32" t="n"/>
      <c r="BV28" s="30">
        <f>IFERROR(BT28*BU28, 0)</f>
        <v/>
      </c>
      <c r="BW28" s="31" t="n"/>
      <c r="BX28" s="32" t="n"/>
      <c r="BY28" s="30">
        <f>IFERROR(BW28*BX28, 0)</f>
        <v/>
      </c>
      <c r="BZ28" s="31" t="n"/>
      <c r="CA28" s="32" t="n"/>
      <c r="CB28" s="30">
        <f>IFERROR(BZ28*CA28, 0)</f>
        <v/>
      </c>
      <c r="CC28" s="31" t="n"/>
      <c r="CD28" s="32" t="n"/>
      <c r="CE28" s="30">
        <f>IFERROR(CC28*CD28, 0)</f>
        <v/>
      </c>
      <c r="CF28" s="31" t="n"/>
      <c r="CG28" s="32" t="n"/>
      <c r="CH28" s="30">
        <f>IFERROR(CF28*CG28, 0)</f>
        <v/>
      </c>
      <c r="CI28" s="31" t="n"/>
      <c r="CJ28" s="32" t="n"/>
      <c r="CK28" s="30">
        <f>IFERROR(CI28*CJ28, 0)</f>
        <v/>
      </c>
      <c r="CL28" s="31" t="n"/>
      <c r="CM28" s="32" t="n"/>
      <c r="CN28" s="30">
        <f>IFERROR(CL28*CM28, 0)</f>
        <v/>
      </c>
      <c r="CO28" s="31" t="n"/>
      <c r="CP28" s="32" t="n"/>
      <c r="CQ28" s="30">
        <f>IFERROR(CO28*CP28, 0)</f>
        <v/>
      </c>
      <c r="CR28" s="31" t="n"/>
      <c r="CS28" s="32" t="n"/>
      <c r="CT28" s="30">
        <f>IFERROR(CR28*CS28, 0)</f>
        <v/>
      </c>
      <c r="CU28" s="33">
        <f>IFERROR(SUM(F28,I28,L28,O28,R28,U28,X28,AA28,AD28,AG28,AJ28,AM28,AP28,AS28,AV28,AY28,BB28,BE28,BH28,BK28,BN28,BQ28,BT28,BW28,BZ28,CC28,CF28,CI28,CL28,CO28,CR28), 0)</f>
        <v/>
      </c>
      <c r="CV28" s="30">
        <f>IFERROR(AVERAGE(G28,J28,M28,P28,S28,V28,Y28,AB28,AE28,AH28,AK28,AN28,AQ28,AT28,AW28,AZ28,BC28,BF28,BI28,BL28,BO28,BR28,BU28,BX28,CA28,CD28,CG28,CJ28,CM28,CP28,CS28), 0)</f>
        <v/>
      </c>
      <c r="CW28" s="30">
        <f>CU28*CV28</f>
        <v/>
      </c>
    </row>
    <row r="29" ht="15.75" customHeight="1">
      <c r="A29" s="28" t="inlineStr">
        <is>
          <t>Papa pollera</t>
        </is>
      </c>
      <c r="B29" s="28" t="inlineStr">
        <is>
          <t>Kg</t>
        </is>
      </c>
      <c r="C29" s="34" t="n"/>
      <c r="D29" s="32" t="n"/>
      <c r="E29" s="32" t="n"/>
      <c r="F29" s="31" t="n"/>
      <c r="G29" s="32" t="n"/>
      <c r="H29" s="30">
        <f>IFERROR(F29*G29, 0)</f>
        <v/>
      </c>
      <c r="I29" s="31" t="n"/>
      <c r="J29" s="32" t="n"/>
      <c r="K29" s="30">
        <f>IFERROR(I29*J29, 0)</f>
        <v/>
      </c>
      <c r="L29" s="31" t="n"/>
      <c r="M29" s="32" t="n"/>
      <c r="N29" s="30">
        <f>IFERROR(L29*M29, 0)</f>
        <v/>
      </c>
      <c r="O29" s="31" t="n"/>
      <c r="P29" s="32" t="n"/>
      <c r="Q29" s="30">
        <f>IFERROR(O29*P29, 0)</f>
        <v/>
      </c>
      <c r="R29" s="31" t="n"/>
      <c r="S29" s="32" t="n"/>
      <c r="T29" s="30">
        <f>IFERROR(R29*S29, 0)</f>
        <v/>
      </c>
      <c r="U29" s="31" t="n"/>
      <c r="V29" s="32" t="n"/>
      <c r="W29" s="30">
        <f>IFERROR(U29*V29, 0)</f>
        <v/>
      </c>
      <c r="X29" s="31" t="n"/>
      <c r="Y29" s="32" t="n"/>
      <c r="Z29" s="30">
        <f>IFERROR(X29*Y29, 0)</f>
        <v/>
      </c>
      <c r="AA29" s="31" t="n"/>
      <c r="AB29" s="32" t="n"/>
      <c r="AC29" s="30">
        <f>IFERROR(AA29*AB29, 0)</f>
        <v/>
      </c>
      <c r="AD29" s="31" t="n"/>
      <c r="AE29" s="32" t="n"/>
      <c r="AF29" s="30">
        <f>IFERROR(AD29*AE29, 0)</f>
        <v/>
      </c>
      <c r="AG29" s="31" t="n"/>
      <c r="AH29" s="32" t="n"/>
      <c r="AI29" s="30">
        <f>IFERROR(AG29*AH29, 0)</f>
        <v/>
      </c>
      <c r="AJ29" s="31" t="n"/>
      <c r="AK29" s="32" t="n"/>
      <c r="AL29" s="30">
        <f>IFERROR(AJ29*AK29, 0)</f>
        <v/>
      </c>
      <c r="AM29" s="31" t="n"/>
      <c r="AN29" s="32" t="n"/>
      <c r="AO29" s="30">
        <f>IFERROR(AM29*AN29, 0)</f>
        <v/>
      </c>
      <c r="AP29" s="31" t="n">
        <v>26.3</v>
      </c>
      <c r="AQ29" s="32" t="n">
        <v>2000</v>
      </c>
      <c r="AR29" s="30" t="n">
        <v>52600</v>
      </c>
      <c r="AS29" s="31" t="n">
        <v>30</v>
      </c>
      <c r="AT29" s="32" t="n">
        <v>2000</v>
      </c>
      <c r="AU29" s="30" t="n">
        <v>60000</v>
      </c>
      <c r="AV29" s="31" t="n"/>
      <c r="AW29" s="32" t="n"/>
      <c r="AX29" s="30">
        <f>IFERROR(AV29*AW29, 0)</f>
        <v/>
      </c>
      <c r="AY29" s="31" t="n"/>
      <c r="AZ29" s="32" t="n"/>
      <c r="BA29" s="30">
        <f>IFERROR(AY29*AZ29, 0)</f>
        <v/>
      </c>
      <c r="BB29" s="31" t="n"/>
      <c r="BC29" s="32" t="n"/>
      <c r="BD29" s="30">
        <f>IFERROR(BB29*BC29, 0)</f>
        <v/>
      </c>
      <c r="BE29" s="31" t="n"/>
      <c r="BF29" s="32" t="n"/>
      <c r="BG29" s="30">
        <f>IFERROR(BE29*BF29, 0)</f>
        <v/>
      </c>
      <c r="BH29" s="31" t="n"/>
      <c r="BI29" s="32" t="n"/>
      <c r="BJ29" s="30">
        <f>IFERROR(BH29*BI29, 0)</f>
        <v/>
      </c>
      <c r="BK29" s="31" t="n"/>
      <c r="BL29" s="32" t="n"/>
      <c r="BM29" s="30">
        <f>IFERROR(BK29*BL29, 0)</f>
        <v/>
      </c>
      <c r="BN29" s="31" t="n"/>
      <c r="BO29" s="32" t="n"/>
      <c r="BP29" s="30">
        <f>IFERROR(BN29*BO29, 0)</f>
        <v/>
      </c>
      <c r="BQ29" s="31" t="n"/>
      <c r="BR29" s="32" t="n"/>
      <c r="BS29" s="30">
        <f>IFERROR(BQ29*BR29, 0)</f>
        <v/>
      </c>
      <c r="BT29" s="31" t="n"/>
      <c r="BU29" s="32" t="n"/>
      <c r="BV29" s="30">
        <f>IFERROR(BT29*BU29, 0)</f>
        <v/>
      </c>
      <c r="BW29" s="31" t="n"/>
      <c r="BX29" s="32" t="n"/>
      <c r="BY29" s="30">
        <f>IFERROR(BW29*BX29, 0)</f>
        <v/>
      </c>
      <c r="BZ29" s="31" t="n"/>
      <c r="CA29" s="32" t="n"/>
      <c r="CB29" s="30">
        <f>IFERROR(BZ29*CA29, 0)</f>
        <v/>
      </c>
      <c r="CC29" s="31" t="n"/>
      <c r="CD29" s="32" t="n"/>
      <c r="CE29" s="30">
        <f>IFERROR(CC29*CD29, 0)</f>
        <v/>
      </c>
      <c r="CF29" s="31" t="n"/>
      <c r="CG29" s="32" t="n"/>
      <c r="CH29" s="30">
        <f>IFERROR(CF29*CG29, 0)</f>
        <v/>
      </c>
      <c r="CI29" s="31" t="n"/>
      <c r="CJ29" s="32" t="n"/>
      <c r="CK29" s="30">
        <f>IFERROR(CI29*CJ29, 0)</f>
        <v/>
      </c>
      <c r="CL29" s="31" t="n"/>
      <c r="CM29" s="32" t="n"/>
      <c r="CN29" s="30">
        <f>IFERROR(CL29*CM29, 0)</f>
        <v/>
      </c>
      <c r="CO29" s="31" t="n"/>
      <c r="CP29" s="32" t="n"/>
      <c r="CQ29" s="30">
        <f>IFERROR(CO29*CP29, 0)</f>
        <v/>
      </c>
      <c r="CR29" s="31" t="n"/>
      <c r="CS29" s="32" t="n"/>
      <c r="CT29" s="30">
        <f>IFERROR(CR29*CS29, 0)</f>
        <v/>
      </c>
      <c r="CU29" s="33">
        <f>IFERROR(SUM(F29,I29,L29,O29,R29,U29,X29,AA29,AD29,AG29,AJ29,AM29,AP29,AS29,AV29,AY29,BB29,BE29,BH29,BK29,BN29,BQ29,BT29,BW29,BZ29,CC29,CF29,CI29,CL29,CO29,CR29), 0)</f>
        <v/>
      </c>
      <c r="CV29" s="30">
        <f>IFERROR(AVERAGE(G29,J29,M29,P29,S29,V29,Y29,AB29,AE29,AH29,AK29,AN29,AQ29,AT29,AW29,AZ29,BC29,BF29,BI29,BL29,BO29,BR29,BU29,BX29,CA29,CD29,CG29,CJ29,CM29,CP29,CS29), 0)</f>
        <v/>
      </c>
      <c r="CW29" s="30">
        <f>CU29*CV29</f>
        <v/>
      </c>
    </row>
    <row r="30" ht="15.75" customHeight="1">
      <c r="A30" s="28" t="inlineStr">
        <is>
          <t>Papa parda</t>
        </is>
      </c>
      <c r="B30" s="28" t="inlineStr">
        <is>
          <t>Kg</t>
        </is>
      </c>
      <c r="C30" s="34" t="n"/>
      <c r="D30" s="32" t="n"/>
      <c r="E30" s="32" t="n"/>
      <c r="F30" s="31" t="n"/>
      <c r="G30" s="32" t="n"/>
      <c r="H30" s="30">
        <f>IFERROR(F30*G30, 0)</f>
        <v/>
      </c>
      <c r="I30" s="31" t="n"/>
      <c r="J30" s="32" t="n"/>
      <c r="K30" s="30">
        <f>IFERROR(I30*J30, 0)</f>
        <v/>
      </c>
      <c r="L30" s="31" t="n"/>
      <c r="M30" s="32" t="n"/>
      <c r="N30" s="30">
        <f>IFERROR(L30*M30, 0)</f>
        <v/>
      </c>
      <c r="O30" s="31" t="n"/>
      <c r="P30" s="32" t="n"/>
      <c r="Q30" s="30">
        <f>IFERROR(O30*P30, 0)</f>
        <v/>
      </c>
      <c r="R30" s="31" t="n"/>
      <c r="S30" s="32" t="n"/>
      <c r="T30" s="30">
        <f>IFERROR(R30*S30, 0)</f>
        <v/>
      </c>
      <c r="U30" s="31" t="n"/>
      <c r="V30" s="32" t="n"/>
      <c r="W30" s="30">
        <f>IFERROR(U30*V30, 0)</f>
        <v/>
      </c>
      <c r="X30" s="31" t="n"/>
      <c r="Y30" s="32" t="n"/>
      <c r="Z30" s="30">
        <f>IFERROR(X30*Y30, 0)</f>
        <v/>
      </c>
      <c r="AA30" s="31" t="n"/>
      <c r="AB30" s="32" t="n"/>
      <c r="AC30" s="30">
        <f>IFERROR(AA30*AB30, 0)</f>
        <v/>
      </c>
      <c r="AD30" s="31" t="n"/>
      <c r="AE30" s="32" t="n"/>
      <c r="AF30" s="30">
        <f>IFERROR(AD30*AE30, 0)</f>
        <v/>
      </c>
      <c r="AG30" s="31" t="n"/>
      <c r="AH30" s="32" t="n"/>
      <c r="AI30" s="30">
        <f>IFERROR(AG30*AH30, 0)</f>
        <v/>
      </c>
      <c r="AJ30" s="31" t="n"/>
      <c r="AK30" s="32" t="n"/>
      <c r="AL30" s="30">
        <f>IFERROR(AJ30*AK30, 0)</f>
        <v/>
      </c>
      <c r="AM30" s="31" t="n"/>
      <c r="AN30" s="32" t="n"/>
      <c r="AO30" s="30">
        <f>IFERROR(AM30*AN30, 0)</f>
        <v/>
      </c>
      <c r="AP30" s="31" t="n"/>
      <c r="AQ30" s="32" t="n"/>
      <c r="AR30" s="30">
        <f>IFERROR(AP30*AQ30, 0)</f>
        <v/>
      </c>
      <c r="AS30" s="31" t="n"/>
      <c r="AT30" s="32" t="n"/>
      <c r="AU30" s="30">
        <f>IFERROR(AS30*AT30, 0)</f>
        <v/>
      </c>
      <c r="AV30" s="31" t="n"/>
      <c r="AW30" s="32" t="n"/>
      <c r="AX30" s="30">
        <f>IFERROR(AV30*AW30, 0)</f>
        <v/>
      </c>
      <c r="AY30" s="31" t="n"/>
      <c r="AZ30" s="32" t="n"/>
      <c r="BA30" s="30">
        <f>IFERROR(AY30*AZ30, 0)</f>
        <v/>
      </c>
      <c r="BB30" s="31" t="n"/>
      <c r="BC30" s="32" t="n"/>
      <c r="BD30" s="30">
        <f>IFERROR(BB30*BC30, 0)</f>
        <v/>
      </c>
      <c r="BE30" s="31" t="n"/>
      <c r="BF30" s="32" t="n"/>
      <c r="BG30" s="30">
        <f>IFERROR(BE30*BF30, 0)</f>
        <v/>
      </c>
      <c r="BH30" s="31" t="n"/>
      <c r="BI30" s="32" t="n"/>
      <c r="BJ30" s="30">
        <f>IFERROR(BH30*BI30, 0)</f>
        <v/>
      </c>
      <c r="BK30" s="31" t="n"/>
      <c r="BL30" s="32" t="n"/>
      <c r="BM30" s="30">
        <f>IFERROR(BK30*BL30, 0)</f>
        <v/>
      </c>
      <c r="BN30" s="31" t="n"/>
      <c r="BO30" s="32" t="n"/>
      <c r="BP30" s="30">
        <f>IFERROR(BN30*BO30, 0)</f>
        <v/>
      </c>
      <c r="BQ30" s="31" t="n"/>
      <c r="BR30" s="32" t="n"/>
      <c r="BS30" s="30">
        <f>IFERROR(BQ30*BR30, 0)</f>
        <v/>
      </c>
      <c r="BT30" s="31" t="n"/>
      <c r="BU30" s="32" t="n"/>
      <c r="BV30" s="30">
        <f>IFERROR(BT30*BU30, 0)</f>
        <v/>
      </c>
      <c r="BW30" s="31" t="n"/>
      <c r="BX30" s="32" t="n"/>
      <c r="BY30" s="30">
        <f>IFERROR(BW30*BX30, 0)</f>
        <v/>
      </c>
      <c r="BZ30" s="31" t="n"/>
      <c r="CA30" s="32" t="n"/>
      <c r="CB30" s="30">
        <f>IFERROR(BZ30*CA30, 0)</f>
        <v/>
      </c>
      <c r="CC30" s="31" t="n"/>
      <c r="CD30" s="32" t="n"/>
      <c r="CE30" s="30">
        <f>IFERROR(CC30*CD30, 0)</f>
        <v/>
      </c>
      <c r="CF30" s="31" t="n"/>
      <c r="CG30" s="32" t="n"/>
      <c r="CH30" s="30">
        <f>IFERROR(CF30*CG30, 0)</f>
        <v/>
      </c>
      <c r="CI30" s="31" t="n"/>
      <c r="CJ30" s="32" t="n"/>
      <c r="CK30" s="30">
        <f>IFERROR(CI30*CJ30, 0)</f>
        <v/>
      </c>
      <c r="CL30" s="31" t="n"/>
      <c r="CM30" s="32" t="n"/>
      <c r="CN30" s="30">
        <f>IFERROR(CL30*CM30, 0)</f>
        <v/>
      </c>
      <c r="CO30" s="31" t="n"/>
      <c r="CP30" s="32" t="n"/>
      <c r="CQ30" s="30">
        <f>IFERROR(CO30*CP30, 0)</f>
        <v/>
      </c>
      <c r="CR30" s="31" t="n"/>
      <c r="CS30" s="32" t="n"/>
      <c r="CT30" s="30">
        <f>IFERROR(CR30*CS30, 0)</f>
        <v/>
      </c>
      <c r="CU30" s="33">
        <f>IFERROR(SUM(F30,I30,L30,O30,R30,U30,X30,AA30,AD30,AG30,AJ30,AM30,AP30,AS30,AV30,AY30,BB30,BE30,BH30,BK30,BN30,BQ30,BT30,BW30,BZ30,CC30,CF30,CI30,CL30,CO30,CR30), 0)</f>
        <v/>
      </c>
      <c r="CV30" s="30">
        <f>IFERROR(AVERAGE(G30,J30,M30,P30,S30,V30,Y30,AB30,AE30,AH30,AK30,AN30,AQ30,AT30,AW30,AZ30,BC30,BF30,BI30,BL30,BO30,BR30,BU30,BX30,CA30,CD30,CG30,CJ30,CM30,CP30,CS30), 0)</f>
        <v/>
      </c>
      <c r="CW30" s="30">
        <f>CU30*CV30</f>
        <v/>
      </c>
    </row>
    <row r="31" ht="15.75" customHeight="1">
      <c r="A31" s="28" t="inlineStr">
        <is>
          <t xml:space="preserve">Papa manbera </t>
        </is>
      </c>
      <c r="B31" s="28" t="inlineStr">
        <is>
          <t>Kg</t>
        </is>
      </c>
      <c r="C31" s="34" t="n"/>
      <c r="D31" s="32" t="n"/>
      <c r="E31" s="32" t="n"/>
      <c r="F31" s="31" t="n"/>
      <c r="G31" s="32" t="n"/>
      <c r="H31" s="30">
        <f>IFERROR(F31*G31, 0)</f>
        <v/>
      </c>
      <c r="I31" s="31" t="n"/>
      <c r="J31" s="32" t="n"/>
      <c r="K31" s="30">
        <f>IFERROR(I31*J31, 0)</f>
        <v/>
      </c>
      <c r="L31" s="31" t="n"/>
      <c r="M31" s="32" t="n"/>
      <c r="N31" s="30">
        <f>IFERROR(L31*M31, 0)</f>
        <v/>
      </c>
      <c r="O31" s="31" t="n"/>
      <c r="P31" s="32" t="n"/>
      <c r="Q31" s="30">
        <f>IFERROR(O31*P31, 0)</f>
        <v/>
      </c>
      <c r="R31" s="31" t="n"/>
      <c r="S31" s="32" t="n"/>
      <c r="T31" s="30">
        <f>IFERROR(R31*S31, 0)</f>
        <v/>
      </c>
      <c r="U31" s="31" t="n"/>
      <c r="V31" s="32" t="n"/>
      <c r="W31" s="30">
        <f>IFERROR(U31*V31, 0)</f>
        <v/>
      </c>
      <c r="X31" s="31" t="n"/>
      <c r="Y31" s="32" t="n"/>
      <c r="Z31" s="30">
        <f>IFERROR(X31*Y31, 0)</f>
        <v/>
      </c>
      <c r="AA31" s="31" t="n"/>
      <c r="AB31" s="32" t="n"/>
      <c r="AC31" s="30">
        <f>IFERROR(AA31*AB31, 0)</f>
        <v/>
      </c>
      <c r="AD31" s="31" t="n"/>
      <c r="AE31" s="32" t="n"/>
      <c r="AF31" s="30">
        <f>IFERROR(AD31*AE31, 0)</f>
        <v/>
      </c>
      <c r="AG31" s="31" t="n"/>
      <c r="AH31" s="32" t="n"/>
      <c r="AI31" s="30">
        <f>IFERROR(AG31*AH31, 0)</f>
        <v/>
      </c>
      <c r="AJ31" s="31" t="n"/>
      <c r="AK31" s="32" t="n"/>
      <c r="AL31" s="30">
        <f>IFERROR(AJ31*AK31, 0)</f>
        <v/>
      </c>
      <c r="AM31" s="31" t="n"/>
      <c r="AN31" s="32" t="n"/>
      <c r="AO31" s="30">
        <f>IFERROR(AM31*AN31, 0)</f>
        <v/>
      </c>
      <c r="AP31" s="31" t="n"/>
      <c r="AQ31" s="32" t="n"/>
      <c r="AR31" s="30">
        <f>IFERROR(AP31*AQ31, 0)</f>
        <v/>
      </c>
      <c r="AS31" s="31" t="n"/>
      <c r="AT31" s="32" t="n"/>
      <c r="AU31" s="30">
        <f>IFERROR(AS31*AT31, 0)</f>
        <v/>
      </c>
      <c r="AV31" s="31" t="n"/>
      <c r="AW31" s="32" t="n"/>
      <c r="AX31" s="30">
        <f>IFERROR(AV31*AW31, 0)</f>
        <v/>
      </c>
      <c r="AY31" s="31" t="n"/>
      <c r="AZ31" s="32" t="n"/>
      <c r="BA31" s="30">
        <f>IFERROR(AY31*AZ31, 0)</f>
        <v/>
      </c>
      <c r="BB31" s="31" t="n"/>
      <c r="BC31" s="32" t="n"/>
      <c r="BD31" s="30">
        <f>IFERROR(BB31*BC31, 0)</f>
        <v/>
      </c>
      <c r="BE31" s="31" t="n"/>
      <c r="BF31" s="32" t="n"/>
      <c r="BG31" s="30">
        <f>IFERROR(BE31*BF31, 0)</f>
        <v/>
      </c>
      <c r="BH31" s="31" t="n"/>
      <c r="BI31" s="32" t="n"/>
      <c r="BJ31" s="30">
        <f>IFERROR(BH31*BI31, 0)</f>
        <v/>
      </c>
      <c r="BK31" s="31" t="n"/>
      <c r="BL31" s="32" t="n"/>
      <c r="BM31" s="30">
        <f>IFERROR(BK31*BL31, 0)</f>
        <v/>
      </c>
      <c r="BN31" s="31" t="n">
        <v>6.7</v>
      </c>
      <c r="BO31" s="32" t="n">
        <v>3500</v>
      </c>
      <c r="BP31" s="30" t="n">
        <v>23450</v>
      </c>
      <c r="BQ31" s="31" t="n"/>
      <c r="BR31" s="32" t="n"/>
      <c r="BS31" s="30">
        <f>IFERROR(BQ31*BR31, 0)</f>
        <v/>
      </c>
      <c r="BT31" s="31" t="n"/>
      <c r="BU31" s="32" t="n"/>
      <c r="BV31" s="30">
        <f>IFERROR(BT31*BU31, 0)</f>
        <v/>
      </c>
      <c r="BW31" s="31" t="n"/>
      <c r="BX31" s="32" t="n"/>
      <c r="BY31" s="30">
        <f>IFERROR(BW31*BX31, 0)</f>
        <v/>
      </c>
      <c r="BZ31" s="31" t="n"/>
      <c r="CA31" s="32" t="n"/>
      <c r="CB31" s="30">
        <f>IFERROR(BZ31*CA31, 0)</f>
        <v/>
      </c>
      <c r="CC31" s="31" t="n"/>
      <c r="CD31" s="32" t="n"/>
      <c r="CE31" s="30">
        <f>IFERROR(CC31*CD31, 0)</f>
        <v/>
      </c>
      <c r="CF31" s="31" t="n"/>
      <c r="CG31" s="32" t="n"/>
      <c r="CH31" s="30">
        <f>IFERROR(CF31*CG31, 0)</f>
        <v/>
      </c>
      <c r="CI31" s="31" t="n"/>
      <c r="CJ31" s="32" t="n"/>
      <c r="CK31" s="30">
        <f>IFERROR(CI31*CJ31, 0)</f>
        <v/>
      </c>
      <c r="CL31" s="31" t="n"/>
      <c r="CM31" s="32" t="n"/>
      <c r="CN31" s="30">
        <f>IFERROR(CL31*CM31, 0)</f>
        <v/>
      </c>
      <c r="CO31" s="31" t="n"/>
      <c r="CP31" s="32" t="n"/>
      <c r="CQ31" s="30">
        <f>IFERROR(CO31*CP31, 0)</f>
        <v/>
      </c>
      <c r="CR31" s="31" t="n"/>
      <c r="CS31" s="32" t="n"/>
      <c r="CT31" s="30">
        <f>IFERROR(CR31*CS31, 0)</f>
        <v/>
      </c>
      <c r="CU31" s="33">
        <f>IFERROR(SUM(F31,I31,L31,O31,R31,U31,X31,AA31,AD31,AG31,AJ31,AM31,AP31,AS31,AV31,AY31,BB31,BE31,BH31,BK31,BN31,BQ31,BT31,BW31,BZ31,CC31,CF31,CI31,CL31,CO31,CR31), 0)</f>
        <v/>
      </c>
      <c r="CV31" s="30">
        <f>IFERROR(AVERAGE(G31,J31,M31,P31,S31,V31,Y31,AB31,AE31,AH31,AK31,AN31,AQ31,AT31,AW31,AZ31,BC31,BF31,BI31,BL31,BO31,BR31,BU31,BX31,CA31,CD31,CG31,CJ31,CM31,CP31,CS31), 0)</f>
        <v/>
      </c>
      <c r="CW31" s="30">
        <f>CU31*CV31</f>
        <v/>
      </c>
    </row>
    <row r="32" ht="15.75" customHeight="1">
      <c r="A32" s="28" t="inlineStr">
        <is>
          <t>Papa lavada</t>
        </is>
      </c>
      <c r="B32" s="28" t="inlineStr">
        <is>
          <t>Kg</t>
        </is>
      </c>
      <c r="C32" s="29" t="n"/>
      <c r="D32" s="30" t="n"/>
      <c r="E32" s="30" t="n"/>
      <c r="F32" s="31" t="n"/>
      <c r="G32" s="32" t="n"/>
      <c r="H32" s="30">
        <f>IFERROR(F32*G32, 0)</f>
        <v/>
      </c>
      <c r="I32" s="31" t="n"/>
      <c r="J32" s="32" t="n"/>
      <c r="K32" s="30">
        <f>IFERROR(I32*J32, 0)</f>
        <v/>
      </c>
      <c r="L32" s="31" t="n"/>
      <c r="M32" s="32" t="n"/>
      <c r="N32" s="30">
        <f>IFERROR(L32*M32, 0)</f>
        <v/>
      </c>
      <c r="O32" s="31" t="n"/>
      <c r="P32" s="32" t="n"/>
      <c r="Q32" s="30">
        <f>IFERROR(O32*P32, 0)</f>
        <v/>
      </c>
      <c r="R32" s="31" t="n"/>
      <c r="S32" s="32" t="n"/>
      <c r="T32" s="30">
        <f>IFERROR(R32*S32, 0)</f>
        <v/>
      </c>
      <c r="U32" s="31" t="n"/>
      <c r="V32" s="32" t="n"/>
      <c r="W32" s="30">
        <f>IFERROR(U32*V32, 0)</f>
        <v/>
      </c>
      <c r="X32" s="31" t="n"/>
      <c r="Y32" s="32" t="n"/>
      <c r="Z32" s="30">
        <f>IFERROR(X32*Y32, 0)</f>
        <v/>
      </c>
      <c r="AA32" s="31" t="n"/>
      <c r="AB32" s="32" t="n"/>
      <c r="AC32" s="30">
        <f>IFERROR(AA32*AB32, 0)</f>
        <v/>
      </c>
      <c r="AD32" s="31" t="n"/>
      <c r="AE32" s="32" t="n"/>
      <c r="AF32" s="30">
        <f>IFERROR(AD32*AE32, 0)</f>
        <v/>
      </c>
      <c r="AG32" s="31" t="n"/>
      <c r="AH32" s="32" t="n"/>
      <c r="AI32" s="30">
        <f>IFERROR(AG32*AH32, 0)</f>
        <v/>
      </c>
      <c r="AJ32" s="31" t="n"/>
      <c r="AK32" s="32" t="n"/>
      <c r="AL32" s="30">
        <f>IFERROR(AJ32*AK32, 0)</f>
        <v/>
      </c>
      <c r="AM32" s="31" t="n"/>
      <c r="AN32" s="32" t="n"/>
      <c r="AO32" s="30">
        <f>IFERROR(AM32*AN32, 0)</f>
        <v/>
      </c>
      <c r="AP32" s="31" t="n"/>
      <c r="AQ32" s="32" t="n"/>
      <c r="AR32" s="30">
        <f>IFERROR(AP32*AQ32, 0)</f>
        <v/>
      </c>
      <c r="AS32" s="31" t="n"/>
      <c r="AT32" s="32" t="n"/>
      <c r="AU32" s="30">
        <f>IFERROR(AS32*AT32, 0)</f>
        <v/>
      </c>
      <c r="AV32" s="31" t="n"/>
      <c r="AW32" s="32" t="n"/>
      <c r="AX32" s="30">
        <f>IFERROR(AV32*AW32, 0)</f>
        <v/>
      </c>
      <c r="AY32" s="31" t="n"/>
      <c r="AZ32" s="32" t="n"/>
      <c r="BA32" s="30">
        <f>IFERROR(AY32*AZ32, 0)</f>
        <v/>
      </c>
      <c r="BB32" s="31" t="n"/>
      <c r="BC32" s="32" t="n"/>
      <c r="BD32" s="30">
        <f>IFERROR(BB32*BC32, 0)</f>
        <v/>
      </c>
      <c r="BE32" s="31" t="n"/>
      <c r="BF32" s="32" t="n"/>
      <c r="BG32" s="30">
        <f>IFERROR(BE32*BF32, 0)</f>
        <v/>
      </c>
      <c r="BH32" s="31" t="n"/>
      <c r="BI32" s="32" t="n"/>
      <c r="BJ32" s="30">
        <f>IFERROR(BH32*BI32, 0)</f>
        <v/>
      </c>
      <c r="BK32" s="31" t="n"/>
      <c r="BL32" s="32" t="n"/>
      <c r="BM32" s="30">
        <f>IFERROR(BK32*BL32, 0)</f>
        <v/>
      </c>
      <c r="BN32" s="31" t="n"/>
      <c r="BO32" s="32" t="n"/>
      <c r="BP32" s="30">
        <f>IFERROR(BN32*BO32, 0)</f>
        <v/>
      </c>
      <c r="BQ32" s="31" t="n"/>
      <c r="BR32" s="32" t="n"/>
      <c r="BS32" s="30">
        <f>IFERROR(BQ32*BR32, 0)</f>
        <v/>
      </c>
      <c r="BT32" s="31" t="n"/>
      <c r="BU32" s="32" t="n"/>
      <c r="BV32" s="30">
        <f>IFERROR(BT32*BU32, 0)</f>
        <v/>
      </c>
      <c r="BW32" s="31" t="n"/>
      <c r="BX32" s="32" t="n"/>
      <c r="BY32" s="30">
        <f>IFERROR(BW32*BX32, 0)</f>
        <v/>
      </c>
      <c r="BZ32" s="31" t="n"/>
      <c r="CA32" s="32" t="n"/>
      <c r="CB32" s="30">
        <f>IFERROR(BZ32*CA32, 0)</f>
        <v/>
      </c>
      <c r="CC32" s="31" t="n"/>
      <c r="CD32" s="32" t="n"/>
      <c r="CE32" s="30">
        <f>IFERROR(CC32*CD32, 0)</f>
        <v/>
      </c>
      <c r="CF32" s="31" t="n"/>
      <c r="CG32" s="32" t="n"/>
      <c r="CH32" s="30">
        <f>IFERROR(CF32*CG32, 0)</f>
        <v/>
      </c>
      <c r="CI32" s="31" t="n"/>
      <c r="CJ32" s="32" t="n"/>
      <c r="CK32" s="30">
        <f>IFERROR(CI32*CJ32, 0)</f>
        <v/>
      </c>
      <c r="CL32" s="31" t="n"/>
      <c r="CM32" s="32" t="n"/>
      <c r="CN32" s="30">
        <f>IFERROR(CL32*CM32, 0)</f>
        <v/>
      </c>
      <c r="CO32" s="31" t="n"/>
      <c r="CP32" s="32" t="n"/>
      <c r="CQ32" s="30">
        <f>IFERROR(CO32*CP32, 0)</f>
        <v/>
      </c>
      <c r="CR32" s="31" t="n"/>
      <c r="CS32" s="32" t="n"/>
      <c r="CT32" s="30">
        <f>IFERROR(CR32*CS32, 0)</f>
        <v/>
      </c>
      <c r="CU32" s="33">
        <f>IFERROR(SUM(F32,I32,L32,O32,R32,U32,X32,AA32,AD32,AG32,AJ32,AM32,AP32,AS32,AV32,AY32,BB32,BE32,BH32,BK32,BN32,BQ32,BT32,BW32,BZ32,CC32,CF32,CI32,CL32,CO32,CR32), 0)</f>
        <v/>
      </c>
      <c r="CV32" s="30">
        <f>IFERROR(AVERAGE(G32,J32,M32,P32,S32,V32,Y32,AB32,AE32,AH32,AK32,AN32,AQ32,AT32,AW32,AZ32,BC32,BF32,BI32,BL32,BO32,BR32,BU32,BX32,CA32,CD32,CG32,CJ32,CM32,CP32,CS32), 0)</f>
        <v/>
      </c>
      <c r="CW32" s="30">
        <f>CU32*CV32</f>
        <v/>
      </c>
    </row>
    <row r="33" ht="15.75" customHeight="1">
      <c r="A33" s="28" t="inlineStr">
        <is>
          <t xml:space="preserve">Papa cero </t>
        </is>
      </c>
      <c r="B33" s="28" t="inlineStr">
        <is>
          <t>Bulto</t>
        </is>
      </c>
      <c r="C33" s="34" t="n"/>
      <c r="D33" s="32" t="n"/>
      <c r="E33" s="32" t="n"/>
      <c r="F33" s="31" t="n"/>
      <c r="G33" s="32" t="n"/>
      <c r="H33" s="30">
        <f>IFERROR(F33*G33, 0)</f>
        <v/>
      </c>
      <c r="I33" s="31" t="n"/>
      <c r="J33" s="32" t="n"/>
      <c r="K33" s="30">
        <f>IFERROR(I33*J33, 0)</f>
        <v/>
      </c>
      <c r="L33" s="31" t="n"/>
      <c r="M33" s="32" t="n"/>
      <c r="N33" s="30">
        <f>IFERROR(L33*M33, 0)</f>
        <v/>
      </c>
      <c r="O33" s="31" t="n"/>
      <c r="P33" s="32" t="n"/>
      <c r="Q33" s="30">
        <f>IFERROR(O33*P33, 0)</f>
        <v/>
      </c>
      <c r="R33" s="31" t="n"/>
      <c r="S33" s="32" t="n"/>
      <c r="T33" s="30">
        <f>IFERROR(R33*S33, 0)</f>
        <v/>
      </c>
      <c r="U33" s="31" t="n"/>
      <c r="V33" s="32" t="n"/>
      <c r="W33" s="30">
        <f>IFERROR(U33*V33, 0)</f>
        <v/>
      </c>
      <c r="X33" s="31" t="n"/>
      <c r="Y33" s="32" t="n"/>
      <c r="Z33" s="30">
        <f>IFERROR(X33*Y33, 0)</f>
        <v/>
      </c>
      <c r="AA33" s="31" t="n"/>
      <c r="AB33" s="32" t="n"/>
      <c r="AC33" s="30">
        <f>IFERROR(AA33*AB33, 0)</f>
        <v/>
      </c>
      <c r="AD33" s="31" t="n"/>
      <c r="AE33" s="32" t="n"/>
      <c r="AF33" s="30">
        <f>IFERROR(AD33*AE33, 0)</f>
        <v/>
      </c>
      <c r="AG33" s="31" t="n"/>
      <c r="AH33" s="32" t="n"/>
      <c r="AI33" s="30">
        <f>IFERROR(AG33*AH33, 0)</f>
        <v/>
      </c>
      <c r="AJ33" s="31" t="n"/>
      <c r="AK33" s="32" t="n"/>
      <c r="AL33" s="30">
        <f>IFERROR(AJ33*AK33, 0)</f>
        <v/>
      </c>
      <c r="AM33" s="31" t="n"/>
      <c r="AN33" s="32" t="n"/>
      <c r="AO33" s="30">
        <f>IFERROR(AM33*AN33, 0)</f>
        <v/>
      </c>
      <c r="AP33" s="31" t="n"/>
      <c r="AQ33" s="32" t="n"/>
      <c r="AR33" s="30">
        <f>IFERROR(AP33*AQ33, 0)</f>
        <v/>
      </c>
      <c r="AS33" s="31" t="n"/>
      <c r="AT33" s="32" t="n"/>
      <c r="AU33" s="30">
        <f>IFERROR(AS33*AT33, 0)</f>
        <v/>
      </c>
      <c r="AV33" s="31" t="n"/>
      <c r="AW33" s="32" t="n"/>
      <c r="AX33" s="30">
        <f>IFERROR(AV33*AW33, 0)</f>
        <v/>
      </c>
      <c r="AY33" s="31" t="n"/>
      <c r="AZ33" s="32" t="n"/>
      <c r="BA33" s="30">
        <f>IFERROR(AY33*AZ33, 0)</f>
        <v/>
      </c>
      <c r="BB33" s="31" t="n"/>
      <c r="BC33" s="32" t="n"/>
      <c r="BD33" s="30">
        <f>IFERROR(BB33*BC33, 0)</f>
        <v/>
      </c>
      <c r="BE33" s="31" t="n"/>
      <c r="BF33" s="32" t="n"/>
      <c r="BG33" s="30">
        <f>IFERROR(BE33*BF33, 0)</f>
        <v/>
      </c>
      <c r="BH33" s="31" t="n"/>
      <c r="BI33" s="32" t="n"/>
      <c r="BJ33" s="30">
        <f>IFERROR(BH33*BI33, 0)</f>
        <v/>
      </c>
      <c r="BK33" s="31" t="n"/>
      <c r="BL33" s="32" t="n"/>
      <c r="BM33" s="30">
        <f>IFERROR(BK33*BL33, 0)</f>
        <v/>
      </c>
      <c r="BN33" s="31" t="n"/>
      <c r="BO33" s="32" t="n"/>
      <c r="BP33" s="30">
        <f>IFERROR(BN33*BO33, 0)</f>
        <v/>
      </c>
      <c r="BQ33" s="31" t="n"/>
      <c r="BR33" s="32" t="n"/>
      <c r="BS33" s="30">
        <f>IFERROR(BQ33*BR33, 0)</f>
        <v/>
      </c>
      <c r="BT33" s="31" t="n"/>
      <c r="BU33" s="32" t="n"/>
      <c r="BV33" s="30">
        <f>IFERROR(BT33*BU33, 0)</f>
        <v/>
      </c>
      <c r="BW33" s="31" t="n"/>
      <c r="BX33" s="32" t="n"/>
      <c r="BY33" s="30">
        <f>IFERROR(BW33*BX33, 0)</f>
        <v/>
      </c>
      <c r="BZ33" s="31" t="n"/>
      <c r="CA33" s="32" t="n"/>
      <c r="CB33" s="30">
        <f>IFERROR(BZ33*CA33, 0)</f>
        <v/>
      </c>
      <c r="CC33" s="31" t="n"/>
      <c r="CD33" s="32" t="n"/>
      <c r="CE33" s="30">
        <f>IFERROR(CC33*CD33, 0)</f>
        <v/>
      </c>
      <c r="CF33" s="31" t="n"/>
      <c r="CG33" s="32" t="n"/>
      <c r="CH33" s="30">
        <f>IFERROR(CF33*CG33, 0)</f>
        <v/>
      </c>
      <c r="CI33" s="31" t="n"/>
      <c r="CJ33" s="32" t="n"/>
      <c r="CK33" s="30">
        <f>IFERROR(CI33*CJ33, 0)</f>
        <v/>
      </c>
      <c r="CL33" s="31" t="n"/>
      <c r="CM33" s="32" t="n"/>
      <c r="CN33" s="30">
        <f>IFERROR(CL33*CM33, 0)</f>
        <v/>
      </c>
      <c r="CO33" s="31" t="n"/>
      <c r="CP33" s="32" t="n"/>
      <c r="CQ33" s="30">
        <f>IFERROR(CO33*CP33, 0)</f>
        <v/>
      </c>
      <c r="CR33" s="31" t="n"/>
      <c r="CS33" s="32" t="n"/>
      <c r="CT33" s="30">
        <f>IFERROR(CR33*CS33, 0)</f>
        <v/>
      </c>
      <c r="CU33" s="33">
        <f>IFERROR(SUM(F33,I33,L33,O33,R33,U33,X33,AA33,AD33,AG33,AJ33,AM33,AP33,AS33,AV33,AY33,BB33,BE33,BH33,BK33,BN33,BQ33,BT33,BW33,BZ33,CC33,CF33,CI33,CL33,CO33,CR33), 0)</f>
        <v/>
      </c>
      <c r="CV33" s="30">
        <f>IFERROR(AVERAGE(G33,J33,M33,P33,S33,V33,Y33,AB33,AE33,AH33,AK33,AN33,AQ33,AT33,AW33,AZ33,BC33,BF33,BI33,BL33,BO33,BR33,BU33,BX33,CA33,CD33,CG33,CJ33,CM33,CP33,CS33), 0)</f>
        <v/>
      </c>
      <c r="CW33" s="30">
        <f>CU33*CV33</f>
        <v/>
      </c>
    </row>
    <row r="34" ht="15.75" customHeight="1">
      <c r="A34" s="35" t="inlineStr">
        <is>
          <t>Papa Capira bulto</t>
        </is>
      </c>
      <c r="B34" s="28" t="inlineStr">
        <is>
          <t>Bulto</t>
        </is>
      </c>
      <c r="C34" s="35" t="n"/>
      <c r="D34" s="35" t="n"/>
      <c r="E34" s="35" t="n"/>
      <c r="F34" s="31" t="n"/>
      <c r="G34" s="32" t="n"/>
      <c r="H34" s="30">
        <f>IFERROR(F34*G34, 0)</f>
        <v/>
      </c>
      <c r="I34" s="31" t="n"/>
      <c r="J34" s="32" t="n"/>
      <c r="K34" s="30">
        <f>IFERROR(I34*J34, 0)</f>
        <v/>
      </c>
      <c r="L34" s="31" t="n"/>
      <c r="M34" s="32" t="n"/>
      <c r="N34" s="30">
        <f>IFERROR(L34*M34, 0)</f>
        <v/>
      </c>
      <c r="O34" s="31" t="n"/>
      <c r="P34" s="32" t="n"/>
      <c r="Q34" s="30">
        <f>IFERROR(O34*P34, 0)</f>
        <v/>
      </c>
      <c r="R34" s="31" t="n"/>
      <c r="S34" s="32" t="n"/>
      <c r="T34" s="30">
        <f>IFERROR(R34*S34, 0)</f>
        <v/>
      </c>
      <c r="U34" s="31" t="n"/>
      <c r="V34" s="32" t="n"/>
      <c r="W34" s="30">
        <f>IFERROR(U34*V34, 0)</f>
        <v/>
      </c>
      <c r="X34" s="31" t="n"/>
      <c r="Y34" s="32" t="n"/>
      <c r="Z34" s="30">
        <f>IFERROR(X34*Y34, 0)</f>
        <v/>
      </c>
      <c r="AA34" s="31" t="n"/>
      <c r="AB34" s="32" t="n"/>
      <c r="AC34" s="30">
        <f>IFERROR(AA34*AB34, 0)</f>
        <v/>
      </c>
      <c r="AD34" s="31" t="n"/>
      <c r="AE34" s="32" t="n"/>
      <c r="AF34" s="30">
        <f>IFERROR(AD34*AE34, 0)</f>
        <v/>
      </c>
      <c r="AG34" s="31" t="n"/>
      <c r="AH34" s="32" t="n"/>
      <c r="AI34" s="30">
        <f>IFERROR(AG34*AH34, 0)</f>
        <v/>
      </c>
      <c r="AJ34" s="31" t="n"/>
      <c r="AK34" s="32" t="n"/>
      <c r="AL34" s="30">
        <f>IFERROR(AJ34*AK34, 0)</f>
        <v/>
      </c>
      <c r="AM34" s="31" t="n"/>
      <c r="AN34" s="32" t="n"/>
      <c r="AO34" s="30">
        <f>IFERROR(AM34*AN34, 0)</f>
        <v/>
      </c>
      <c r="AP34" s="31" t="n">
        <v>1.5</v>
      </c>
      <c r="AQ34" s="32" t="n">
        <v>100000</v>
      </c>
      <c r="AR34" s="30" t="n">
        <v>140000</v>
      </c>
      <c r="AS34" s="31" t="n">
        <v>1</v>
      </c>
      <c r="AT34" s="32" t="n">
        <v>110000</v>
      </c>
      <c r="AU34" s="30" t="n">
        <v>105000</v>
      </c>
      <c r="AV34" s="31" t="n"/>
      <c r="AW34" s="32" t="n"/>
      <c r="AX34" s="30">
        <f>IFERROR(AV34*AW34, 0)</f>
        <v/>
      </c>
      <c r="AY34" s="31" t="n"/>
      <c r="AZ34" s="32" t="n"/>
      <c r="BA34" s="30">
        <f>IFERROR(AY34*AZ34, 0)</f>
        <v/>
      </c>
      <c r="BB34" s="31" t="n"/>
      <c r="BC34" s="32" t="n"/>
      <c r="BD34" s="30">
        <f>IFERROR(BB34*BC34, 0)</f>
        <v/>
      </c>
      <c r="BE34" s="31" t="n"/>
      <c r="BF34" s="32" t="n"/>
      <c r="BG34" s="30">
        <f>IFERROR(BE34*BF34, 0)</f>
        <v/>
      </c>
      <c r="BH34" s="31" t="n"/>
      <c r="BI34" s="32" t="n"/>
      <c r="BJ34" s="30">
        <f>IFERROR(BH34*BI34, 0)</f>
        <v/>
      </c>
      <c r="BK34" s="31" t="n"/>
      <c r="BL34" s="32" t="n"/>
      <c r="BM34" s="30">
        <f>IFERROR(BK34*BL34, 0)</f>
        <v/>
      </c>
      <c r="BN34" s="31" t="n">
        <v>0.5</v>
      </c>
      <c r="BO34" s="32" t="n">
        <v>100000</v>
      </c>
      <c r="BP34" s="30" t="n">
        <v>50000</v>
      </c>
      <c r="BQ34" s="31" t="n"/>
      <c r="BR34" s="32" t="n"/>
      <c r="BS34" s="30">
        <f>IFERROR(BQ34*BR34, 0)</f>
        <v/>
      </c>
      <c r="BT34" s="31" t="n"/>
      <c r="BU34" s="32" t="n"/>
      <c r="BV34" s="30">
        <f>IFERROR(BT34*BU34, 0)</f>
        <v/>
      </c>
      <c r="BW34" s="31" t="n"/>
      <c r="BX34" s="32" t="n"/>
      <c r="BY34" s="30">
        <f>IFERROR(BW34*BX34, 0)</f>
        <v/>
      </c>
      <c r="BZ34" s="31" t="n"/>
      <c r="CA34" s="32" t="n"/>
      <c r="CB34" s="30">
        <f>IFERROR(BZ34*CA34, 0)</f>
        <v/>
      </c>
      <c r="CC34" s="31" t="n"/>
      <c r="CD34" s="32" t="n"/>
      <c r="CE34" s="30">
        <f>IFERROR(CC34*CD34, 0)</f>
        <v/>
      </c>
      <c r="CF34" s="31" t="n"/>
      <c r="CG34" s="32" t="n"/>
      <c r="CH34" s="30">
        <f>IFERROR(CF34*CG34, 0)</f>
        <v/>
      </c>
      <c r="CI34" s="31" t="n"/>
      <c r="CJ34" s="32" t="n"/>
      <c r="CK34" s="30">
        <f>IFERROR(CI34*CJ34, 0)</f>
        <v/>
      </c>
      <c r="CL34" s="31" t="n"/>
      <c r="CM34" s="32" t="n"/>
      <c r="CN34" s="30">
        <f>IFERROR(CL34*CM34, 0)</f>
        <v/>
      </c>
      <c r="CO34" s="31" t="n"/>
      <c r="CP34" s="32" t="n"/>
      <c r="CQ34" s="30">
        <f>IFERROR(CO34*CP34, 0)</f>
        <v/>
      </c>
      <c r="CR34" s="31" t="n"/>
      <c r="CS34" s="32" t="n"/>
      <c r="CT34" s="30">
        <f>IFERROR(CR34*CS34, 0)</f>
        <v/>
      </c>
      <c r="CU34" s="33">
        <f>IFERROR(SUM(F34,I34,L34,O34,R34,U34,X34,AA34,AD34,AG34,AJ34,AM34,AP34,AS34,AV34,AY34,BB34,BE34,BH34,BK34,BN34,BQ34,BT34,BW34,BZ34,CC34,CF34,CI34,CL34,CO34,CR34), 0)</f>
        <v/>
      </c>
      <c r="CV34" s="30">
        <f>IFERROR(AVERAGE(G34,J34,M34,P34,S34,V34,Y34,AB34,AE34,AH34,AK34,AN34,AQ34,AT34,AW34,AZ34,BC34,BF34,BI34,BL34,BO34,BR34,BU34,BX34,CA34,CD34,CG34,CJ34,CM34,CP34,CS34), 0)</f>
        <v/>
      </c>
      <c r="CW34" s="30">
        <f>CU34*CV34</f>
        <v/>
      </c>
    </row>
    <row r="35" ht="15.75" customHeight="1">
      <c r="A35" s="28" t="inlineStr">
        <is>
          <t>Papa capira</t>
        </is>
      </c>
      <c r="B35" s="28" t="inlineStr">
        <is>
          <t>Bulto</t>
        </is>
      </c>
      <c r="C35" s="29" t="n"/>
      <c r="D35" s="30" t="n"/>
      <c r="E35" s="30" t="n"/>
      <c r="F35" s="31" t="n"/>
      <c r="G35" s="32" t="n"/>
      <c r="H35" s="30">
        <f>IFERROR(F35*G35, 0)</f>
        <v/>
      </c>
      <c r="I35" s="31" t="n"/>
      <c r="J35" s="32" t="n"/>
      <c r="K35" s="30">
        <f>IFERROR(I35*J35, 0)</f>
        <v/>
      </c>
      <c r="L35" s="31" t="n"/>
      <c r="M35" s="32" t="n"/>
      <c r="N35" s="30">
        <f>IFERROR(L35*M35, 0)</f>
        <v/>
      </c>
      <c r="O35" s="31" t="n"/>
      <c r="P35" s="32" t="n"/>
      <c r="Q35" s="30">
        <f>IFERROR(O35*P35, 0)</f>
        <v/>
      </c>
      <c r="R35" s="31" t="n"/>
      <c r="S35" s="32" t="n"/>
      <c r="T35" s="30">
        <f>IFERROR(R35*S35, 0)</f>
        <v/>
      </c>
      <c r="U35" s="31" t="n"/>
      <c r="V35" s="32" t="n"/>
      <c r="W35" s="30">
        <f>IFERROR(U35*V35, 0)</f>
        <v/>
      </c>
      <c r="X35" s="31" t="n"/>
      <c r="Y35" s="32" t="n"/>
      <c r="Z35" s="30">
        <f>IFERROR(X35*Y35, 0)</f>
        <v/>
      </c>
      <c r="AA35" s="31" t="n"/>
      <c r="AB35" s="32" t="n"/>
      <c r="AC35" s="30">
        <f>IFERROR(AA35*AB35, 0)</f>
        <v/>
      </c>
      <c r="AD35" s="31" t="n"/>
      <c r="AE35" s="32" t="n"/>
      <c r="AF35" s="30">
        <f>IFERROR(AD35*AE35, 0)</f>
        <v/>
      </c>
      <c r="AG35" s="31" t="n"/>
      <c r="AH35" s="32" t="n"/>
      <c r="AI35" s="30">
        <f>IFERROR(AG35*AH35, 0)</f>
        <v/>
      </c>
      <c r="AJ35" s="31" t="n"/>
      <c r="AK35" s="32" t="n"/>
      <c r="AL35" s="30">
        <f>IFERROR(AJ35*AK35, 0)</f>
        <v/>
      </c>
      <c r="AM35" s="31" t="n"/>
      <c r="AN35" s="32" t="n"/>
      <c r="AO35" s="30">
        <f>IFERROR(AM35*AN35, 0)</f>
        <v/>
      </c>
      <c r="AP35" s="31" t="n"/>
      <c r="AQ35" s="32" t="n"/>
      <c r="AR35" s="30">
        <f>IFERROR(AP35*AQ35, 0)</f>
        <v/>
      </c>
      <c r="AS35" s="31" t="n"/>
      <c r="AT35" s="32" t="n"/>
      <c r="AU35" s="30">
        <f>IFERROR(AS35*AT35, 0)</f>
        <v/>
      </c>
      <c r="AV35" s="31" t="n"/>
      <c r="AW35" s="32" t="n"/>
      <c r="AX35" s="30">
        <f>IFERROR(AV35*AW35, 0)</f>
        <v/>
      </c>
      <c r="AY35" s="31" t="n"/>
      <c r="AZ35" s="32" t="n"/>
      <c r="BA35" s="30">
        <f>IFERROR(AY35*AZ35, 0)</f>
        <v/>
      </c>
      <c r="BB35" s="31" t="n"/>
      <c r="BC35" s="32" t="n"/>
      <c r="BD35" s="30">
        <f>IFERROR(BB35*BC35, 0)</f>
        <v/>
      </c>
      <c r="BE35" s="31" t="n"/>
      <c r="BF35" s="32" t="n"/>
      <c r="BG35" s="30">
        <f>IFERROR(BE35*BF35, 0)</f>
        <v/>
      </c>
      <c r="BH35" s="31" t="n"/>
      <c r="BI35" s="32" t="n"/>
      <c r="BJ35" s="30">
        <f>IFERROR(BH35*BI35, 0)</f>
        <v/>
      </c>
      <c r="BK35" s="31" t="n"/>
      <c r="BL35" s="32" t="n"/>
      <c r="BM35" s="30">
        <f>IFERROR(BK35*BL35, 0)</f>
        <v/>
      </c>
      <c r="BN35" s="31" t="n"/>
      <c r="BO35" s="32" t="n"/>
      <c r="BP35" s="30">
        <f>IFERROR(BN35*BO35, 0)</f>
        <v/>
      </c>
      <c r="BQ35" s="31" t="n"/>
      <c r="BR35" s="32" t="n"/>
      <c r="BS35" s="30">
        <f>IFERROR(BQ35*BR35, 0)</f>
        <v/>
      </c>
      <c r="BT35" s="31" t="n"/>
      <c r="BU35" s="32" t="n"/>
      <c r="BV35" s="30">
        <f>IFERROR(BT35*BU35, 0)</f>
        <v/>
      </c>
      <c r="BW35" s="31" t="n"/>
      <c r="BX35" s="32" t="n"/>
      <c r="BY35" s="30">
        <f>IFERROR(BW35*BX35, 0)</f>
        <v/>
      </c>
      <c r="BZ35" s="31" t="n"/>
      <c r="CA35" s="32" t="n"/>
      <c r="CB35" s="30">
        <f>IFERROR(BZ35*CA35, 0)</f>
        <v/>
      </c>
      <c r="CC35" s="31" t="n"/>
      <c r="CD35" s="32" t="n"/>
      <c r="CE35" s="30">
        <f>IFERROR(CC35*CD35, 0)</f>
        <v/>
      </c>
      <c r="CF35" s="31" t="n"/>
      <c r="CG35" s="32" t="n"/>
      <c r="CH35" s="30">
        <f>IFERROR(CF35*CG35, 0)</f>
        <v/>
      </c>
      <c r="CI35" s="31" t="n"/>
      <c r="CJ35" s="32" t="n"/>
      <c r="CK35" s="30">
        <f>IFERROR(CI35*CJ35, 0)</f>
        <v/>
      </c>
      <c r="CL35" s="31" t="n"/>
      <c r="CM35" s="32" t="n"/>
      <c r="CN35" s="30">
        <f>IFERROR(CL35*CM35, 0)</f>
        <v/>
      </c>
      <c r="CO35" s="31" t="n"/>
      <c r="CP35" s="32" t="n"/>
      <c r="CQ35" s="30">
        <f>IFERROR(CO35*CP35, 0)</f>
        <v/>
      </c>
      <c r="CR35" s="31" t="n"/>
      <c r="CS35" s="32" t="n"/>
      <c r="CT35" s="30">
        <f>IFERROR(CR35*CS35, 0)</f>
        <v/>
      </c>
      <c r="CU35" s="33">
        <f>IFERROR(SUM(F35,I35,L35,O35,R35,U35,X35,AA35,AD35,AG35,AJ35,AM35,AP35,AS35,AV35,AY35,BB35,BE35,BH35,BK35,BN35,BQ35,BT35,BW35,BZ35,CC35,CF35,CI35,CL35,CO35,CR35), 0)</f>
        <v/>
      </c>
      <c r="CV35" s="30">
        <f>IFERROR(AVERAGE(G35,J35,M35,P35,S35,V35,Y35,AB35,AE35,AH35,AK35,AN35,AQ35,AT35,AW35,AZ35,BC35,BF35,BI35,BL35,BO35,BR35,BU35,BX35,CA35,CD35,CG35,CJ35,CM35,CP35,CS35), 0)</f>
        <v/>
      </c>
      <c r="CW35" s="30">
        <f>CU35*CV35</f>
        <v/>
      </c>
    </row>
    <row r="36" ht="15.75" customHeight="1">
      <c r="A36" s="28" t="inlineStr">
        <is>
          <t xml:space="preserve">Papa amarilla </t>
        </is>
      </c>
      <c r="B36" s="28" t="inlineStr">
        <is>
          <t>Kg</t>
        </is>
      </c>
      <c r="C36" s="34" t="n"/>
      <c r="D36" s="32" t="n"/>
      <c r="E36" s="32" t="n"/>
      <c r="F36" s="31" t="n"/>
      <c r="G36" s="32" t="n"/>
      <c r="H36" s="30">
        <f>IFERROR(F36*G36, 0)</f>
        <v/>
      </c>
      <c r="I36" s="31" t="n">
        <v>1</v>
      </c>
      <c r="J36" s="32" t="n">
        <v>4000</v>
      </c>
      <c r="K36" s="30" t="n">
        <v>4000</v>
      </c>
      <c r="L36" s="31" t="n"/>
      <c r="M36" s="32" t="n"/>
      <c r="N36" s="30">
        <f>IFERROR(L36*M36, 0)</f>
        <v/>
      </c>
      <c r="O36" s="31" t="n"/>
      <c r="P36" s="32" t="n"/>
      <c r="Q36" s="30">
        <f>IFERROR(O36*P36, 0)</f>
        <v/>
      </c>
      <c r="R36" s="31" t="n"/>
      <c r="S36" s="32" t="n"/>
      <c r="T36" s="30">
        <f>IFERROR(R36*S36, 0)</f>
        <v/>
      </c>
      <c r="U36" s="31" t="n">
        <v>2.075</v>
      </c>
      <c r="V36" s="32" t="n">
        <v>8800</v>
      </c>
      <c r="W36" s="30" t="n">
        <v>18260</v>
      </c>
      <c r="X36" s="31" t="n"/>
      <c r="Y36" s="32" t="n"/>
      <c r="Z36" s="30">
        <f>IFERROR(X36*Y36, 0)</f>
        <v/>
      </c>
      <c r="AA36" s="31" t="n"/>
      <c r="AB36" s="32" t="n"/>
      <c r="AC36" s="30">
        <f>IFERROR(AA36*AB36, 0)</f>
        <v/>
      </c>
      <c r="AD36" s="31" t="n"/>
      <c r="AE36" s="32" t="n"/>
      <c r="AF36" s="30">
        <f>IFERROR(AD36*AE36, 0)</f>
        <v/>
      </c>
      <c r="AG36" s="31" t="n"/>
      <c r="AH36" s="32" t="n"/>
      <c r="AI36" s="30">
        <f>IFERROR(AG36*AH36, 0)</f>
        <v/>
      </c>
      <c r="AJ36" s="31" t="n"/>
      <c r="AK36" s="32" t="n"/>
      <c r="AL36" s="30">
        <f>IFERROR(AJ36*AK36, 0)</f>
        <v/>
      </c>
      <c r="AM36" s="31" t="n"/>
      <c r="AN36" s="32" t="n"/>
      <c r="AO36" s="30">
        <f>IFERROR(AM36*AN36, 0)</f>
        <v/>
      </c>
      <c r="AP36" s="31" t="n">
        <v>4.3</v>
      </c>
      <c r="AQ36" s="32" t="n">
        <v>5500</v>
      </c>
      <c r="AR36" s="30" t="n">
        <v>23650</v>
      </c>
      <c r="AS36" s="31" t="n">
        <v>8</v>
      </c>
      <c r="AT36" s="32" t="n">
        <v>5800</v>
      </c>
      <c r="AU36" s="30" t="n">
        <v>45080</v>
      </c>
      <c r="AV36" s="31" t="n"/>
      <c r="AW36" s="32" t="n"/>
      <c r="AX36" s="30">
        <f>IFERROR(AV36*AW36, 0)</f>
        <v/>
      </c>
      <c r="AY36" s="31" t="n"/>
      <c r="AZ36" s="32" t="n"/>
      <c r="BA36" s="30">
        <f>IFERROR(AY36*AZ36, 0)</f>
        <v/>
      </c>
      <c r="BB36" s="31" t="n"/>
      <c r="BC36" s="32" t="n"/>
      <c r="BD36" s="30">
        <f>IFERROR(BB36*BC36, 0)</f>
        <v/>
      </c>
      <c r="BE36" s="31" t="n"/>
      <c r="BF36" s="32" t="n"/>
      <c r="BG36" s="30">
        <f>IFERROR(BE36*BF36, 0)</f>
        <v/>
      </c>
      <c r="BH36" s="31" t="n"/>
      <c r="BI36" s="32" t="n"/>
      <c r="BJ36" s="30">
        <f>IFERROR(BH36*BI36, 0)</f>
        <v/>
      </c>
      <c r="BK36" s="31" t="n"/>
      <c r="BL36" s="32" t="n"/>
      <c r="BM36" s="30">
        <f>IFERROR(BK36*BL36, 0)</f>
        <v/>
      </c>
      <c r="BN36" s="31" t="n">
        <v>13.4</v>
      </c>
      <c r="BO36" s="32" t="n">
        <v>5500</v>
      </c>
      <c r="BP36" s="30" t="n">
        <v>74600</v>
      </c>
      <c r="BQ36" s="31" t="n"/>
      <c r="BR36" s="32" t="n"/>
      <c r="BS36" s="30">
        <f>IFERROR(BQ36*BR36, 0)</f>
        <v/>
      </c>
      <c r="BT36" s="31" t="n"/>
      <c r="BU36" s="32" t="n"/>
      <c r="BV36" s="30">
        <f>IFERROR(BT36*BU36, 0)</f>
        <v/>
      </c>
      <c r="BW36" s="31" t="n"/>
      <c r="BX36" s="32" t="n"/>
      <c r="BY36" s="30">
        <f>IFERROR(BW36*BX36, 0)</f>
        <v/>
      </c>
      <c r="BZ36" s="31" t="n"/>
      <c r="CA36" s="32" t="n"/>
      <c r="CB36" s="30">
        <f>IFERROR(BZ36*CA36, 0)</f>
        <v/>
      </c>
      <c r="CC36" s="31" t="n"/>
      <c r="CD36" s="32" t="n"/>
      <c r="CE36" s="30">
        <f>IFERROR(CC36*CD36, 0)</f>
        <v/>
      </c>
      <c r="CF36" s="31" t="n"/>
      <c r="CG36" s="32" t="n"/>
      <c r="CH36" s="30">
        <f>IFERROR(CF36*CG36, 0)</f>
        <v/>
      </c>
      <c r="CI36" s="31" t="n"/>
      <c r="CJ36" s="32" t="n"/>
      <c r="CK36" s="30">
        <f>IFERROR(CI36*CJ36, 0)</f>
        <v/>
      </c>
      <c r="CL36" s="31" t="n"/>
      <c r="CM36" s="32" t="n"/>
      <c r="CN36" s="30">
        <f>IFERROR(CL36*CM36, 0)</f>
        <v/>
      </c>
      <c r="CO36" s="31" t="n"/>
      <c r="CP36" s="32" t="n"/>
      <c r="CQ36" s="30">
        <f>IFERROR(CO36*CP36, 0)</f>
        <v/>
      </c>
      <c r="CR36" s="31" t="n"/>
      <c r="CS36" s="32" t="n"/>
      <c r="CT36" s="30">
        <f>IFERROR(CR36*CS36, 0)</f>
        <v/>
      </c>
      <c r="CU36" s="33">
        <f>IFERROR(SUM(F36,I36,L36,O36,R36,U36,X36,AA36,AD36,AG36,AJ36,AM36,AP36,AS36,AV36,AY36,BB36,BE36,BH36,BK36,BN36,BQ36,BT36,BW36,BZ36,CC36,CF36,CI36,CL36,CO36,CR36), 0)</f>
        <v/>
      </c>
      <c r="CV36" s="30">
        <f>IFERROR(AVERAGE(G36,J36,M36,P36,S36,V36,Y36,AB36,AE36,AH36,AK36,AN36,AQ36,AT36,AW36,AZ36,BC36,BF36,BI36,BL36,BO36,BR36,BU36,BX36,CA36,CD36,CG36,CJ36,CM36,CP36,CS36), 0)</f>
        <v/>
      </c>
      <c r="CW36" s="30">
        <f>CU36*CV36</f>
        <v/>
      </c>
    </row>
    <row r="37" ht="15.75" customHeight="1">
      <c r="A37" s="37" t="inlineStr">
        <is>
          <t>Papa a la francesa paq 2.5 kl</t>
        </is>
      </c>
      <c r="B37" s="38" t="inlineStr">
        <is>
          <t>Kl</t>
        </is>
      </c>
      <c r="C37" s="35" t="n"/>
      <c r="D37" s="20" t="n"/>
      <c r="E37" s="20" t="n"/>
      <c r="F37" s="31" t="n"/>
      <c r="G37" s="32" t="n"/>
      <c r="H37" s="30">
        <f>IFERROR(F37*G37, 0)</f>
        <v/>
      </c>
      <c r="I37" s="31" t="n">
        <v>8</v>
      </c>
      <c r="J37" s="32" t="n">
        <v>15546.25</v>
      </c>
      <c r="K37" s="30" t="n">
        <v>124370</v>
      </c>
      <c r="L37" s="31" t="n"/>
      <c r="M37" s="32" t="n"/>
      <c r="N37" s="30">
        <f>IFERROR(L37*M37, 0)</f>
        <v/>
      </c>
      <c r="O37" s="31" t="n">
        <v>8</v>
      </c>
      <c r="P37" s="32" t="n">
        <v>15546.25</v>
      </c>
      <c r="Q37" s="30" t="n">
        <v>124370</v>
      </c>
      <c r="R37" s="31" t="n"/>
      <c r="S37" s="32" t="n"/>
      <c r="T37" s="30">
        <f>IFERROR(R37*S37, 0)</f>
        <v/>
      </c>
      <c r="U37" s="31" t="n"/>
      <c r="V37" s="32" t="n"/>
      <c r="W37" s="30">
        <f>IFERROR(U37*V37, 0)</f>
        <v/>
      </c>
      <c r="X37" s="31" t="n">
        <v>8</v>
      </c>
      <c r="Y37" s="32" t="n">
        <v>15546.25</v>
      </c>
      <c r="Z37" s="30" t="n">
        <v>124370</v>
      </c>
      <c r="AA37" s="31" t="n"/>
      <c r="AB37" s="32" t="n"/>
      <c r="AC37" s="30">
        <f>IFERROR(AA37*AB37, 0)</f>
        <v/>
      </c>
      <c r="AD37" s="31" t="n"/>
      <c r="AE37" s="32" t="n"/>
      <c r="AF37" s="30">
        <f>IFERROR(AD37*AE37, 0)</f>
        <v/>
      </c>
      <c r="AG37" s="31" t="n">
        <v>8</v>
      </c>
      <c r="AH37" s="32" t="n">
        <v>15546.25</v>
      </c>
      <c r="AI37" s="30" t="n">
        <v>124370</v>
      </c>
      <c r="AJ37" s="31" t="n"/>
      <c r="AK37" s="32" t="n"/>
      <c r="AL37" s="30">
        <f>IFERROR(AJ37*AK37, 0)</f>
        <v/>
      </c>
      <c r="AM37" s="31" t="n"/>
      <c r="AN37" s="32" t="n"/>
      <c r="AO37" s="30">
        <f>IFERROR(AM37*AN37, 0)</f>
        <v/>
      </c>
      <c r="AP37" s="31" t="n"/>
      <c r="AQ37" s="32" t="n"/>
      <c r="AR37" s="30">
        <f>IFERROR(AP37*AQ37, 0)</f>
        <v/>
      </c>
      <c r="AS37" s="31" t="n"/>
      <c r="AT37" s="32" t="n"/>
      <c r="AU37" s="30">
        <f>IFERROR(AS37*AT37, 0)</f>
        <v/>
      </c>
      <c r="AV37" s="31" t="n">
        <v>12</v>
      </c>
      <c r="AW37" s="32" t="n">
        <v>16386.58</v>
      </c>
      <c r="AX37" s="30" t="n">
        <v>196639</v>
      </c>
      <c r="AY37" s="31" t="n"/>
      <c r="AZ37" s="32" t="n"/>
      <c r="BA37" s="30">
        <f>IFERROR(AY37*AZ37, 0)</f>
        <v/>
      </c>
      <c r="BB37" s="31" t="n">
        <v>12</v>
      </c>
      <c r="BC37" s="32" t="n">
        <v>16386.58</v>
      </c>
      <c r="BD37" s="30" t="n">
        <v>196639</v>
      </c>
      <c r="BE37" s="31" t="n"/>
      <c r="BF37" s="32" t="n"/>
      <c r="BG37" s="30">
        <f>IFERROR(BE37*BF37, 0)</f>
        <v/>
      </c>
      <c r="BH37" s="31" t="n"/>
      <c r="BI37" s="32" t="n"/>
      <c r="BJ37" s="30">
        <f>IFERROR(BH37*BI37, 0)</f>
        <v/>
      </c>
      <c r="BK37" s="31" t="n"/>
      <c r="BL37" s="32" t="n"/>
      <c r="BM37" s="30">
        <f>IFERROR(BK37*BL37, 0)</f>
        <v/>
      </c>
      <c r="BN37" s="31" t="n"/>
      <c r="BO37" s="32" t="n"/>
      <c r="BP37" s="30">
        <f>IFERROR(BN37*BO37, 0)</f>
        <v/>
      </c>
      <c r="BQ37" s="31" t="n"/>
      <c r="BR37" s="32" t="n"/>
      <c r="BS37" s="30">
        <f>IFERROR(BQ37*BR37, 0)</f>
        <v/>
      </c>
      <c r="BT37" s="31" t="n"/>
      <c r="BU37" s="32" t="n"/>
      <c r="BV37" s="30">
        <f>IFERROR(BT37*BU37, 0)</f>
        <v/>
      </c>
      <c r="BW37" s="31" t="n"/>
      <c r="BX37" s="32" t="n"/>
      <c r="BY37" s="30">
        <f>IFERROR(BW37*BX37, 0)</f>
        <v/>
      </c>
      <c r="BZ37" s="31" t="n"/>
      <c r="CA37" s="32" t="n"/>
      <c r="CB37" s="30">
        <f>IFERROR(BZ37*CA37, 0)</f>
        <v/>
      </c>
      <c r="CC37" s="31" t="n"/>
      <c r="CD37" s="32" t="n"/>
      <c r="CE37" s="30">
        <f>IFERROR(CC37*CD37, 0)</f>
        <v/>
      </c>
      <c r="CF37" s="31" t="n"/>
      <c r="CG37" s="32" t="n"/>
      <c r="CH37" s="30">
        <f>IFERROR(CF37*CG37, 0)</f>
        <v/>
      </c>
      <c r="CI37" s="31" t="n"/>
      <c r="CJ37" s="32" t="n"/>
      <c r="CK37" s="30">
        <f>IFERROR(CI37*CJ37, 0)</f>
        <v/>
      </c>
      <c r="CL37" s="31" t="n"/>
      <c r="CM37" s="32" t="n"/>
      <c r="CN37" s="30">
        <f>IFERROR(CL37*CM37, 0)</f>
        <v/>
      </c>
      <c r="CO37" s="31" t="n"/>
      <c r="CP37" s="32" t="n"/>
      <c r="CQ37" s="30">
        <f>IFERROR(CO37*CP37, 0)</f>
        <v/>
      </c>
      <c r="CR37" s="31" t="n"/>
      <c r="CS37" s="32" t="n"/>
      <c r="CT37" s="30">
        <f>IFERROR(CR37*CS37, 0)</f>
        <v/>
      </c>
      <c r="CU37" s="33">
        <f>IFERROR(SUM(F37,I37,L37,O37,R37,U37,X37,AA37,AD37,AG37,AJ37,AM37,AP37,AS37,AV37,AY37,BB37,BE37,BH37,BK37,BN37,BQ37,BT37,BW37,BZ37,CC37,CF37,CI37,CL37,CO37,CR37), 0)</f>
        <v/>
      </c>
      <c r="CV37" s="30">
        <f>IFERROR(AVERAGE(G37,J37,M37,P37,S37,V37,Y37,AB37,AE37,AH37,AK37,AN37,AQ37,AT37,AW37,AZ37,BC37,BF37,BI37,BL37,BO37,BR37,BU37,BX37,CA37,CD37,CG37,CJ37,CM37,CP37,CS37), 0)</f>
        <v/>
      </c>
      <c r="CW37" s="30">
        <f>CU37*CV37</f>
        <v/>
      </c>
    </row>
    <row r="38" ht="15.75" customHeight="1">
      <c r="A38" s="28" t="inlineStr">
        <is>
          <t xml:space="preserve">Olluco </t>
        </is>
      </c>
      <c r="B38" s="28" t="inlineStr">
        <is>
          <t>Kg</t>
        </is>
      </c>
      <c r="C38" s="34" t="n"/>
      <c r="D38" s="32" t="n"/>
      <c r="E38" s="32" t="n"/>
      <c r="F38" s="31" t="n"/>
      <c r="G38" s="32" t="n"/>
      <c r="H38" s="30">
        <f>IFERROR(F38*G38, 0)</f>
        <v/>
      </c>
      <c r="I38" s="31" t="n"/>
      <c r="J38" s="32" t="n"/>
      <c r="K38" s="30">
        <f>IFERROR(I38*J38, 0)</f>
        <v/>
      </c>
      <c r="L38" s="31" t="n"/>
      <c r="M38" s="32" t="n"/>
      <c r="N38" s="30">
        <f>IFERROR(L38*M38, 0)</f>
        <v/>
      </c>
      <c r="O38" s="31" t="n"/>
      <c r="P38" s="32" t="n"/>
      <c r="Q38" s="30">
        <f>IFERROR(O38*P38, 0)</f>
        <v/>
      </c>
      <c r="R38" s="31" t="n"/>
      <c r="S38" s="32" t="n"/>
      <c r="T38" s="30">
        <f>IFERROR(R38*S38, 0)</f>
        <v/>
      </c>
      <c r="U38" s="31" t="n"/>
      <c r="V38" s="32" t="n"/>
      <c r="W38" s="30">
        <f>IFERROR(U38*V38, 0)</f>
        <v/>
      </c>
      <c r="X38" s="31" t="n"/>
      <c r="Y38" s="32" t="n"/>
      <c r="Z38" s="30">
        <f>IFERROR(X38*Y38, 0)</f>
        <v/>
      </c>
      <c r="AA38" s="31" t="n"/>
      <c r="AB38" s="32" t="n"/>
      <c r="AC38" s="30">
        <f>IFERROR(AA38*AB38, 0)</f>
        <v/>
      </c>
      <c r="AD38" s="31" t="n"/>
      <c r="AE38" s="32" t="n"/>
      <c r="AF38" s="30">
        <f>IFERROR(AD38*AE38, 0)</f>
        <v/>
      </c>
      <c r="AG38" s="31" t="n"/>
      <c r="AH38" s="32" t="n"/>
      <c r="AI38" s="30">
        <f>IFERROR(AG38*AH38, 0)</f>
        <v/>
      </c>
      <c r="AJ38" s="31" t="n"/>
      <c r="AK38" s="32" t="n"/>
      <c r="AL38" s="30">
        <f>IFERROR(AJ38*AK38, 0)</f>
        <v/>
      </c>
      <c r="AM38" s="31" t="n"/>
      <c r="AN38" s="32" t="n"/>
      <c r="AO38" s="30">
        <f>IFERROR(AM38*AN38, 0)</f>
        <v/>
      </c>
      <c r="AP38" s="31" t="n"/>
      <c r="AQ38" s="32" t="n"/>
      <c r="AR38" s="30">
        <f>IFERROR(AP38*AQ38, 0)</f>
        <v/>
      </c>
      <c r="AS38" s="31" t="n"/>
      <c r="AT38" s="32" t="n"/>
      <c r="AU38" s="30">
        <f>IFERROR(AS38*AT38, 0)</f>
        <v/>
      </c>
      <c r="AV38" s="31" t="n"/>
      <c r="AW38" s="32" t="n"/>
      <c r="AX38" s="30">
        <f>IFERROR(AV38*AW38, 0)</f>
        <v/>
      </c>
      <c r="AY38" s="31" t="n"/>
      <c r="AZ38" s="32" t="n"/>
      <c r="BA38" s="30">
        <f>IFERROR(AY38*AZ38, 0)</f>
        <v/>
      </c>
      <c r="BB38" s="31" t="n"/>
      <c r="BC38" s="32" t="n"/>
      <c r="BD38" s="30">
        <f>IFERROR(BB38*BC38, 0)</f>
        <v/>
      </c>
      <c r="BE38" s="31" t="n"/>
      <c r="BF38" s="32" t="n"/>
      <c r="BG38" s="30">
        <f>IFERROR(BE38*BF38, 0)</f>
        <v/>
      </c>
      <c r="BH38" s="31" t="n"/>
      <c r="BI38" s="32" t="n"/>
      <c r="BJ38" s="30">
        <f>IFERROR(BH38*BI38, 0)</f>
        <v/>
      </c>
      <c r="BK38" s="31" t="n"/>
      <c r="BL38" s="32" t="n"/>
      <c r="BM38" s="30">
        <f>IFERROR(BK38*BL38, 0)</f>
        <v/>
      </c>
      <c r="BN38" s="31" t="n"/>
      <c r="BO38" s="32" t="n"/>
      <c r="BP38" s="30">
        <f>IFERROR(BN38*BO38, 0)</f>
        <v/>
      </c>
      <c r="BQ38" s="31" t="n"/>
      <c r="BR38" s="32" t="n"/>
      <c r="BS38" s="30">
        <f>IFERROR(BQ38*BR38, 0)</f>
        <v/>
      </c>
      <c r="BT38" s="31" t="n"/>
      <c r="BU38" s="32" t="n"/>
      <c r="BV38" s="30">
        <f>IFERROR(BT38*BU38, 0)</f>
        <v/>
      </c>
      <c r="BW38" s="31" t="n"/>
      <c r="BX38" s="32" t="n"/>
      <c r="BY38" s="30">
        <f>IFERROR(BW38*BX38, 0)</f>
        <v/>
      </c>
      <c r="BZ38" s="31" t="n"/>
      <c r="CA38" s="32" t="n"/>
      <c r="CB38" s="30">
        <f>IFERROR(BZ38*CA38, 0)</f>
        <v/>
      </c>
      <c r="CC38" s="31" t="n"/>
      <c r="CD38" s="32" t="n"/>
      <c r="CE38" s="30">
        <f>IFERROR(CC38*CD38, 0)</f>
        <v/>
      </c>
      <c r="CF38" s="31" t="n"/>
      <c r="CG38" s="32" t="n"/>
      <c r="CH38" s="30">
        <f>IFERROR(CF38*CG38, 0)</f>
        <v/>
      </c>
      <c r="CI38" s="31" t="n"/>
      <c r="CJ38" s="32" t="n"/>
      <c r="CK38" s="30">
        <f>IFERROR(CI38*CJ38, 0)</f>
        <v/>
      </c>
      <c r="CL38" s="31" t="n"/>
      <c r="CM38" s="32" t="n"/>
      <c r="CN38" s="30">
        <f>IFERROR(CL38*CM38, 0)</f>
        <v/>
      </c>
      <c r="CO38" s="31" t="n"/>
      <c r="CP38" s="32" t="n"/>
      <c r="CQ38" s="30">
        <f>IFERROR(CO38*CP38, 0)</f>
        <v/>
      </c>
      <c r="CR38" s="31" t="n"/>
      <c r="CS38" s="32" t="n"/>
      <c r="CT38" s="30">
        <f>IFERROR(CR38*CS38, 0)</f>
        <v/>
      </c>
      <c r="CU38" s="33">
        <f>IFERROR(SUM(F38,I38,L38,O38,R38,U38,X38,AA38,AD38,AG38,AJ38,AM38,AP38,AS38,AV38,AY38,BB38,BE38,BH38,BK38,BN38,BQ38,BT38,BW38,BZ38,CC38,CF38,CI38,CL38,CO38,CR38), 0)</f>
        <v/>
      </c>
      <c r="CV38" s="30">
        <f>IFERROR(AVERAGE(G38,J38,M38,P38,S38,V38,Y38,AB38,AE38,AH38,AK38,AN38,AQ38,AT38,AW38,AZ38,BC38,BF38,BI38,BL38,BO38,BR38,BU38,BX38,CA38,CD38,CG38,CJ38,CM38,CP38,CS38), 0)</f>
        <v/>
      </c>
      <c r="CW38" s="30">
        <f>CU38*CV38</f>
        <v/>
      </c>
    </row>
    <row r="39" ht="15.75" customHeight="1">
      <c r="A39" s="28" t="inlineStr">
        <is>
          <t>Melon</t>
        </is>
      </c>
      <c r="B39" s="28" t="inlineStr">
        <is>
          <t>Kg</t>
        </is>
      </c>
      <c r="C39" s="34" t="n"/>
      <c r="D39" s="32" t="n"/>
      <c r="E39" s="32" t="n"/>
      <c r="F39" s="31" t="n"/>
      <c r="G39" s="32" t="n"/>
      <c r="H39" s="30">
        <f>IFERROR(F39*G39, 0)</f>
        <v/>
      </c>
      <c r="I39" s="31" t="n"/>
      <c r="J39" s="32" t="n"/>
      <c r="K39" s="30">
        <f>IFERROR(I39*J39, 0)</f>
        <v/>
      </c>
      <c r="L39" s="31" t="n"/>
      <c r="M39" s="32" t="n"/>
      <c r="N39" s="30">
        <f>IFERROR(L39*M39, 0)</f>
        <v/>
      </c>
      <c r="O39" s="31" t="n"/>
      <c r="P39" s="32" t="n"/>
      <c r="Q39" s="30">
        <f>IFERROR(O39*P39, 0)</f>
        <v/>
      </c>
      <c r="R39" s="31" t="n"/>
      <c r="S39" s="32" t="n"/>
      <c r="T39" s="30">
        <f>IFERROR(R39*S39, 0)</f>
        <v/>
      </c>
      <c r="U39" s="31" t="n"/>
      <c r="V39" s="32" t="n"/>
      <c r="W39" s="30">
        <f>IFERROR(U39*V39, 0)</f>
        <v/>
      </c>
      <c r="X39" s="31" t="n"/>
      <c r="Y39" s="32" t="n"/>
      <c r="Z39" s="30">
        <f>IFERROR(X39*Y39, 0)</f>
        <v/>
      </c>
      <c r="AA39" s="31" t="n"/>
      <c r="AB39" s="32" t="n"/>
      <c r="AC39" s="30">
        <f>IFERROR(AA39*AB39, 0)</f>
        <v/>
      </c>
      <c r="AD39" s="31" t="n"/>
      <c r="AE39" s="32" t="n"/>
      <c r="AF39" s="30">
        <f>IFERROR(AD39*AE39, 0)</f>
        <v/>
      </c>
      <c r="AG39" s="31" t="n"/>
      <c r="AH39" s="32" t="n"/>
      <c r="AI39" s="30">
        <f>IFERROR(AG39*AH39, 0)</f>
        <v/>
      </c>
      <c r="AJ39" s="31" t="n"/>
      <c r="AK39" s="32" t="n"/>
      <c r="AL39" s="30">
        <f>IFERROR(AJ39*AK39, 0)</f>
        <v/>
      </c>
      <c r="AM39" s="31" t="n"/>
      <c r="AN39" s="32" t="n"/>
      <c r="AO39" s="30">
        <f>IFERROR(AM39*AN39, 0)</f>
        <v/>
      </c>
      <c r="AP39" s="31" t="n"/>
      <c r="AQ39" s="32" t="n"/>
      <c r="AR39" s="30">
        <f>IFERROR(AP39*AQ39, 0)</f>
        <v/>
      </c>
      <c r="AS39" s="31" t="n"/>
      <c r="AT39" s="32" t="n"/>
      <c r="AU39" s="30">
        <f>IFERROR(AS39*AT39, 0)</f>
        <v/>
      </c>
      <c r="AV39" s="31" t="n"/>
      <c r="AW39" s="32" t="n"/>
      <c r="AX39" s="30">
        <f>IFERROR(AV39*AW39, 0)</f>
        <v/>
      </c>
      <c r="AY39" s="31" t="n"/>
      <c r="AZ39" s="32" t="n"/>
      <c r="BA39" s="30">
        <f>IFERROR(AY39*AZ39, 0)</f>
        <v/>
      </c>
      <c r="BB39" s="31" t="n"/>
      <c r="BC39" s="32" t="n"/>
      <c r="BD39" s="30">
        <f>IFERROR(BB39*BC39, 0)</f>
        <v/>
      </c>
      <c r="BE39" s="31" t="n"/>
      <c r="BF39" s="32" t="n"/>
      <c r="BG39" s="30">
        <f>IFERROR(BE39*BF39, 0)</f>
        <v/>
      </c>
      <c r="BH39" s="31" t="n"/>
      <c r="BI39" s="32" t="n"/>
      <c r="BJ39" s="30">
        <f>IFERROR(BH39*BI39, 0)</f>
        <v/>
      </c>
      <c r="BK39" s="31" t="n"/>
      <c r="BL39" s="32" t="n"/>
      <c r="BM39" s="30">
        <f>IFERROR(BK39*BL39, 0)</f>
        <v/>
      </c>
      <c r="BN39" s="31" t="n"/>
      <c r="BO39" s="32" t="n"/>
      <c r="BP39" s="30">
        <f>IFERROR(BN39*BO39, 0)</f>
        <v/>
      </c>
      <c r="BQ39" s="31" t="n"/>
      <c r="BR39" s="32" t="n"/>
      <c r="BS39" s="30">
        <f>IFERROR(BQ39*BR39, 0)</f>
        <v/>
      </c>
      <c r="BT39" s="31" t="n"/>
      <c r="BU39" s="32" t="n"/>
      <c r="BV39" s="30">
        <f>IFERROR(BT39*BU39, 0)</f>
        <v/>
      </c>
      <c r="BW39" s="31" t="n"/>
      <c r="BX39" s="32" t="n"/>
      <c r="BY39" s="30">
        <f>IFERROR(BW39*BX39, 0)</f>
        <v/>
      </c>
      <c r="BZ39" s="31" t="n"/>
      <c r="CA39" s="32" t="n"/>
      <c r="CB39" s="30">
        <f>IFERROR(BZ39*CA39, 0)</f>
        <v/>
      </c>
      <c r="CC39" s="31" t="n"/>
      <c r="CD39" s="32" t="n"/>
      <c r="CE39" s="30">
        <f>IFERROR(CC39*CD39, 0)</f>
        <v/>
      </c>
      <c r="CF39" s="31" t="n"/>
      <c r="CG39" s="32" t="n"/>
      <c r="CH39" s="30">
        <f>IFERROR(CF39*CG39, 0)</f>
        <v/>
      </c>
      <c r="CI39" s="31" t="n"/>
      <c r="CJ39" s="32" t="n"/>
      <c r="CK39" s="30">
        <f>IFERROR(CI39*CJ39, 0)</f>
        <v/>
      </c>
      <c r="CL39" s="31" t="n"/>
      <c r="CM39" s="32" t="n"/>
      <c r="CN39" s="30">
        <f>IFERROR(CL39*CM39, 0)</f>
        <v/>
      </c>
      <c r="CO39" s="31" t="n"/>
      <c r="CP39" s="32" t="n"/>
      <c r="CQ39" s="30">
        <f>IFERROR(CO39*CP39, 0)</f>
        <v/>
      </c>
      <c r="CR39" s="31" t="n"/>
      <c r="CS39" s="32" t="n"/>
      <c r="CT39" s="30">
        <f>IFERROR(CR39*CS39, 0)</f>
        <v/>
      </c>
      <c r="CU39" s="33">
        <f>IFERROR(SUM(F39,I39,L39,O39,R39,U39,X39,AA39,AD39,AG39,AJ39,AM39,AP39,AS39,AV39,AY39,BB39,BE39,BH39,BK39,BN39,BQ39,BT39,BW39,BZ39,CC39,CF39,CI39,CL39,CO39,CR39), 0)</f>
        <v/>
      </c>
      <c r="CV39" s="30">
        <f>IFERROR(AVERAGE(G39,J39,M39,P39,S39,V39,Y39,AB39,AE39,AH39,AK39,AN39,AQ39,AT39,AW39,AZ39,BC39,BF39,BI39,BL39,BO39,BR39,BU39,BX39,CA39,CD39,CG39,CJ39,CM39,CP39,CS39), 0)</f>
        <v/>
      </c>
      <c r="CW39" s="30">
        <f>CU39*CV39</f>
        <v/>
      </c>
    </row>
    <row r="40" ht="15.75" customHeight="1">
      <c r="A40" s="28" t="inlineStr">
        <is>
          <t>Mazorca Bulto</t>
        </is>
      </c>
      <c r="B40" s="28" t="inlineStr">
        <is>
          <t>Kg</t>
        </is>
      </c>
      <c r="C40" s="35" t="n"/>
      <c r="D40" s="35" t="n"/>
      <c r="E40" s="35" t="n"/>
      <c r="F40" s="31" t="n"/>
      <c r="G40" s="32" t="n"/>
      <c r="H40" s="30">
        <f>IFERROR(F40*G40, 0)</f>
        <v/>
      </c>
      <c r="I40" s="31" t="n"/>
      <c r="J40" s="32" t="n"/>
      <c r="K40" s="30">
        <f>IFERROR(I40*J40, 0)</f>
        <v/>
      </c>
      <c r="L40" s="31" t="n"/>
      <c r="M40" s="32" t="n"/>
      <c r="N40" s="30">
        <f>IFERROR(L40*M40, 0)</f>
        <v/>
      </c>
      <c r="O40" s="31" t="n"/>
      <c r="P40" s="32" t="n"/>
      <c r="Q40" s="30">
        <f>IFERROR(O40*P40, 0)</f>
        <v/>
      </c>
      <c r="R40" s="31" t="n"/>
      <c r="S40" s="32" t="n"/>
      <c r="T40" s="30">
        <f>IFERROR(R40*S40, 0)</f>
        <v/>
      </c>
      <c r="U40" s="31" t="n"/>
      <c r="V40" s="32" t="n"/>
      <c r="W40" s="30">
        <f>IFERROR(U40*V40, 0)</f>
        <v/>
      </c>
      <c r="X40" s="31" t="n"/>
      <c r="Y40" s="32" t="n"/>
      <c r="Z40" s="30">
        <f>IFERROR(X40*Y40, 0)</f>
        <v/>
      </c>
      <c r="AA40" s="31" t="n"/>
      <c r="AB40" s="32" t="n"/>
      <c r="AC40" s="30">
        <f>IFERROR(AA40*AB40, 0)</f>
        <v/>
      </c>
      <c r="AD40" s="31" t="n"/>
      <c r="AE40" s="32" t="n"/>
      <c r="AF40" s="30">
        <f>IFERROR(AD40*AE40, 0)</f>
        <v/>
      </c>
      <c r="AG40" s="31" t="n"/>
      <c r="AH40" s="32" t="n"/>
      <c r="AI40" s="30">
        <f>IFERROR(AG40*AH40, 0)</f>
        <v/>
      </c>
      <c r="AJ40" s="31" t="n"/>
      <c r="AK40" s="32" t="n"/>
      <c r="AL40" s="30">
        <f>IFERROR(AJ40*AK40, 0)</f>
        <v/>
      </c>
      <c r="AM40" s="31" t="n"/>
      <c r="AN40" s="32" t="n"/>
      <c r="AO40" s="30">
        <f>IFERROR(AM40*AN40, 0)</f>
        <v/>
      </c>
      <c r="AP40" s="31" t="n"/>
      <c r="AQ40" s="32" t="n"/>
      <c r="AR40" s="30">
        <f>IFERROR(AP40*AQ40, 0)</f>
        <v/>
      </c>
      <c r="AS40" s="31" t="n"/>
      <c r="AT40" s="32" t="n"/>
      <c r="AU40" s="30">
        <f>IFERROR(AS40*AT40, 0)</f>
        <v/>
      </c>
      <c r="AV40" s="31" t="n"/>
      <c r="AW40" s="32" t="n"/>
      <c r="AX40" s="30">
        <f>IFERROR(AV40*AW40, 0)</f>
        <v/>
      </c>
      <c r="AY40" s="31" t="n"/>
      <c r="AZ40" s="32" t="n"/>
      <c r="BA40" s="30">
        <f>IFERROR(AY40*AZ40, 0)</f>
        <v/>
      </c>
      <c r="BB40" s="31" t="n"/>
      <c r="BC40" s="32" t="n"/>
      <c r="BD40" s="30">
        <f>IFERROR(BB40*BC40, 0)</f>
        <v/>
      </c>
      <c r="BE40" s="31" t="n"/>
      <c r="BF40" s="32" t="n"/>
      <c r="BG40" s="30">
        <f>IFERROR(BE40*BF40, 0)</f>
        <v/>
      </c>
      <c r="BH40" s="31" t="n"/>
      <c r="BI40" s="32" t="n"/>
      <c r="BJ40" s="30">
        <f>IFERROR(BH40*BI40, 0)</f>
        <v/>
      </c>
      <c r="BK40" s="31" t="n"/>
      <c r="BL40" s="32" t="n"/>
      <c r="BM40" s="30">
        <f>IFERROR(BK40*BL40, 0)</f>
        <v/>
      </c>
      <c r="BN40" s="31" t="n"/>
      <c r="BO40" s="32" t="n"/>
      <c r="BP40" s="30">
        <f>IFERROR(BN40*BO40, 0)</f>
        <v/>
      </c>
      <c r="BQ40" s="31" t="n"/>
      <c r="BR40" s="32" t="n"/>
      <c r="BS40" s="30">
        <f>IFERROR(BQ40*BR40, 0)</f>
        <v/>
      </c>
      <c r="BT40" s="31" t="n"/>
      <c r="BU40" s="32" t="n"/>
      <c r="BV40" s="30">
        <f>IFERROR(BT40*BU40, 0)</f>
        <v/>
      </c>
      <c r="BW40" s="31" t="n"/>
      <c r="BX40" s="32" t="n"/>
      <c r="BY40" s="30">
        <f>IFERROR(BW40*BX40, 0)</f>
        <v/>
      </c>
      <c r="BZ40" s="31" t="n"/>
      <c r="CA40" s="32" t="n"/>
      <c r="CB40" s="30">
        <f>IFERROR(BZ40*CA40, 0)</f>
        <v/>
      </c>
      <c r="CC40" s="31" t="n"/>
      <c r="CD40" s="32" t="n"/>
      <c r="CE40" s="30">
        <f>IFERROR(CC40*CD40, 0)</f>
        <v/>
      </c>
      <c r="CF40" s="31" t="n"/>
      <c r="CG40" s="32" t="n"/>
      <c r="CH40" s="30">
        <f>IFERROR(CF40*CG40, 0)</f>
        <v/>
      </c>
      <c r="CI40" s="31" t="n"/>
      <c r="CJ40" s="32" t="n"/>
      <c r="CK40" s="30">
        <f>IFERROR(CI40*CJ40, 0)</f>
        <v/>
      </c>
      <c r="CL40" s="31" t="n"/>
      <c r="CM40" s="32" t="n"/>
      <c r="CN40" s="30">
        <f>IFERROR(CL40*CM40, 0)</f>
        <v/>
      </c>
      <c r="CO40" s="31" t="n"/>
      <c r="CP40" s="32" t="n"/>
      <c r="CQ40" s="30">
        <f>IFERROR(CO40*CP40, 0)</f>
        <v/>
      </c>
      <c r="CR40" s="31" t="n"/>
      <c r="CS40" s="32" t="n"/>
      <c r="CT40" s="30">
        <f>IFERROR(CR40*CS40, 0)</f>
        <v/>
      </c>
      <c r="CU40" s="33">
        <f>IFERROR(SUM(F40,I40,L40,O40,R40,U40,X40,AA40,AD40,AG40,AJ40,AM40,AP40,AS40,AV40,AY40,BB40,BE40,BH40,BK40,BN40,BQ40,BT40,BW40,BZ40,CC40,CF40,CI40,CL40,CO40,CR40), 0)</f>
        <v/>
      </c>
      <c r="CV40" s="30">
        <f>IFERROR(AVERAGE(G40,J40,M40,P40,S40,V40,Y40,AB40,AE40,AH40,AK40,AN40,AQ40,AT40,AW40,AZ40,BC40,BF40,BI40,BL40,BO40,BR40,BU40,BX40,CA40,CD40,CG40,CJ40,CM40,CP40,CS40), 0)</f>
        <v/>
      </c>
      <c r="CW40" s="30">
        <f>CU40*CV40</f>
        <v/>
      </c>
    </row>
    <row r="41" ht="15.75" customHeight="1">
      <c r="A41" s="28" t="inlineStr">
        <is>
          <t>Mazorca</t>
        </is>
      </c>
      <c r="B41" s="28" t="inlineStr">
        <is>
          <t>Bulto</t>
        </is>
      </c>
      <c r="C41" s="29" t="n"/>
      <c r="D41" s="30" t="n"/>
      <c r="E41" s="30" t="n"/>
      <c r="F41" s="31" t="n">
        <v>1</v>
      </c>
      <c r="G41" s="32" t="n">
        <v>15000</v>
      </c>
      <c r="H41" s="30" t="n">
        <v>15000</v>
      </c>
      <c r="I41" s="31" t="n"/>
      <c r="J41" s="32" t="n"/>
      <c r="K41" s="30">
        <f>IFERROR(I41*J41, 0)</f>
        <v/>
      </c>
      <c r="L41" s="31" t="n"/>
      <c r="M41" s="32" t="n"/>
      <c r="N41" s="30">
        <f>IFERROR(L41*M41, 0)</f>
        <v/>
      </c>
      <c r="O41" s="31" t="n"/>
      <c r="P41" s="32" t="n"/>
      <c r="Q41" s="30">
        <f>IFERROR(O41*P41, 0)</f>
        <v/>
      </c>
      <c r="R41" s="31" t="n"/>
      <c r="S41" s="32" t="n"/>
      <c r="T41" s="30">
        <f>IFERROR(R41*S41, 0)</f>
        <v/>
      </c>
      <c r="U41" s="31" t="n"/>
      <c r="V41" s="32" t="n"/>
      <c r="W41" s="30">
        <f>IFERROR(U41*V41, 0)</f>
        <v/>
      </c>
      <c r="X41" s="31" t="n"/>
      <c r="Y41" s="32" t="n"/>
      <c r="Z41" s="30">
        <f>IFERROR(X41*Y41, 0)</f>
        <v/>
      </c>
      <c r="AA41" s="31" t="n"/>
      <c r="AB41" s="32" t="n"/>
      <c r="AC41" s="30">
        <f>IFERROR(AA41*AB41, 0)</f>
        <v/>
      </c>
      <c r="AD41" s="31" t="n"/>
      <c r="AE41" s="32" t="n"/>
      <c r="AF41" s="30">
        <f>IFERROR(AD41*AE41, 0)</f>
        <v/>
      </c>
      <c r="AG41" s="31" t="n"/>
      <c r="AH41" s="32" t="n"/>
      <c r="AI41" s="30">
        <f>IFERROR(AG41*AH41, 0)</f>
        <v/>
      </c>
      <c r="AJ41" s="31" t="n"/>
      <c r="AK41" s="32" t="n"/>
      <c r="AL41" s="30">
        <f>IFERROR(AJ41*AK41, 0)</f>
        <v/>
      </c>
      <c r="AM41" s="31" t="n"/>
      <c r="AN41" s="32" t="n"/>
      <c r="AO41" s="30">
        <f>IFERROR(AM41*AN41, 0)</f>
        <v/>
      </c>
      <c r="AP41" s="31" t="n">
        <v>30</v>
      </c>
      <c r="AQ41" s="32" t="n">
        <v>1000</v>
      </c>
      <c r="AR41" s="30" t="n">
        <v>30000</v>
      </c>
      <c r="AS41" s="31" t="n">
        <v>30</v>
      </c>
      <c r="AT41" s="32" t="n">
        <v>1000</v>
      </c>
      <c r="AU41" s="30" t="n">
        <v>30000</v>
      </c>
      <c r="AV41" s="31" t="n"/>
      <c r="AW41" s="32" t="n"/>
      <c r="AX41" s="30">
        <f>IFERROR(AV41*AW41, 0)</f>
        <v/>
      </c>
      <c r="AY41" s="31" t="n"/>
      <c r="AZ41" s="32" t="n"/>
      <c r="BA41" s="30">
        <f>IFERROR(AY41*AZ41, 0)</f>
        <v/>
      </c>
      <c r="BB41" s="31" t="n"/>
      <c r="BC41" s="32" t="n"/>
      <c r="BD41" s="30">
        <f>IFERROR(BB41*BC41, 0)</f>
        <v/>
      </c>
      <c r="BE41" s="31" t="n"/>
      <c r="BF41" s="32" t="n"/>
      <c r="BG41" s="30">
        <f>IFERROR(BE41*BF41, 0)</f>
        <v/>
      </c>
      <c r="BH41" s="31" t="n"/>
      <c r="BI41" s="32" t="n"/>
      <c r="BJ41" s="30">
        <f>IFERROR(BH41*BI41, 0)</f>
        <v/>
      </c>
      <c r="BK41" s="31" t="n"/>
      <c r="BL41" s="32" t="n"/>
      <c r="BM41" s="30">
        <f>IFERROR(BK41*BL41, 0)</f>
        <v/>
      </c>
      <c r="BN41" s="31" t="n">
        <v>30</v>
      </c>
      <c r="BO41" s="32" t="n">
        <v>1000</v>
      </c>
      <c r="BP41" s="30" t="n">
        <v>30000</v>
      </c>
      <c r="BQ41" s="31" t="n"/>
      <c r="BR41" s="32" t="n"/>
      <c r="BS41" s="30">
        <f>IFERROR(BQ41*BR41, 0)</f>
        <v/>
      </c>
      <c r="BT41" s="31" t="n"/>
      <c r="BU41" s="32" t="n"/>
      <c r="BV41" s="30">
        <f>IFERROR(BT41*BU41, 0)</f>
        <v/>
      </c>
      <c r="BW41" s="31" t="n"/>
      <c r="BX41" s="32" t="n"/>
      <c r="BY41" s="30">
        <f>IFERROR(BW41*BX41, 0)</f>
        <v/>
      </c>
      <c r="BZ41" s="31" t="n"/>
      <c r="CA41" s="32" t="n"/>
      <c r="CB41" s="30">
        <f>IFERROR(BZ41*CA41, 0)</f>
        <v/>
      </c>
      <c r="CC41" s="31" t="n"/>
      <c r="CD41" s="32" t="n"/>
      <c r="CE41" s="30">
        <f>IFERROR(CC41*CD41, 0)</f>
        <v/>
      </c>
      <c r="CF41" s="31" t="n"/>
      <c r="CG41" s="32" t="n"/>
      <c r="CH41" s="30">
        <f>IFERROR(CF41*CG41, 0)</f>
        <v/>
      </c>
      <c r="CI41" s="31" t="n"/>
      <c r="CJ41" s="32" t="n"/>
      <c r="CK41" s="30">
        <f>IFERROR(CI41*CJ41, 0)</f>
        <v/>
      </c>
      <c r="CL41" s="31" t="n"/>
      <c r="CM41" s="32" t="n"/>
      <c r="CN41" s="30">
        <f>IFERROR(CL41*CM41, 0)</f>
        <v/>
      </c>
      <c r="CO41" s="31" t="n"/>
      <c r="CP41" s="32" t="n"/>
      <c r="CQ41" s="30">
        <f>IFERROR(CO41*CP41, 0)</f>
        <v/>
      </c>
      <c r="CR41" s="31" t="n"/>
      <c r="CS41" s="32" t="n"/>
      <c r="CT41" s="30">
        <f>IFERROR(CR41*CS41, 0)</f>
        <v/>
      </c>
      <c r="CU41" s="33">
        <f>IFERROR(SUM(F41,I41,L41,O41,R41,U41,X41,AA41,AD41,AG41,AJ41,AM41,AP41,AS41,AV41,AY41,BB41,BE41,BH41,BK41,BN41,BQ41,BT41,BW41,BZ41,CC41,CF41,CI41,CL41,CO41,CR41), 0)</f>
        <v/>
      </c>
      <c r="CV41" s="30">
        <f>IFERROR(AVERAGE(G41,J41,M41,P41,S41,V41,Y41,AB41,AE41,AH41,AK41,AN41,AQ41,AT41,AW41,AZ41,BC41,BF41,BI41,BL41,BO41,BR41,BU41,BX41,CA41,CD41,CG41,CJ41,CM41,CP41,CS41), 0)</f>
        <v/>
      </c>
      <c r="CW41" s="30">
        <f>CU41*CV41</f>
        <v/>
      </c>
    </row>
    <row r="42" ht="15.75" customHeight="1">
      <c r="A42" s="28" t="inlineStr">
        <is>
          <t xml:space="preserve">Maza de tamal </t>
        </is>
      </c>
      <c r="B42" s="28" t="inlineStr">
        <is>
          <t>Kg</t>
        </is>
      </c>
      <c r="C42" s="34" t="n"/>
      <c r="D42" s="32" t="n"/>
      <c r="E42" s="32" t="n"/>
      <c r="F42" s="31" t="n"/>
      <c r="G42" s="32" t="n"/>
      <c r="H42" s="30">
        <f>IFERROR(F42*G42, 0)</f>
        <v/>
      </c>
      <c r="I42" s="31" t="n"/>
      <c r="J42" s="32" t="n"/>
      <c r="K42" s="30">
        <f>IFERROR(I42*J42, 0)</f>
        <v/>
      </c>
      <c r="L42" s="31" t="n"/>
      <c r="M42" s="32" t="n"/>
      <c r="N42" s="30">
        <f>IFERROR(L42*M42, 0)</f>
        <v/>
      </c>
      <c r="O42" s="31" t="n"/>
      <c r="P42" s="32" t="n"/>
      <c r="Q42" s="30">
        <f>IFERROR(O42*P42, 0)</f>
        <v/>
      </c>
      <c r="R42" s="31" t="n"/>
      <c r="S42" s="32" t="n"/>
      <c r="T42" s="30">
        <f>IFERROR(R42*S42, 0)</f>
        <v/>
      </c>
      <c r="U42" s="31" t="n"/>
      <c r="V42" s="32" t="n"/>
      <c r="W42" s="30">
        <f>IFERROR(U42*V42, 0)</f>
        <v/>
      </c>
      <c r="X42" s="31" t="n"/>
      <c r="Y42" s="32" t="n"/>
      <c r="Z42" s="30">
        <f>IFERROR(X42*Y42, 0)</f>
        <v/>
      </c>
      <c r="AA42" s="31" t="n"/>
      <c r="AB42" s="32" t="n"/>
      <c r="AC42" s="30">
        <f>IFERROR(AA42*AB42, 0)</f>
        <v/>
      </c>
      <c r="AD42" s="31" t="n"/>
      <c r="AE42" s="32" t="n"/>
      <c r="AF42" s="30">
        <f>IFERROR(AD42*AE42, 0)</f>
        <v/>
      </c>
      <c r="AG42" s="31" t="n"/>
      <c r="AH42" s="32" t="n"/>
      <c r="AI42" s="30">
        <f>IFERROR(AG42*AH42, 0)</f>
        <v/>
      </c>
      <c r="AJ42" s="31" t="n"/>
      <c r="AK42" s="32" t="n"/>
      <c r="AL42" s="30">
        <f>IFERROR(AJ42*AK42, 0)</f>
        <v/>
      </c>
      <c r="AM42" s="31" t="n"/>
      <c r="AN42" s="32" t="n"/>
      <c r="AO42" s="30">
        <f>IFERROR(AM42*AN42, 0)</f>
        <v/>
      </c>
      <c r="AP42" s="31" t="n"/>
      <c r="AQ42" s="32" t="n"/>
      <c r="AR42" s="30">
        <f>IFERROR(AP42*AQ42, 0)</f>
        <v/>
      </c>
      <c r="AS42" s="31" t="n"/>
      <c r="AT42" s="32" t="n"/>
      <c r="AU42" s="30">
        <f>IFERROR(AS42*AT42, 0)</f>
        <v/>
      </c>
      <c r="AV42" s="31" t="n"/>
      <c r="AW42" s="32" t="n"/>
      <c r="AX42" s="30">
        <f>IFERROR(AV42*AW42, 0)</f>
        <v/>
      </c>
      <c r="AY42" s="31" t="n"/>
      <c r="AZ42" s="32" t="n"/>
      <c r="BA42" s="30">
        <f>IFERROR(AY42*AZ42, 0)</f>
        <v/>
      </c>
      <c r="BB42" s="31" t="n"/>
      <c r="BC42" s="32" t="n"/>
      <c r="BD42" s="30">
        <f>IFERROR(BB42*BC42, 0)</f>
        <v/>
      </c>
      <c r="BE42" s="31" t="n"/>
      <c r="BF42" s="32" t="n"/>
      <c r="BG42" s="30">
        <f>IFERROR(BE42*BF42, 0)</f>
        <v/>
      </c>
      <c r="BH42" s="31" t="n"/>
      <c r="BI42" s="32" t="n"/>
      <c r="BJ42" s="30">
        <f>IFERROR(BH42*BI42, 0)</f>
        <v/>
      </c>
      <c r="BK42" s="31" t="n"/>
      <c r="BL42" s="32" t="n"/>
      <c r="BM42" s="30">
        <f>IFERROR(BK42*BL42, 0)</f>
        <v/>
      </c>
      <c r="BN42" s="31" t="n"/>
      <c r="BO42" s="32" t="n"/>
      <c r="BP42" s="30">
        <f>IFERROR(BN42*BO42, 0)</f>
        <v/>
      </c>
      <c r="BQ42" s="31" t="n"/>
      <c r="BR42" s="32" t="n"/>
      <c r="BS42" s="30">
        <f>IFERROR(BQ42*BR42, 0)</f>
        <v/>
      </c>
      <c r="BT42" s="31" t="n"/>
      <c r="BU42" s="32" t="n"/>
      <c r="BV42" s="30">
        <f>IFERROR(BT42*BU42, 0)</f>
        <v/>
      </c>
      <c r="BW42" s="31" t="n"/>
      <c r="BX42" s="32" t="n"/>
      <c r="BY42" s="30">
        <f>IFERROR(BW42*BX42, 0)</f>
        <v/>
      </c>
      <c r="BZ42" s="31" t="n"/>
      <c r="CA42" s="32" t="n"/>
      <c r="CB42" s="30">
        <f>IFERROR(BZ42*CA42, 0)</f>
        <v/>
      </c>
      <c r="CC42" s="31" t="n"/>
      <c r="CD42" s="32" t="n"/>
      <c r="CE42" s="30">
        <f>IFERROR(CC42*CD42, 0)</f>
        <v/>
      </c>
      <c r="CF42" s="31" t="n"/>
      <c r="CG42" s="32" t="n"/>
      <c r="CH42" s="30">
        <f>IFERROR(CF42*CG42, 0)</f>
        <v/>
      </c>
      <c r="CI42" s="31" t="n"/>
      <c r="CJ42" s="32" t="n"/>
      <c r="CK42" s="30">
        <f>IFERROR(CI42*CJ42, 0)</f>
        <v/>
      </c>
      <c r="CL42" s="31" t="n"/>
      <c r="CM42" s="32" t="n"/>
      <c r="CN42" s="30">
        <f>IFERROR(CL42*CM42, 0)</f>
        <v/>
      </c>
      <c r="CO42" s="31" t="n"/>
      <c r="CP42" s="32" t="n"/>
      <c r="CQ42" s="30">
        <f>IFERROR(CO42*CP42, 0)</f>
        <v/>
      </c>
      <c r="CR42" s="31" t="n"/>
      <c r="CS42" s="32" t="n"/>
      <c r="CT42" s="30">
        <f>IFERROR(CR42*CS42, 0)</f>
        <v/>
      </c>
      <c r="CU42" s="33">
        <f>IFERROR(SUM(F42,I42,L42,O42,R42,U42,X42,AA42,AD42,AG42,AJ42,AM42,AP42,AS42,AV42,AY42,BB42,BE42,BH42,BK42,BN42,BQ42,BT42,BW42,BZ42,CC42,CF42,CI42,CL42,CO42,CR42), 0)</f>
        <v/>
      </c>
      <c r="CV42" s="30">
        <f>IFERROR(AVERAGE(G42,J42,M42,P42,S42,V42,Y42,AB42,AE42,AH42,AK42,AN42,AQ42,AT42,AW42,AZ42,BC42,BF42,BI42,BL42,BO42,BR42,BU42,BX42,CA42,CD42,CG42,CJ42,CM42,CP42,CS42), 0)</f>
        <v/>
      </c>
      <c r="CW42" s="30">
        <f>CU42*CV42</f>
        <v/>
      </c>
    </row>
    <row r="43" ht="15.75" customHeight="1">
      <c r="A43" s="28" t="inlineStr">
        <is>
          <t>Manzana</t>
        </is>
      </c>
      <c r="B43" s="28" t="inlineStr">
        <is>
          <t>Kg</t>
        </is>
      </c>
      <c r="C43" s="34" t="n"/>
      <c r="D43" s="32" t="n"/>
      <c r="E43" s="32" t="n"/>
      <c r="F43" s="31" t="n"/>
      <c r="G43" s="32" t="n"/>
      <c r="H43" s="30">
        <f>IFERROR(F43*G43, 0)</f>
        <v/>
      </c>
      <c r="I43" s="31" t="n"/>
      <c r="J43" s="32" t="n"/>
      <c r="K43" s="30">
        <f>IFERROR(I43*J43, 0)</f>
        <v/>
      </c>
      <c r="L43" s="31" t="n"/>
      <c r="M43" s="32" t="n"/>
      <c r="N43" s="30">
        <f>IFERROR(L43*M43, 0)</f>
        <v/>
      </c>
      <c r="O43" s="31" t="n"/>
      <c r="P43" s="32" t="n"/>
      <c r="Q43" s="30">
        <f>IFERROR(O43*P43, 0)</f>
        <v/>
      </c>
      <c r="R43" s="31" t="n"/>
      <c r="S43" s="32" t="n"/>
      <c r="T43" s="30">
        <f>IFERROR(R43*S43, 0)</f>
        <v/>
      </c>
      <c r="U43" s="31" t="n"/>
      <c r="V43" s="32" t="n"/>
      <c r="W43" s="30">
        <f>IFERROR(U43*V43, 0)</f>
        <v/>
      </c>
      <c r="X43" s="31" t="n"/>
      <c r="Y43" s="32" t="n"/>
      <c r="Z43" s="30">
        <f>IFERROR(X43*Y43, 0)</f>
        <v/>
      </c>
      <c r="AA43" s="31" t="n"/>
      <c r="AB43" s="32" t="n"/>
      <c r="AC43" s="30">
        <f>IFERROR(AA43*AB43, 0)</f>
        <v/>
      </c>
      <c r="AD43" s="31" t="n"/>
      <c r="AE43" s="32" t="n"/>
      <c r="AF43" s="30">
        <f>IFERROR(AD43*AE43, 0)</f>
        <v/>
      </c>
      <c r="AG43" s="31" t="n"/>
      <c r="AH43" s="32" t="n"/>
      <c r="AI43" s="30">
        <f>IFERROR(AG43*AH43, 0)</f>
        <v/>
      </c>
      <c r="AJ43" s="31" t="n"/>
      <c r="AK43" s="32" t="n"/>
      <c r="AL43" s="30">
        <f>IFERROR(AJ43*AK43, 0)</f>
        <v/>
      </c>
      <c r="AM43" s="31" t="n"/>
      <c r="AN43" s="32" t="n"/>
      <c r="AO43" s="30">
        <f>IFERROR(AM43*AN43, 0)</f>
        <v/>
      </c>
      <c r="AP43" s="31" t="n"/>
      <c r="AQ43" s="32" t="n"/>
      <c r="AR43" s="30">
        <f>IFERROR(AP43*AQ43, 0)</f>
        <v/>
      </c>
      <c r="AS43" s="31" t="n"/>
      <c r="AT43" s="32" t="n"/>
      <c r="AU43" s="30">
        <f>IFERROR(AS43*AT43, 0)</f>
        <v/>
      </c>
      <c r="AV43" s="31" t="n"/>
      <c r="AW43" s="32" t="n"/>
      <c r="AX43" s="30">
        <f>IFERROR(AV43*AW43, 0)</f>
        <v/>
      </c>
      <c r="AY43" s="31" t="n"/>
      <c r="AZ43" s="32" t="n"/>
      <c r="BA43" s="30">
        <f>IFERROR(AY43*AZ43, 0)</f>
        <v/>
      </c>
      <c r="BB43" s="31" t="n"/>
      <c r="BC43" s="32" t="n"/>
      <c r="BD43" s="30">
        <f>IFERROR(BB43*BC43, 0)</f>
        <v/>
      </c>
      <c r="BE43" s="31" t="n"/>
      <c r="BF43" s="32" t="n"/>
      <c r="BG43" s="30">
        <f>IFERROR(BE43*BF43, 0)</f>
        <v/>
      </c>
      <c r="BH43" s="31" t="n"/>
      <c r="BI43" s="32" t="n"/>
      <c r="BJ43" s="30">
        <f>IFERROR(BH43*BI43, 0)</f>
        <v/>
      </c>
      <c r="BK43" s="31" t="n"/>
      <c r="BL43" s="32" t="n"/>
      <c r="BM43" s="30">
        <f>IFERROR(BK43*BL43, 0)</f>
        <v/>
      </c>
      <c r="BN43" s="31" t="n"/>
      <c r="BO43" s="32" t="n"/>
      <c r="BP43" s="30">
        <f>IFERROR(BN43*BO43, 0)</f>
        <v/>
      </c>
      <c r="BQ43" s="31" t="n"/>
      <c r="BR43" s="32" t="n"/>
      <c r="BS43" s="30">
        <f>IFERROR(BQ43*BR43, 0)</f>
        <v/>
      </c>
      <c r="BT43" s="31" t="n"/>
      <c r="BU43" s="32" t="n"/>
      <c r="BV43" s="30">
        <f>IFERROR(BT43*BU43, 0)</f>
        <v/>
      </c>
      <c r="BW43" s="31" t="n"/>
      <c r="BX43" s="32" t="n"/>
      <c r="BY43" s="30">
        <f>IFERROR(BW43*BX43, 0)</f>
        <v/>
      </c>
      <c r="BZ43" s="31" t="n"/>
      <c r="CA43" s="32" t="n"/>
      <c r="CB43" s="30">
        <f>IFERROR(BZ43*CA43, 0)</f>
        <v/>
      </c>
      <c r="CC43" s="31" t="n"/>
      <c r="CD43" s="32" t="n"/>
      <c r="CE43" s="30">
        <f>IFERROR(CC43*CD43, 0)</f>
        <v/>
      </c>
      <c r="CF43" s="31" t="n"/>
      <c r="CG43" s="32" t="n"/>
      <c r="CH43" s="30">
        <f>IFERROR(CF43*CG43, 0)</f>
        <v/>
      </c>
      <c r="CI43" s="31" t="n"/>
      <c r="CJ43" s="32" t="n"/>
      <c r="CK43" s="30">
        <f>IFERROR(CI43*CJ43, 0)</f>
        <v/>
      </c>
      <c r="CL43" s="31" t="n"/>
      <c r="CM43" s="32" t="n"/>
      <c r="CN43" s="30">
        <f>IFERROR(CL43*CM43, 0)</f>
        <v/>
      </c>
      <c r="CO43" s="31" t="n"/>
      <c r="CP43" s="32" t="n"/>
      <c r="CQ43" s="30">
        <f>IFERROR(CO43*CP43, 0)</f>
        <v/>
      </c>
      <c r="CR43" s="31" t="n"/>
      <c r="CS43" s="32" t="n"/>
      <c r="CT43" s="30">
        <f>IFERROR(CR43*CS43, 0)</f>
        <v/>
      </c>
      <c r="CU43" s="33">
        <f>IFERROR(SUM(F43,I43,L43,O43,R43,U43,X43,AA43,AD43,AG43,AJ43,AM43,AP43,AS43,AV43,AY43,BB43,BE43,BH43,BK43,BN43,BQ43,BT43,BW43,BZ43,CC43,CF43,CI43,CL43,CO43,CR43), 0)</f>
        <v/>
      </c>
      <c r="CV43" s="30">
        <f>IFERROR(AVERAGE(G43,J43,M43,P43,S43,V43,Y43,AB43,AE43,AH43,AK43,AN43,AQ43,AT43,AW43,AZ43,BC43,BF43,BI43,BL43,BO43,BR43,BU43,BX43,CA43,CD43,CG43,CJ43,CM43,CP43,CS43), 0)</f>
        <v/>
      </c>
      <c r="CW43" s="30">
        <f>CU43*CV43</f>
        <v/>
      </c>
    </row>
    <row r="44" ht="15.75" customHeight="1">
      <c r="A44" s="28" t="inlineStr">
        <is>
          <t>Mango tommy</t>
        </is>
      </c>
      <c r="B44" s="28" t="inlineStr">
        <is>
          <t>Kg</t>
        </is>
      </c>
      <c r="C44" s="34" t="n"/>
      <c r="D44" s="32" t="n"/>
      <c r="E44" s="32" t="n"/>
      <c r="F44" s="31" t="n"/>
      <c r="G44" s="32" t="n"/>
      <c r="H44" s="30">
        <f>IFERROR(F44*G44, 0)</f>
        <v/>
      </c>
      <c r="I44" s="31" t="n"/>
      <c r="J44" s="32" t="n"/>
      <c r="K44" s="30">
        <f>IFERROR(I44*J44, 0)</f>
        <v/>
      </c>
      <c r="L44" s="31" t="n"/>
      <c r="M44" s="32" t="n"/>
      <c r="N44" s="30">
        <f>IFERROR(L44*M44, 0)</f>
        <v/>
      </c>
      <c r="O44" s="31" t="n"/>
      <c r="P44" s="32" t="n"/>
      <c r="Q44" s="30">
        <f>IFERROR(O44*P44, 0)</f>
        <v/>
      </c>
      <c r="R44" s="31" t="n"/>
      <c r="S44" s="32" t="n"/>
      <c r="T44" s="30">
        <f>IFERROR(R44*S44, 0)</f>
        <v/>
      </c>
      <c r="U44" s="31" t="n"/>
      <c r="V44" s="32" t="n"/>
      <c r="W44" s="30">
        <f>IFERROR(U44*V44, 0)</f>
        <v/>
      </c>
      <c r="X44" s="31" t="n"/>
      <c r="Y44" s="32" t="n"/>
      <c r="Z44" s="30">
        <f>IFERROR(X44*Y44, 0)</f>
        <v/>
      </c>
      <c r="AA44" s="31" t="n"/>
      <c r="AB44" s="32" t="n"/>
      <c r="AC44" s="30">
        <f>IFERROR(AA44*AB44, 0)</f>
        <v/>
      </c>
      <c r="AD44" s="31" t="n"/>
      <c r="AE44" s="32" t="n"/>
      <c r="AF44" s="30">
        <f>IFERROR(AD44*AE44, 0)</f>
        <v/>
      </c>
      <c r="AG44" s="31" t="n"/>
      <c r="AH44" s="32" t="n"/>
      <c r="AI44" s="30">
        <f>IFERROR(AG44*AH44, 0)</f>
        <v/>
      </c>
      <c r="AJ44" s="31" t="n"/>
      <c r="AK44" s="32" t="n"/>
      <c r="AL44" s="30">
        <f>IFERROR(AJ44*AK44, 0)</f>
        <v/>
      </c>
      <c r="AM44" s="31" t="n"/>
      <c r="AN44" s="32" t="n"/>
      <c r="AO44" s="30">
        <f>IFERROR(AM44*AN44, 0)</f>
        <v/>
      </c>
      <c r="AP44" s="31" t="n"/>
      <c r="AQ44" s="32" t="n"/>
      <c r="AR44" s="30">
        <f>IFERROR(AP44*AQ44, 0)</f>
        <v/>
      </c>
      <c r="AS44" s="31" t="n"/>
      <c r="AT44" s="32" t="n"/>
      <c r="AU44" s="30">
        <f>IFERROR(AS44*AT44, 0)</f>
        <v/>
      </c>
      <c r="AV44" s="31" t="n">
        <v>18</v>
      </c>
      <c r="AW44" s="32" t="n">
        <v>1500</v>
      </c>
      <c r="AX44" s="30" t="n">
        <v>27000</v>
      </c>
      <c r="AY44" s="31" t="n"/>
      <c r="AZ44" s="32" t="n"/>
      <c r="BA44" s="30">
        <f>IFERROR(AY44*AZ44, 0)</f>
        <v/>
      </c>
      <c r="BB44" s="31" t="n"/>
      <c r="BC44" s="32" t="n"/>
      <c r="BD44" s="30">
        <f>IFERROR(BB44*BC44, 0)</f>
        <v/>
      </c>
      <c r="BE44" s="31" t="n"/>
      <c r="BF44" s="32" t="n"/>
      <c r="BG44" s="30">
        <f>IFERROR(BE44*BF44, 0)</f>
        <v/>
      </c>
      <c r="BH44" s="31" t="n"/>
      <c r="BI44" s="32" t="n"/>
      <c r="BJ44" s="30">
        <f>IFERROR(BH44*BI44, 0)</f>
        <v/>
      </c>
      <c r="BK44" s="31" t="n"/>
      <c r="BL44" s="32" t="n"/>
      <c r="BM44" s="30">
        <f>IFERROR(BK44*BL44, 0)</f>
        <v/>
      </c>
      <c r="BN44" s="31" t="n"/>
      <c r="BO44" s="32" t="n"/>
      <c r="BP44" s="30">
        <f>IFERROR(BN44*BO44, 0)</f>
        <v/>
      </c>
      <c r="BQ44" s="31" t="n"/>
      <c r="BR44" s="32" t="n"/>
      <c r="BS44" s="30">
        <f>IFERROR(BQ44*BR44, 0)</f>
        <v/>
      </c>
      <c r="BT44" s="31" t="n"/>
      <c r="BU44" s="32" t="n"/>
      <c r="BV44" s="30">
        <f>IFERROR(BT44*BU44, 0)</f>
        <v/>
      </c>
      <c r="BW44" s="31" t="n"/>
      <c r="BX44" s="32" t="n"/>
      <c r="BY44" s="30">
        <f>IFERROR(BW44*BX44, 0)</f>
        <v/>
      </c>
      <c r="BZ44" s="31" t="n"/>
      <c r="CA44" s="32" t="n"/>
      <c r="CB44" s="30">
        <f>IFERROR(BZ44*CA44, 0)</f>
        <v/>
      </c>
      <c r="CC44" s="31" t="n"/>
      <c r="CD44" s="32" t="n"/>
      <c r="CE44" s="30">
        <f>IFERROR(CC44*CD44, 0)</f>
        <v/>
      </c>
      <c r="CF44" s="31" t="n"/>
      <c r="CG44" s="32" t="n"/>
      <c r="CH44" s="30">
        <f>IFERROR(CF44*CG44, 0)</f>
        <v/>
      </c>
      <c r="CI44" s="31" t="n"/>
      <c r="CJ44" s="32" t="n"/>
      <c r="CK44" s="30">
        <f>IFERROR(CI44*CJ44, 0)</f>
        <v/>
      </c>
      <c r="CL44" s="31" t="n"/>
      <c r="CM44" s="32" t="n"/>
      <c r="CN44" s="30">
        <f>IFERROR(CL44*CM44, 0)</f>
        <v/>
      </c>
      <c r="CO44" s="31" t="n"/>
      <c r="CP44" s="32" t="n"/>
      <c r="CQ44" s="30">
        <f>IFERROR(CO44*CP44, 0)</f>
        <v/>
      </c>
      <c r="CR44" s="31" t="n"/>
      <c r="CS44" s="32" t="n"/>
      <c r="CT44" s="30">
        <f>IFERROR(CR44*CS44, 0)</f>
        <v/>
      </c>
      <c r="CU44" s="33">
        <f>IFERROR(SUM(F44,I44,L44,O44,R44,U44,X44,AA44,AD44,AG44,AJ44,AM44,AP44,AS44,AV44,AY44,BB44,BE44,BH44,BK44,BN44,BQ44,BT44,BW44,BZ44,CC44,CF44,CI44,CL44,CO44,CR44), 0)</f>
        <v/>
      </c>
      <c r="CV44" s="30">
        <f>IFERROR(AVERAGE(G44,J44,M44,P44,S44,V44,Y44,AB44,AE44,AH44,AK44,AN44,AQ44,AT44,AW44,AZ44,BC44,BF44,BI44,BL44,BO44,BR44,BU44,BX44,CA44,CD44,CG44,CJ44,CM44,CP44,CS44), 0)</f>
        <v/>
      </c>
      <c r="CW44" s="30">
        <f>CU44*CV44</f>
        <v/>
      </c>
    </row>
    <row r="45" ht="15.75" customHeight="1">
      <c r="A45" s="28" t="inlineStr">
        <is>
          <t>Limon tahiti</t>
        </is>
      </c>
      <c r="B45" s="28" t="inlineStr">
        <is>
          <t>Kg</t>
        </is>
      </c>
      <c r="C45" s="29" t="n"/>
      <c r="D45" s="30" t="n"/>
      <c r="E45" s="30" t="n"/>
      <c r="F45" s="31" t="n"/>
      <c r="G45" s="32" t="n"/>
      <c r="H45" s="30">
        <f>IFERROR(F45*G45, 0)</f>
        <v/>
      </c>
      <c r="I45" s="31" t="n"/>
      <c r="J45" s="32" t="n"/>
      <c r="K45" s="30">
        <f>IFERROR(I45*J45, 0)</f>
        <v/>
      </c>
      <c r="L45" s="31" t="n"/>
      <c r="M45" s="32" t="n"/>
      <c r="N45" s="30">
        <f>IFERROR(L45*M45, 0)</f>
        <v/>
      </c>
      <c r="O45" s="31" t="n"/>
      <c r="P45" s="32" t="n"/>
      <c r="Q45" s="30">
        <f>IFERROR(O45*P45, 0)</f>
        <v/>
      </c>
      <c r="R45" s="31" t="n"/>
      <c r="S45" s="32" t="n"/>
      <c r="T45" s="30">
        <f>IFERROR(R45*S45, 0)</f>
        <v/>
      </c>
      <c r="U45" s="31" t="n"/>
      <c r="V45" s="32" t="n"/>
      <c r="W45" s="30">
        <f>IFERROR(U45*V45, 0)</f>
        <v/>
      </c>
      <c r="X45" s="31" t="n"/>
      <c r="Y45" s="32" t="n"/>
      <c r="Z45" s="30">
        <f>IFERROR(X45*Y45, 0)</f>
        <v/>
      </c>
      <c r="AA45" s="31" t="n"/>
      <c r="AB45" s="32" t="n"/>
      <c r="AC45" s="30">
        <f>IFERROR(AA45*AB45, 0)</f>
        <v/>
      </c>
      <c r="AD45" s="31" t="n"/>
      <c r="AE45" s="32" t="n"/>
      <c r="AF45" s="30">
        <f>IFERROR(AD45*AE45, 0)</f>
        <v/>
      </c>
      <c r="AG45" s="31" t="n"/>
      <c r="AH45" s="32" t="n"/>
      <c r="AI45" s="30">
        <f>IFERROR(AG45*AH45, 0)</f>
        <v/>
      </c>
      <c r="AJ45" s="31" t="n"/>
      <c r="AK45" s="32" t="n"/>
      <c r="AL45" s="30">
        <f>IFERROR(AJ45*AK45, 0)</f>
        <v/>
      </c>
      <c r="AM45" s="31" t="n"/>
      <c r="AN45" s="32" t="n"/>
      <c r="AO45" s="30">
        <f>IFERROR(AM45*AN45, 0)</f>
        <v/>
      </c>
      <c r="AP45" s="31" t="n"/>
      <c r="AQ45" s="32" t="n"/>
      <c r="AR45" s="30">
        <f>IFERROR(AP45*AQ45, 0)</f>
        <v/>
      </c>
      <c r="AS45" s="31" t="n"/>
      <c r="AT45" s="32" t="n"/>
      <c r="AU45" s="30">
        <f>IFERROR(AS45*AT45, 0)</f>
        <v/>
      </c>
      <c r="AV45" s="31" t="n"/>
      <c r="AW45" s="32" t="n"/>
      <c r="AX45" s="30">
        <f>IFERROR(AV45*AW45, 0)</f>
        <v/>
      </c>
      <c r="AY45" s="31" t="n"/>
      <c r="AZ45" s="32" t="n"/>
      <c r="BA45" s="30">
        <f>IFERROR(AY45*AZ45, 0)</f>
        <v/>
      </c>
      <c r="BB45" s="31" t="n"/>
      <c r="BC45" s="32" t="n"/>
      <c r="BD45" s="30">
        <f>IFERROR(BB45*BC45, 0)</f>
        <v/>
      </c>
      <c r="BE45" s="31" t="n"/>
      <c r="BF45" s="32" t="n"/>
      <c r="BG45" s="30">
        <f>IFERROR(BE45*BF45, 0)</f>
        <v/>
      </c>
      <c r="BH45" s="31" t="n"/>
      <c r="BI45" s="32" t="n"/>
      <c r="BJ45" s="30">
        <f>IFERROR(BH45*BI45, 0)</f>
        <v/>
      </c>
      <c r="BK45" s="31" t="n"/>
      <c r="BL45" s="32" t="n"/>
      <c r="BM45" s="30">
        <f>IFERROR(BK45*BL45, 0)</f>
        <v/>
      </c>
      <c r="BN45" s="31" t="n"/>
      <c r="BO45" s="32" t="n"/>
      <c r="BP45" s="30">
        <f>IFERROR(BN45*BO45, 0)</f>
        <v/>
      </c>
      <c r="BQ45" s="31" t="n"/>
      <c r="BR45" s="32" t="n"/>
      <c r="BS45" s="30">
        <f>IFERROR(BQ45*BR45, 0)</f>
        <v/>
      </c>
      <c r="BT45" s="31" t="n"/>
      <c r="BU45" s="32" t="n"/>
      <c r="BV45" s="30">
        <f>IFERROR(BT45*BU45, 0)</f>
        <v/>
      </c>
      <c r="BW45" s="31" t="n"/>
      <c r="BX45" s="32" t="n"/>
      <c r="BY45" s="30">
        <f>IFERROR(BW45*BX45, 0)</f>
        <v/>
      </c>
      <c r="BZ45" s="31" t="n"/>
      <c r="CA45" s="32" t="n"/>
      <c r="CB45" s="30">
        <f>IFERROR(BZ45*CA45, 0)</f>
        <v/>
      </c>
      <c r="CC45" s="31" t="n"/>
      <c r="CD45" s="32" t="n"/>
      <c r="CE45" s="30">
        <f>IFERROR(CC45*CD45, 0)</f>
        <v/>
      </c>
      <c r="CF45" s="31" t="n"/>
      <c r="CG45" s="32" t="n"/>
      <c r="CH45" s="30">
        <f>IFERROR(CF45*CG45, 0)</f>
        <v/>
      </c>
      <c r="CI45" s="31" t="n"/>
      <c r="CJ45" s="32" t="n"/>
      <c r="CK45" s="30">
        <f>IFERROR(CI45*CJ45, 0)</f>
        <v/>
      </c>
      <c r="CL45" s="31" t="n"/>
      <c r="CM45" s="32" t="n"/>
      <c r="CN45" s="30">
        <f>IFERROR(CL45*CM45, 0)</f>
        <v/>
      </c>
      <c r="CO45" s="31" t="n"/>
      <c r="CP45" s="32" t="n"/>
      <c r="CQ45" s="30">
        <f>IFERROR(CO45*CP45, 0)</f>
        <v/>
      </c>
      <c r="CR45" s="31" t="n"/>
      <c r="CS45" s="32" t="n"/>
      <c r="CT45" s="30">
        <f>IFERROR(CR45*CS45, 0)</f>
        <v/>
      </c>
      <c r="CU45" s="33">
        <f>IFERROR(SUM(F45,I45,L45,O45,R45,U45,X45,AA45,AD45,AG45,AJ45,AM45,AP45,AS45,AV45,AY45,BB45,BE45,BH45,BK45,BN45,BQ45,BT45,BW45,BZ45,CC45,CF45,CI45,CL45,CO45,CR45), 0)</f>
        <v/>
      </c>
      <c r="CV45" s="30">
        <f>IFERROR(AVERAGE(G45,J45,M45,P45,S45,V45,Y45,AB45,AE45,AH45,AK45,AN45,AQ45,AT45,AW45,AZ45,BC45,BF45,BI45,BL45,BO45,BR45,BU45,BX45,CA45,CD45,CG45,CJ45,CM45,CP45,CS45), 0)</f>
        <v/>
      </c>
      <c r="CW45" s="30">
        <f>CU45*CV45</f>
        <v/>
      </c>
    </row>
    <row r="46" ht="15.75" customHeight="1">
      <c r="A46" s="28" t="inlineStr">
        <is>
          <t>Limon tahiti</t>
        </is>
      </c>
      <c r="B46" s="28" t="inlineStr">
        <is>
          <t>Kg</t>
        </is>
      </c>
      <c r="C46" s="34" t="n"/>
      <c r="D46" s="32" t="n"/>
      <c r="E46" s="32" t="n"/>
      <c r="F46" s="31" t="n"/>
      <c r="G46" s="32" t="n"/>
      <c r="H46" s="30">
        <f>IFERROR(F46*G46, 0)</f>
        <v/>
      </c>
      <c r="I46" s="31" t="n"/>
      <c r="J46" s="32" t="n"/>
      <c r="K46" s="30">
        <f>IFERROR(I46*J46, 0)</f>
        <v/>
      </c>
      <c r="L46" s="31" t="n"/>
      <c r="M46" s="32" t="n"/>
      <c r="N46" s="30">
        <f>IFERROR(L46*M46, 0)</f>
        <v/>
      </c>
      <c r="O46" s="31" t="n"/>
      <c r="P46" s="32" t="n"/>
      <c r="Q46" s="30">
        <f>IFERROR(O46*P46, 0)</f>
        <v/>
      </c>
      <c r="R46" s="31" t="n"/>
      <c r="S46" s="32" t="n"/>
      <c r="T46" s="30">
        <f>IFERROR(R46*S46, 0)</f>
        <v/>
      </c>
      <c r="U46" s="31" t="n"/>
      <c r="V46" s="32" t="n"/>
      <c r="W46" s="30">
        <f>IFERROR(U46*V46, 0)</f>
        <v/>
      </c>
      <c r="X46" s="31" t="n">
        <v>2.71</v>
      </c>
      <c r="Y46" s="32" t="n">
        <v>2765</v>
      </c>
      <c r="Z46" s="30" t="n">
        <v>7493</v>
      </c>
      <c r="AA46" s="31" t="n"/>
      <c r="AB46" s="32" t="n"/>
      <c r="AC46" s="30">
        <f>IFERROR(AA46*AB46, 0)</f>
        <v/>
      </c>
      <c r="AD46" s="31" t="n"/>
      <c r="AE46" s="32" t="n"/>
      <c r="AF46" s="30">
        <f>IFERROR(AD46*AE46, 0)</f>
        <v/>
      </c>
      <c r="AG46" s="31" t="n"/>
      <c r="AH46" s="32" t="n"/>
      <c r="AI46" s="30">
        <f>IFERROR(AG46*AH46, 0)</f>
        <v/>
      </c>
      <c r="AJ46" s="31" t="n"/>
      <c r="AK46" s="32" t="n"/>
      <c r="AL46" s="30">
        <f>IFERROR(AJ46*AK46, 0)</f>
        <v/>
      </c>
      <c r="AM46" s="31" t="n"/>
      <c r="AN46" s="32" t="n"/>
      <c r="AO46" s="30">
        <f>IFERROR(AM46*AN46, 0)</f>
        <v/>
      </c>
      <c r="AP46" s="31" t="n">
        <v>131</v>
      </c>
      <c r="AQ46" s="32" t="n">
        <v>2000</v>
      </c>
      <c r="AR46" s="30" t="n">
        <v>262000</v>
      </c>
      <c r="AS46" s="31" t="n">
        <v>68</v>
      </c>
      <c r="AT46" s="32" t="n">
        <v>2500</v>
      </c>
      <c r="AU46" s="30" t="n">
        <v>170000</v>
      </c>
      <c r="AV46" s="31" t="n"/>
      <c r="AW46" s="32" t="n"/>
      <c r="AX46" s="30">
        <f>IFERROR(AV46*AW46, 0)</f>
        <v/>
      </c>
      <c r="AY46" s="31" t="n"/>
      <c r="AZ46" s="32" t="n"/>
      <c r="BA46" s="30">
        <f>IFERROR(AY46*AZ46, 0)</f>
        <v/>
      </c>
      <c r="BB46" s="31" t="n"/>
      <c r="BC46" s="32" t="n"/>
      <c r="BD46" s="30">
        <f>IFERROR(BB46*BC46, 0)</f>
        <v/>
      </c>
      <c r="BE46" s="31" t="n"/>
      <c r="BF46" s="32" t="n"/>
      <c r="BG46" s="30">
        <f>IFERROR(BE46*BF46, 0)</f>
        <v/>
      </c>
      <c r="BH46" s="31" t="n"/>
      <c r="BI46" s="32" t="n"/>
      <c r="BJ46" s="30">
        <f>IFERROR(BH46*BI46, 0)</f>
        <v/>
      </c>
      <c r="BK46" s="31" t="n"/>
      <c r="BL46" s="32" t="n"/>
      <c r="BM46" s="30">
        <f>IFERROR(BK46*BL46, 0)</f>
        <v/>
      </c>
      <c r="BN46" s="31" t="n">
        <v>118.3</v>
      </c>
      <c r="BO46" s="32" t="n">
        <v>2000</v>
      </c>
      <c r="BP46" s="30" t="n">
        <v>236600</v>
      </c>
      <c r="BQ46" s="31" t="n"/>
      <c r="BR46" s="32" t="n"/>
      <c r="BS46" s="30">
        <f>IFERROR(BQ46*BR46, 0)</f>
        <v/>
      </c>
      <c r="BT46" s="31" t="n"/>
      <c r="BU46" s="32" t="n"/>
      <c r="BV46" s="30">
        <f>IFERROR(BT46*BU46, 0)</f>
        <v/>
      </c>
      <c r="BW46" s="31" t="n"/>
      <c r="BX46" s="32" t="n"/>
      <c r="BY46" s="30">
        <f>IFERROR(BW46*BX46, 0)</f>
        <v/>
      </c>
      <c r="BZ46" s="31" t="n"/>
      <c r="CA46" s="32" t="n"/>
      <c r="CB46" s="30">
        <f>IFERROR(BZ46*CA46, 0)</f>
        <v/>
      </c>
      <c r="CC46" s="31" t="n"/>
      <c r="CD46" s="32" t="n"/>
      <c r="CE46" s="30">
        <f>IFERROR(CC46*CD46, 0)</f>
        <v/>
      </c>
      <c r="CF46" s="31" t="n"/>
      <c r="CG46" s="32" t="n"/>
      <c r="CH46" s="30">
        <f>IFERROR(CF46*CG46, 0)</f>
        <v/>
      </c>
      <c r="CI46" s="31" t="n"/>
      <c r="CJ46" s="32" t="n"/>
      <c r="CK46" s="30">
        <f>IFERROR(CI46*CJ46, 0)</f>
        <v/>
      </c>
      <c r="CL46" s="31" t="n"/>
      <c r="CM46" s="32" t="n"/>
      <c r="CN46" s="30">
        <f>IFERROR(CL46*CM46, 0)</f>
        <v/>
      </c>
      <c r="CO46" s="31" t="n"/>
      <c r="CP46" s="32" t="n"/>
      <c r="CQ46" s="30">
        <f>IFERROR(CO46*CP46, 0)</f>
        <v/>
      </c>
      <c r="CR46" s="31" t="n"/>
      <c r="CS46" s="32" t="n"/>
      <c r="CT46" s="30">
        <f>IFERROR(CR46*CS46, 0)</f>
        <v/>
      </c>
      <c r="CU46" s="33">
        <f>IFERROR(SUM(F46,I46,L46,O46,R46,U46,X46,AA46,AD46,AG46,AJ46,AM46,AP46,AS46,AV46,AY46,BB46,BE46,BH46,BK46,BN46,BQ46,BT46,BW46,BZ46,CC46,CF46,CI46,CL46,CO46,CR46), 0)</f>
        <v/>
      </c>
      <c r="CV46" s="30">
        <f>IFERROR(AVERAGE(G46,J46,M46,P46,S46,V46,Y46,AB46,AE46,AH46,AK46,AN46,AQ46,AT46,AW46,AZ46,BC46,BF46,BI46,BL46,BO46,BR46,BU46,BX46,CA46,CD46,CG46,CJ46,CM46,CP46,CS46), 0)</f>
        <v/>
      </c>
      <c r="CW46" s="30">
        <f>CU46*CV46</f>
        <v/>
      </c>
    </row>
    <row r="47" ht="15.75" customHeight="1">
      <c r="A47" s="28" t="inlineStr">
        <is>
          <t>Lechuga batavia x Caja</t>
        </is>
      </c>
      <c r="B47" s="28" t="inlineStr">
        <is>
          <t>Kg</t>
        </is>
      </c>
      <c r="C47" s="35" t="n"/>
      <c r="D47" s="35" t="n"/>
      <c r="E47" s="35" t="n"/>
      <c r="F47" s="31" t="n"/>
      <c r="G47" s="32" t="n"/>
      <c r="H47" s="30">
        <f>IFERROR(F47*G47, 0)</f>
        <v/>
      </c>
      <c r="I47" s="31" t="n"/>
      <c r="J47" s="32" t="n"/>
      <c r="K47" s="30">
        <f>IFERROR(I47*J47, 0)</f>
        <v/>
      </c>
      <c r="L47" s="31" t="n"/>
      <c r="M47" s="32" t="n"/>
      <c r="N47" s="30">
        <f>IFERROR(L47*M47, 0)</f>
        <v/>
      </c>
      <c r="O47" s="31" t="n"/>
      <c r="P47" s="32" t="n"/>
      <c r="Q47" s="30">
        <f>IFERROR(O47*P47, 0)</f>
        <v/>
      </c>
      <c r="R47" s="31" t="n"/>
      <c r="S47" s="32" t="n"/>
      <c r="T47" s="30">
        <f>IFERROR(R47*S47, 0)</f>
        <v/>
      </c>
      <c r="U47" s="31" t="n"/>
      <c r="V47" s="32" t="n"/>
      <c r="W47" s="30">
        <f>IFERROR(U47*V47, 0)</f>
        <v/>
      </c>
      <c r="X47" s="31" t="n"/>
      <c r="Y47" s="32" t="n"/>
      <c r="Z47" s="30">
        <f>IFERROR(X47*Y47, 0)</f>
        <v/>
      </c>
      <c r="AA47" s="31" t="n"/>
      <c r="AB47" s="32" t="n"/>
      <c r="AC47" s="30">
        <f>IFERROR(AA47*AB47, 0)</f>
        <v/>
      </c>
      <c r="AD47" s="31" t="n"/>
      <c r="AE47" s="32" t="n"/>
      <c r="AF47" s="30">
        <f>IFERROR(AD47*AE47, 0)</f>
        <v/>
      </c>
      <c r="AG47" s="31" t="n"/>
      <c r="AH47" s="32" t="n"/>
      <c r="AI47" s="30">
        <f>IFERROR(AG47*AH47, 0)</f>
        <v/>
      </c>
      <c r="AJ47" s="31" t="n"/>
      <c r="AK47" s="32" t="n"/>
      <c r="AL47" s="30">
        <f>IFERROR(AJ47*AK47, 0)</f>
        <v/>
      </c>
      <c r="AM47" s="31" t="n"/>
      <c r="AN47" s="32" t="n"/>
      <c r="AO47" s="30">
        <f>IFERROR(AM47*AN47, 0)</f>
        <v/>
      </c>
      <c r="AP47" s="31" t="n"/>
      <c r="AQ47" s="32" t="n"/>
      <c r="AR47" s="30">
        <f>IFERROR(AP47*AQ47, 0)</f>
        <v/>
      </c>
      <c r="AS47" s="31" t="n"/>
      <c r="AT47" s="32" t="n"/>
      <c r="AU47" s="30">
        <f>IFERROR(AS47*AT47, 0)</f>
        <v/>
      </c>
      <c r="AV47" s="31" t="n"/>
      <c r="AW47" s="32" t="n"/>
      <c r="AX47" s="30">
        <f>IFERROR(AV47*AW47, 0)</f>
        <v/>
      </c>
      <c r="AY47" s="31" t="n"/>
      <c r="AZ47" s="32" t="n"/>
      <c r="BA47" s="30">
        <f>IFERROR(AY47*AZ47, 0)</f>
        <v/>
      </c>
      <c r="BB47" s="31" t="n"/>
      <c r="BC47" s="32" t="n"/>
      <c r="BD47" s="30">
        <f>IFERROR(BB47*BC47, 0)</f>
        <v/>
      </c>
      <c r="BE47" s="31" t="n"/>
      <c r="BF47" s="32" t="n"/>
      <c r="BG47" s="30">
        <f>IFERROR(BE47*BF47, 0)</f>
        <v/>
      </c>
      <c r="BH47" s="31" t="n"/>
      <c r="BI47" s="32" t="n"/>
      <c r="BJ47" s="30">
        <f>IFERROR(BH47*BI47, 0)</f>
        <v/>
      </c>
      <c r="BK47" s="31" t="n"/>
      <c r="BL47" s="32" t="n"/>
      <c r="BM47" s="30">
        <f>IFERROR(BK47*BL47, 0)</f>
        <v/>
      </c>
      <c r="BN47" s="31" t="n"/>
      <c r="BO47" s="32" t="n"/>
      <c r="BP47" s="30">
        <f>IFERROR(BN47*BO47, 0)</f>
        <v/>
      </c>
      <c r="BQ47" s="31" t="n"/>
      <c r="BR47" s="32" t="n"/>
      <c r="BS47" s="30">
        <f>IFERROR(BQ47*BR47, 0)</f>
        <v/>
      </c>
      <c r="BT47" s="31" t="n"/>
      <c r="BU47" s="32" t="n"/>
      <c r="BV47" s="30">
        <f>IFERROR(BT47*BU47, 0)</f>
        <v/>
      </c>
      <c r="BW47" s="31" t="n"/>
      <c r="BX47" s="32" t="n"/>
      <c r="BY47" s="30">
        <f>IFERROR(BW47*BX47, 0)</f>
        <v/>
      </c>
      <c r="BZ47" s="31" t="n"/>
      <c r="CA47" s="32" t="n"/>
      <c r="CB47" s="30">
        <f>IFERROR(BZ47*CA47, 0)</f>
        <v/>
      </c>
      <c r="CC47" s="31" t="n"/>
      <c r="CD47" s="32" t="n"/>
      <c r="CE47" s="30">
        <f>IFERROR(CC47*CD47, 0)</f>
        <v/>
      </c>
      <c r="CF47" s="31" t="n"/>
      <c r="CG47" s="32" t="n"/>
      <c r="CH47" s="30">
        <f>IFERROR(CF47*CG47, 0)</f>
        <v/>
      </c>
      <c r="CI47" s="31" t="n"/>
      <c r="CJ47" s="32" t="n"/>
      <c r="CK47" s="30">
        <f>IFERROR(CI47*CJ47, 0)</f>
        <v/>
      </c>
      <c r="CL47" s="31" t="n"/>
      <c r="CM47" s="32" t="n"/>
      <c r="CN47" s="30">
        <f>IFERROR(CL47*CM47, 0)</f>
        <v/>
      </c>
      <c r="CO47" s="31" t="n"/>
      <c r="CP47" s="32" t="n"/>
      <c r="CQ47" s="30">
        <f>IFERROR(CO47*CP47, 0)</f>
        <v/>
      </c>
      <c r="CR47" s="31" t="n"/>
      <c r="CS47" s="32" t="n"/>
      <c r="CT47" s="30">
        <f>IFERROR(CR47*CS47, 0)</f>
        <v/>
      </c>
      <c r="CU47" s="33">
        <f>IFERROR(SUM(F47,I47,L47,O47,R47,U47,X47,AA47,AD47,AG47,AJ47,AM47,AP47,AS47,AV47,AY47,BB47,BE47,BH47,BK47,BN47,BQ47,BT47,BW47,BZ47,CC47,CF47,CI47,CL47,CO47,CR47), 0)</f>
        <v/>
      </c>
      <c r="CV47" s="30">
        <f>IFERROR(AVERAGE(G47,J47,M47,P47,S47,V47,Y47,AB47,AE47,AH47,AK47,AN47,AQ47,AT47,AW47,AZ47,BC47,BF47,BI47,BL47,BO47,BR47,BU47,BX47,CA47,CD47,CG47,CJ47,CM47,CP47,CS47), 0)</f>
        <v/>
      </c>
      <c r="CW47" s="30">
        <f>CU47*CV47</f>
        <v/>
      </c>
    </row>
    <row r="48" ht="15.75" customHeight="1">
      <c r="A48" s="28" t="inlineStr">
        <is>
          <t>Lechuga batavia</t>
        </is>
      </c>
      <c r="B48" s="28" t="inlineStr">
        <is>
          <t>Kg</t>
        </is>
      </c>
      <c r="C48" s="29" t="n"/>
      <c r="D48" s="30" t="n"/>
      <c r="E48" s="30" t="n"/>
      <c r="F48" s="31" t="n"/>
      <c r="G48" s="32" t="n"/>
      <c r="H48" s="30">
        <f>IFERROR(F48*G48, 0)</f>
        <v/>
      </c>
      <c r="I48" s="31" t="n"/>
      <c r="J48" s="32" t="n"/>
      <c r="K48" s="30">
        <f>IFERROR(I48*J48, 0)</f>
        <v/>
      </c>
      <c r="L48" s="31" t="n"/>
      <c r="M48" s="32" t="n"/>
      <c r="N48" s="30">
        <f>IFERROR(L48*M48, 0)</f>
        <v/>
      </c>
      <c r="O48" s="31" t="n"/>
      <c r="P48" s="32" t="n"/>
      <c r="Q48" s="30">
        <f>IFERROR(O48*P48, 0)</f>
        <v/>
      </c>
      <c r="R48" s="31" t="n"/>
      <c r="S48" s="32" t="n"/>
      <c r="T48" s="30">
        <f>IFERROR(R48*S48, 0)</f>
        <v/>
      </c>
      <c r="U48" s="31" t="n"/>
      <c r="V48" s="32" t="n"/>
      <c r="W48" s="30">
        <f>IFERROR(U48*V48, 0)</f>
        <v/>
      </c>
      <c r="X48" s="31" t="n">
        <v>1.85</v>
      </c>
      <c r="Y48" s="32" t="n">
        <v>3800</v>
      </c>
      <c r="Z48" s="30" t="n">
        <v>7530</v>
      </c>
      <c r="AA48" s="31" t="n"/>
      <c r="AB48" s="32" t="n"/>
      <c r="AC48" s="30">
        <f>IFERROR(AA48*AB48, 0)</f>
        <v/>
      </c>
      <c r="AD48" s="31" t="n"/>
      <c r="AE48" s="32" t="n"/>
      <c r="AF48" s="30">
        <f>IFERROR(AD48*AE48, 0)</f>
        <v/>
      </c>
      <c r="AG48" s="31" t="n"/>
      <c r="AH48" s="32" t="n"/>
      <c r="AI48" s="30">
        <f>IFERROR(AG48*AH48, 0)</f>
        <v/>
      </c>
      <c r="AJ48" s="31" t="n"/>
      <c r="AK48" s="32" t="n"/>
      <c r="AL48" s="30">
        <f>IFERROR(AJ48*AK48, 0)</f>
        <v/>
      </c>
      <c r="AM48" s="31" t="n"/>
      <c r="AN48" s="32" t="n"/>
      <c r="AO48" s="30">
        <f>IFERROR(AM48*AN48, 0)</f>
        <v/>
      </c>
      <c r="AP48" s="31" t="n">
        <v>73</v>
      </c>
      <c r="AQ48" s="32" t="n">
        <v>2800</v>
      </c>
      <c r="AR48" s="30" t="n">
        <v>204400</v>
      </c>
      <c r="AS48" s="31" t="n">
        <v>47</v>
      </c>
      <c r="AT48" s="32" t="n">
        <v>2800</v>
      </c>
      <c r="AU48" s="30" t="n">
        <v>131600</v>
      </c>
      <c r="AV48" s="31" t="n"/>
      <c r="AW48" s="32" t="n"/>
      <c r="AX48" s="30">
        <f>IFERROR(AV48*AW48, 0)</f>
        <v/>
      </c>
      <c r="AY48" s="31" t="n"/>
      <c r="AZ48" s="32" t="n"/>
      <c r="BA48" s="30">
        <f>IFERROR(AY48*AZ48, 0)</f>
        <v/>
      </c>
      <c r="BB48" s="31" t="n"/>
      <c r="BC48" s="32" t="n"/>
      <c r="BD48" s="30">
        <f>IFERROR(BB48*BC48, 0)</f>
        <v/>
      </c>
      <c r="BE48" s="31" t="n"/>
      <c r="BF48" s="32" t="n"/>
      <c r="BG48" s="30">
        <f>IFERROR(BE48*BF48, 0)</f>
        <v/>
      </c>
      <c r="BH48" s="31" t="n"/>
      <c r="BI48" s="32" t="n"/>
      <c r="BJ48" s="30">
        <f>IFERROR(BH48*BI48, 0)</f>
        <v/>
      </c>
      <c r="BK48" s="31" t="n"/>
      <c r="BL48" s="32" t="n"/>
      <c r="BM48" s="30">
        <f>IFERROR(BK48*BL48, 0)</f>
        <v/>
      </c>
      <c r="BN48" s="31" t="n">
        <v>1</v>
      </c>
      <c r="BO48" s="32" t="n">
        <v>30000</v>
      </c>
      <c r="BP48" s="30" t="n">
        <v>30000</v>
      </c>
      <c r="BQ48" s="31" t="n"/>
      <c r="BR48" s="32" t="n"/>
      <c r="BS48" s="30">
        <f>IFERROR(BQ48*BR48, 0)</f>
        <v/>
      </c>
      <c r="BT48" s="31" t="n"/>
      <c r="BU48" s="32" t="n"/>
      <c r="BV48" s="30">
        <f>IFERROR(BT48*BU48, 0)</f>
        <v/>
      </c>
      <c r="BW48" s="31" t="n"/>
      <c r="BX48" s="32" t="n"/>
      <c r="BY48" s="30">
        <f>IFERROR(BW48*BX48, 0)</f>
        <v/>
      </c>
      <c r="BZ48" s="31" t="n"/>
      <c r="CA48" s="32" t="n"/>
      <c r="CB48" s="30">
        <f>IFERROR(BZ48*CA48, 0)</f>
        <v/>
      </c>
      <c r="CC48" s="31" t="n"/>
      <c r="CD48" s="32" t="n"/>
      <c r="CE48" s="30">
        <f>IFERROR(CC48*CD48, 0)</f>
        <v/>
      </c>
      <c r="CF48" s="31" t="n"/>
      <c r="CG48" s="32" t="n"/>
      <c r="CH48" s="30">
        <f>IFERROR(CF48*CG48, 0)</f>
        <v/>
      </c>
      <c r="CI48" s="31" t="n"/>
      <c r="CJ48" s="32" t="n"/>
      <c r="CK48" s="30">
        <f>IFERROR(CI48*CJ48, 0)</f>
        <v/>
      </c>
      <c r="CL48" s="31" t="n"/>
      <c r="CM48" s="32" t="n"/>
      <c r="CN48" s="30">
        <f>IFERROR(CL48*CM48, 0)</f>
        <v/>
      </c>
      <c r="CO48" s="31" t="n"/>
      <c r="CP48" s="32" t="n"/>
      <c r="CQ48" s="30">
        <f>IFERROR(CO48*CP48, 0)</f>
        <v/>
      </c>
      <c r="CR48" s="31" t="n"/>
      <c r="CS48" s="32" t="n"/>
      <c r="CT48" s="30">
        <f>IFERROR(CR48*CS48, 0)</f>
        <v/>
      </c>
      <c r="CU48" s="33">
        <f>IFERROR(SUM(F48,I48,L48,O48,R48,U48,X48,AA48,AD48,AG48,AJ48,AM48,AP48,AS48,AV48,AY48,BB48,BE48,BH48,BK48,BN48,BQ48,BT48,BW48,BZ48,CC48,CF48,CI48,CL48,CO48,CR48), 0)</f>
        <v/>
      </c>
      <c r="CV48" s="30">
        <f>IFERROR(AVERAGE(G48,J48,M48,P48,S48,V48,Y48,AB48,AE48,AH48,AK48,AN48,AQ48,AT48,AW48,AZ48,BC48,BF48,BI48,BL48,BO48,BR48,BU48,BX48,CA48,CD48,CG48,CJ48,CM48,CP48,CS48), 0)</f>
        <v/>
      </c>
      <c r="CW48" s="30">
        <f>CU48*CV48</f>
        <v/>
      </c>
    </row>
    <row r="49" ht="15.75" customHeight="1">
      <c r="A49" s="28" t="inlineStr">
        <is>
          <t xml:space="preserve">Laurel </t>
        </is>
      </c>
      <c r="B49" s="28" t="inlineStr">
        <is>
          <t>Kg</t>
        </is>
      </c>
      <c r="C49" s="34" t="n"/>
      <c r="D49" s="32" t="n"/>
      <c r="E49" s="32" t="n"/>
      <c r="F49" s="31" t="n"/>
      <c r="G49" s="32" t="n"/>
      <c r="H49" s="30">
        <f>IFERROR(F49*G49, 0)</f>
        <v/>
      </c>
      <c r="I49" s="31" t="n">
        <v>1</v>
      </c>
      <c r="J49" s="32" t="n">
        <v>25000</v>
      </c>
      <c r="K49" s="30" t="n">
        <v>25000</v>
      </c>
      <c r="L49" s="31" t="n"/>
      <c r="M49" s="32" t="n"/>
      <c r="N49" s="30">
        <f>IFERROR(L49*M49, 0)</f>
        <v/>
      </c>
      <c r="O49" s="31" t="n"/>
      <c r="P49" s="32" t="n"/>
      <c r="Q49" s="30">
        <f>IFERROR(O49*P49, 0)</f>
        <v/>
      </c>
      <c r="R49" s="31" t="n"/>
      <c r="S49" s="32" t="n"/>
      <c r="T49" s="30">
        <f>IFERROR(R49*S49, 0)</f>
        <v/>
      </c>
      <c r="U49" s="31" t="n"/>
      <c r="V49" s="32" t="n"/>
      <c r="W49" s="30">
        <f>IFERROR(U49*V49, 0)</f>
        <v/>
      </c>
      <c r="X49" s="31" t="n"/>
      <c r="Y49" s="32" t="n"/>
      <c r="Z49" s="30">
        <f>IFERROR(X49*Y49, 0)</f>
        <v/>
      </c>
      <c r="AA49" s="31" t="n"/>
      <c r="AB49" s="32" t="n"/>
      <c r="AC49" s="30">
        <f>IFERROR(AA49*AB49, 0)</f>
        <v/>
      </c>
      <c r="AD49" s="31" t="n"/>
      <c r="AE49" s="32" t="n"/>
      <c r="AF49" s="30">
        <f>IFERROR(AD49*AE49, 0)</f>
        <v/>
      </c>
      <c r="AG49" s="31" t="n"/>
      <c r="AH49" s="32" t="n"/>
      <c r="AI49" s="30">
        <f>IFERROR(AG49*AH49, 0)</f>
        <v/>
      </c>
      <c r="AJ49" s="31" t="n"/>
      <c r="AK49" s="32" t="n"/>
      <c r="AL49" s="30">
        <f>IFERROR(AJ49*AK49, 0)</f>
        <v/>
      </c>
      <c r="AM49" s="31" t="n"/>
      <c r="AN49" s="32" t="n"/>
      <c r="AO49" s="30">
        <f>IFERROR(AM49*AN49, 0)</f>
        <v/>
      </c>
      <c r="AP49" s="31" t="n"/>
      <c r="AQ49" s="32" t="n"/>
      <c r="AR49" s="30">
        <f>IFERROR(AP49*AQ49, 0)</f>
        <v/>
      </c>
      <c r="AS49" s="31" t="n"/>
      <c r="AT49" s="32" t="n"/>
      <c r="AU49" s="30">
        <f>IFERROR(AS49*AT49, 0)</f>
        <v/>
      </c>
      <c r="AV49" s="31" t="n"/>
      <c r="AW49" s="32" t="n"/>
      <c r="AX49" s="30">
        <f>IFERROR(AV49*AW49, 0)</f>
        <v/>
      </c>
      <c r="AY49" s="31" t="n"/>
      <c r="AZ49" s="32" t="n"/>
      <c r="BA49" s="30">
        <f>IFERROR(AY49*AZ49, 0)</f>
        <v/>
      </c>
      <c r="BB49" s="31" t="n"/>
      <c r="BC49" s="32" t="n"/>
      <c r="BD49" s="30">
        <f>IFERROR(BB49*BC49, 0)</f>
        <v/>
      </c>
      <c r="BE49" s="31" t="n"/>
      <c r="BF49" s="32" t="n"/>
      <c r="BG49" s="30">
        <f>IFERROR(BE49*BF49, 0)</f>
        <v/>
      </c>
      <c r="BH49" s="31" t="n"/>
      <c r="BI49" s="32" t="n"/>
      <c r="BJ49" s="30">
        <f>IFERROR(BH49*BI49, 0)</f>
        <v/>
      </c>
      <c r="BK49" s="31" t="n"/>
      <c r="BL49" s="32" t="n"/>
      <c r="BM49" s="30">
        <f>IFERROR(BK49*BL49, 0)</f>
        <v/>
      </c>
      <c r="BN49" s="31" t="n"/>
      <c r="BO49" s="32" t="n"/>
      <c r="BP49" s="30">
        <f>IFERROR(BN49*BO49, 0)</f>
        <v/>
      </c>
      <c r="BQ49" s="31" t="n"/>
      <c r="BR49" s="32" t="n"/>
      <c r="BS49" s="30">
        <f>IFERROR(BQ49*BR49, 0)</f>
        <v/>
      </c>
      <c r="BT49" s="31" t="n"/>
      <c r="BU49" s="32" t="n"/>
      <c r="BV49" s="30">
        <f>IFERROR(BT49*BU49, 0)</f>
        <v/>
      </c>
      <c r="BW49" s="31" t="n"/>
      <c r="BX49" s="32" t="n"/>
      <c r="BY49" s="30">
        <f>IFERROR(BW49*BX49, 0)</f>
        <v/>
      </c>
      <c r="BZ49" s="31" t="n"/>
      <c r="CA49" s="32" t="n"/>
      <c r="CB49" s="30">
        <f>IFERROR(BZ49*CA49, 0)</f>
        <v/>
      </c>
      <c r="CC49" s="31" t="n"/>
      <c r="CD49" s="32" t="n"/>
      <c r="CE49" s="30">
        <f>IFERROR(CC49*CD49, 0)</f>
        <v/>
      </c>
      <c r="CF49" s="31" t="n"/>
      <c r="CG49" s="32" t="n"/>
      <c r="CH49" s="30">
        <f>IFERROR(CF49*CG49, 0)</f>
        <v/>
      </c>
      <c r="CI49" s="31" t="n"/>
      <c r="CJ49" s="32" t="n"/>
      <c r="CK49" s="30">
        <f>IFERROR(CI49*CJ49, 0)</f>
        <v/>
      </c>
      <c r="CL49" s="31" t="n"/>
      <c r="CM49" s="32" t="n"/>
      <c r="CN49" s="30">
        <f>IFERROR(CL49*CM49, 0)</f>
        <v/>
      </c>
      <c r="CO49" s="31" t="n"/>
      <c r="CP49" s="32" t="n"/>
      <c r="CQ49" s="30">
        <f>IFERROR(CO49*CP49, 0)</f>
        <v/>
      </c>
      <c r="CR49" s="31" t="n"/>
      <c r="CS49" s="32" t="n"/>
      <c r="CT49" s="30">
        <f>IFERROR(CR49*CS49, 0)</f>
        <v/>
      </c>
      <c r="CU49" s="33">
        <f>IFERROR(SUM(F49,I49,L49,O49,R49,U49,X49,AA49,AD49,AG49,AJ49,AM49,AP49,AS49,AV49,AY49,BB49,BE49,BH49,BK49,BN49,BQ49,BT49,BW49,BZ49,CC49,CF49,CI49,CL49,CO49,CR49), 0)</f>
        <v/>
      </c>
      <c r="CV49" s="30">
        <f>IFERROR(AVERAGE(G49,J49,M49,P49,S49,V49,Y49,AB49,AE49,AH49,AK49,AN49,AQ49,AT49,AW49,AZ49,BC49,BF49,BI49,BL49,BO49,BR49,BU49,BX49,CA49,CD49,CG49,CJ49,CM49,CP49,CS49), 0)</f>
        <v/>
      </c>
      <c r="CW49" s="30">
        <f>CU49*CV49</f>
        <v/>
      </c>
    </row>
    <row r="50" ht="15.75" customHeight="1">
      <c r="A50" s="28" t="inlineStr">
        <is>
          <t xml:space="preserve">Hoja de tamal </t>
        </is>
      </c>
      <c r="B50" s="28" t="inlineStr">
        <is>
          <t>Kg</t>
        </is>
      </c>
      <c r="C50" s="34" t="n"/>
      <c r="D50" s="32" t="n"/>
      <c r="E50" s="32" t="n"/>
      <c r="F50" s="31" t="n"/>
      <c r="G50" s="32" t="n"/>
      <c r="H50" s="30">
        <f>IFERROR(F50*G50, 0)</f>
        <v/>
      </c>
      <c r="I50" s="31" t="n">
        <v>1</v>
      </c>
      <c r="J50" s="32" t="n">
        <v>100000</v>
      </c>
      <c r="K50" s="30" t="n">
        <v>100000</v>
      </c>
      <c r="L50" s="31" t="n"/>
      <c r="M50" s="32" t="n"/>
      <c r="N50" s="30">
        <f>IFERROR(L50*M50, 0)</f>
        <v/>
      </c>
      <c r="O50" s="31" t="n"/>
      <c r="P50" s="32" t="n"/>
      <c r="Q50" s="30">
        <f>IFERROR(O50*P50, 0)</f>
        <v/>
      </c>
      <c r="R50" s="31" t="n"/>
      <c r="S50" s="32" t="n"/>
      <c r="T50" s="30">
        <f>IFERROR(R50*S50, 0)</f>
        <v/>
      </c>
      <c r="U50" s="31" t="n"/>
      <c r="V50" s="32" t="n"/>
      <c r="W50" s="30">
        <f>IFERROR(U50*V50, 0)</f>
        <v/>
      </c>
      <c r="X50" s="31" t="n"/>
      <c r="Y50" s="32" t="n"/>
      <c r="Z50" s="30">
        <f>IFERROR(X50*Y50, 0)</f>
        <v/>
      </c>
      <c r="AA50" s="31" t="n"/>
      <c r="AB50" s="32" t="n"/>
      <c r="AC50" s="30">
        <f>IFERROR(AA50*AB50, 0)</f>
        <v/>
      </c>
      <c r="AD50" s="31" t="n">
        <v>1</v>
      </c>
      <c r="AE50" s="32" t="n">
        <v>40000</v>
      </c>
      <c r="AF50" s="30" t="n">
        <v>40000</v>
      </c>
      <c r="AG50" s="31" t="n"/>
      <c r="AH50" s="32" t="n"/>
      <c r="AI50" s="30">
        <f>IFERROR(AG50*AH50, 0)</f>
        <v/>
      </c>
      <c r="AJ50" s="31" t="n"/>
      <c r="AK50" s="32" t="n"/>
      <c r="AL50" s="30">
        <f>IFERROR(AJ50*AK50, 0)</f>
        <v/>
      </c>
      <c r="AM50" s="31" t="n"/>
      <c r="AN50" s="32" t="n"/>
      <c r="AO50" s="30">
        <f>IFERROR(AM50*AN50, 0)</f>
        <v/>
      </c>
      <c r="AP50" s="31" t="n"/>
      <c r="AQ50" s="32" t="n"/>
      <c r="AR50" s="30">
        <f>IFERROR(AP50*AQ50, 0)</f>
        <v/>
      </c>
      <c r="AS50" s="31" t="n"/>
      <c r="AT50" s="32" t="n"/>
      <c r="AU50" s="30">
        <f>IFERROR(AS50*AT50, 0)</f>
        <v/>
      </c>
      <c r="AV50" s="31" t="n"/>
      <c r="AW50" s="32" t="n"/>
      <c r="AX50" s="30">
        <f>IFERROR(AV50*AW50, 0)</f>
        <v/>
      </c>
      <c r="AY50" s="31" t="n"/>
      <c r="AZ50" s="32" t="n"/>
      <c r="BA50" s="30">
        <f>IFERROR(AY50*AZ50, 0)</f>
        <v/>
      </c>
      <c r="BB50" s="31" t="n"/>
      <c r="BC50" s="32" t="n"/>
      <c r="BD50" s="30">
        <f>IFERROR(BB50*BC50, 0)</f>
        <v/>
      </c>
      <c r="BE50" s="31" t="n"/>
      <c r="BF50" s="32" t="n"/>
      <c r="BG50" s="30">
        <f>IFERROR(BE50*BF50, 0)</f>
        <v/>
      </c>
      <c r="BH50" s="31" t="n"/>
      <c r="BI50" s="32" t="n"/>
      <c r="BJ50" s="30">
        <f>IFERROR(BH50*BI50, 0)</f>
        <v/>
      </c>
      <c r="BK50" s="31" t="n"/>
      <c r="BL50" s="32" t="n"/>
      <c r="BM50" s="30">
        <f>IFERROR(BK50*BL50, 0)</f>
        <v/>
      </c>
      <c r="BN50" s="31" t="n"/>
      <c r="BO50" s="32" t="n"/>
      <c r="BP50" s="30">
        <f>IFERROR(BN50*BO50, 0)</f>
        <v/>
      </c>
      <c r="BQ50" s="31" t="n"/>
      <c r="BR50" s="32" t="n"/>
      <c r="BS50" s="30">
        <f>IFERROR(BQ50*BR50, 0)</f>
        <v/>
      </c>
      <c r="BT50" s="31" t="n"/>
      <c r="BU50" s="32" t="n"/>
      <c r="BV50" s="30">
        <f>IFERROR(BT50*BU50, 0)</f>
        <v/>
      </c>
      <c r="BW50" s="31" t="n"/>
      <c r="BX50" s="32" t="n"/>
      <c r="BY50" s="30">
        <f>IFERROR(BW50*BX50, 0)</f>
        <v/>
      </c>
      <c r="BZ50" s="31" t="n"/>
      <c r="CA50" s="32" t="n"/>
      <c r="CB50" s="30">
        <f>IFERROR(BZ50*CA50, 0)</f>
        <v/>
      </c>
      <c r="CC50" s="31" t="n"/>
      <c r="CD50" s="32" t="n"/>
      <c r="CE50" s="30">
        <f>IFERROR(CC50*CD50, 0)</f>
        <v/>
      </c>
      <c r="CF50" s="31" t="n"/>
      <c r="CG50" s="32" t="n"/>
      <c r="CH50" s="30">
        <f>IFERROR(CF50*CG50, 0)</f>
        <v/>
      </c>
      <c r="CI50" s="31" t="n"/>
      <c r="CJ50" s="32" t="n"/>
      <c r="CK50" s="30">
        <f>IFERROR(CI50*CJ50, 0)</f>
        <v/>
      </c>
      <c r="CL50" s="31" t="n"/>
      <c r="CM50" s="32" t="n"/>
      <c r="CN50" s="30">
        <f>IFERROR(CL50*CM50, 0)</f>
        <v/>
      </c>
      <c r="CO50" s="31" t="n"/>
      <c r="CP50" s="32" t="n"/>
      <c r="CQ50" s="30">
        <f>IFERROR(CO50*CP50, 0)</f>
        <v/>
      </c>
      <c r="CR50" s="31" t="n"/>
      <c r="CS50" s="32" t="n"/>
      <c r="CT50" s="30">
        <f>IFERROR(CR50*CS50, 0)</f>
        <v/>
      </c>
      <c r="CU50" s="33">
        <f>IFERROR(SUM(F50,I50,L50,O50,R50,U50,X50,AA50,AD50,AG50,AJ50,AM50,AP50,AS50,AV50,AY50,BB50,BE50,BH50,BK50,BN50,BQ50,BT50,BW50,BZ50,CC50,CF50,CI50,CL50,CO50,CR50), 0)</f>
        <v/>
      </c>
      <c r="CV50" s="30">
        <f>IFERROR(AVERAGE(G50,J50,M50,P50,S50,V50,Y50,AB50,AE50,AH50,AK50,AN50,AQ50,AT50,AW50,AZ50,BC50,BF50,BI50,BL50,BO50,BR50,BU50,BX50,CA50,CD50,CG50,CJ50,CM50,CP50,CS50), 0)</f>
        <v/>
      </c>
      <c r="CW50" s="30">
        <f>CU50*CV50</f>
        <v/>
      </c>
    </row>
    <row r="51" ht="15.75" customHeight="1">
      <c r="A51" s="37" t="inlineStr">
        <is>
          <t>Hiervas</t>
        </is>
      </c>
      <c r="B51" s="37" t="inlineStr">
        <is>
          <t>Kg</t>
        </is>
      </c>
      <c r="C51" s="35" t="n"/>
      <c r="D51" s="20" t="n"/>
      <c r="E51" s="20" t="n"/>
      <c r="F51" s="31" t="n"/>
      <c r="G51" s="32" t="n"/>
      <c r="H51" s="30">
        <f>IFERROR(F51*G51, 0)</f>
        <v/>
      </c>
      <c r="I51" s="31" t="n"/>
      <c r="J51" s="32" t="n"/>
      <c r="K51" s="30">
        <f>IFERROR(I51*J51, 0)</f>
        <v/>
      </c>
      <c r="L51" s="31" t="n"/>
      <c r="M51" s="32" t="n"/>
      <c r="N51" s="30">
        <f>IFERROR(L51*M51, 0)</f>
        <v/>
      </c>
      <c r="O51" s="31" t="n"/>
      <c r="P51" s="32" t="n"/>
      <c r="Q51" s="30">
        <f>IFERROR(O51*P51, 0)</f>
        <v/>
      </c>
      <c r="R51" s="31" t="n"/>
      <c r="S51" s="32" t="n"/>
      <c r="T51" s="30">
        <f>IFERROR(R51*S51, 0)</f>
        <v/>
      </c>
      <c r="U51" s="31" t="n"/>
      <c r="V51" s="32" t="n"/>
      <c r="W51" s="30">
        <f>IFERROR(U51*V51, 0)</f>
        <v/>
      </c>
      <c r="X51" s="31" t="n"/>
      <c r="Y51" s="32" t="n"/>
      <c r="Z51" s="30">
        <f>IFERROR(X51*Y51, 0)</f>
        <v/>
      </c>
      <c r="AA51" s="31" t="n"/>
      <c r="AB51" s="32" t="n"/>
      <c r="AC51" s="30">
        <f>IFERROR(AA51*AB51, 0)</f>
        <v/>
      </c>
      <c r="AD51" s="31" t="n"/>
      <c r="AE51" s="32" t="n"/>
      <c r="AF51" s="30">
        <f>IFERROR(AD51*AE51, 0)</f>
        <v/>
      </c>
      <c r="AG51" s="31" t="n"/>
      <c r="AH51" s="32" t="n"/>
      <c r="AI51" s="30">
        <f>IFERROR(AG51*AH51, 0)</f>
        <v/>
      </c>
      <c r="AJ51" s="31" t="n"/>
      <c r="AK51" s="32" t="n"/>
      <c r="AL51" s="30">
        <f>IFERROR(AJ51*AK51, 0)</f>
        <v/>
      </c>
      <c r="AM51" s="31" t="n"/>
      <c r="AN51" s="32" t="n"/>
      <c r="AO51" s="30">
        <f>IFERROR(AM51*AN51, 0)</f>
        <v/>
      </c>
      <c r="AP51" s="31" t="n">
        <v>4</v>
      </c>
      <c r="AQ51" s="32" t="n">
        <v>2000</v>
      </c>
      <c r="AR51" s="30" t="n">
        <v>8000</v>
      </c>
      <c r="AS51" s="31" t="n">
        <v>3</v>
      </c>
      <c r="AT51" s="32" t="n">
        <v>2000</v>
      </c>
      <c r="AU51" s="30" t="n">
        <v>6000</v>
      </c>
      <c r="AV51" s="31" t="n"/>
      <c r="AW51" s="32" t="n"/>
      <c r="AX51" s="30">
        <f>IFERROR(AV51*AW51, 0)</f>
        <v/>
      </c>
      <c r="AY51" s="31" t="n"/>
      <c r="AZ51" s="32" t="n"/>
      <c r="BA51" s="30">
        <f>IFERROR(AY51*AZ51, 0)</f>
        <v/>
      </c>
      <c r="BB51" s="31" t="n"/>
      <c r="BC51" s="32" t="n"/>
      <c r="BD51" s="30">
        <f>IFERROR(BB51*BC51, 0)</f>
        <v/>
      </c>
      <c r="BE51" s="31" t="n"/>
      <c r="BF51" s="32" t="n"/>
      <c r="BG51" s="30">
        <f>IFERROR(BE51*BF51, 0)</f>
        <v/>
      </c>
      <c r="BH51" s="31" t="n"/>
      <c r="BI51" s="32" t="n"/>
      <c r="BJ51" s="30">
        <f>IFERROR(BH51*BI51, 0)</f>
        <v/>
      </c>
      <c r="BK51" s="31" t="n"/>
      <c r="BL51" s="32" t="n"/>
      <c r="BM51" s="30">
        <f>IFERROR(BK51*BL51, 0)</f>
        <v/>
      </c>
      <c r="BN51" s="31" t="n">
        <v>1</v>
      </c>
      <c r="BO51" s="32" t="n">
        <v>2000</v>
      </c>
      <c r="BP51" s="30" t="n">
        <v>2000</v>
      </c>
      <c r="BQ51" s="31" t="n"/>
      <c r="BR51" s="32" t="n"/>
      <c r="BS51" s="30">
        <f>IFERROR(BQ51*BR51, 0)</f>
        <v/>
      </c>
      <c r="BT51" s="31" t="n"/>
      <c r="BU51" s="32" t="n"/>
      <c r="BV51" s="30">
        <f>IFERROR(BT51*BU51, 0)</f>
        <v/>
      </c>
      <c r="BW51" s="31" t="n"/>
      <c r="BX51" s="32" t="n"/>
      <c r="BY51" s="30">
        <f>IFERROR(BW51*BX51, 0)</f>
        <v/>
      </c>
      <c r="BZ51" s="31" t="n"/>
      <c r="CA51" s="32" t="n"/>
      <c r="CB51" s="30">
        <f>IFERROR(BZ51*CA51, 0)</f>
        <v/>
      </c>
      <c r="CC51" s="31" t="n"/>
      <c r="CD51" s="32" t="n"/>
      <c r="CE51" s="30">
        <f>IFERROR(CC51*CD51, 0)</f>
        <v/>
      </c>
      <c r="CF51" s="31" t="n"/>
      <c r="CG51" s="32" t="n"/>
      <c r="CH51" s="30">
        <f>IFERROR(CF51*CG51, 0)</f>
        <v/>
      </c>
      <c r="CI51" s="31" t="n"/>
      <c r="CJ51" s="32" t="n"/>
      <c r="CK51" s="30">
        <f>IFERROR(CI51*CJ51, 0)</f>
        <v/>
      </c>
      <c r="CL51" s="31" t="n"/>
      <c r="CM51" s="32" t="n"/>
      <c r="CN51" s="30">
        <f>IFERROR(CL51*CM51, 0)</f>
        <v/>
      </c>
      <c r="CO51" s="31" t="n"/>
      <c r="CP51" s="32" t="n"/>
      <c r="CQ51" s="30">
        <f>IFERROR(CO51*CP51, 0)</f>
        <v/>
      </c>
      <c r="CR51" s="31" t="n"/>
      <c r="CS51" s="32" t="n"/>
      <c r="CT51" s="30">
        <f>IFERROR(CR51*CS51, 0)</f>
        <v/>
      </c>
      <c r="CU51" s="33">
        <f>IFERROR(SUM(F51,I51,L51,O51,R51,U51,X51,AA51,AD51,AG51,AJ51,AM51,AP51,AS51,AV51,AY51,BB51,BE51,BH51,BK51,BN51,BQ51,BT51,BW51,BZ51,CC51,CF51,CI51,CL51,CO51,CR51), 0)</f>
        <v/>
      </c>
      <c r="CV51" s="30">
        <f>IFERROR(AVERAGE(G51,J51,M51,P51,S51,V51,Y51,AB51,AE51,AH51,AK51,AN51,AQ51,AT51,AW51,AZ51,BC51,BF51,BI51,BL51,BO51,BR51,BU51,BX51,CA51,CD51,CG51,CJ51,CM51,CP51,CS51), 0)</f>
        <v/>
      </c>
      <c r="CW51" s="30">
        <f>CU51*CV51</f>
        <v/>
      </c>
    </row>
    <row r="52" ht="15.75" customHeight="1">
      <c r="A52" s="28" t="inlineStr">
        <is>
          <t xml:space="preserve">Habichuela </t>
        </is>
      </c>
      <c r="B52" s="28" t="inlineStr">
        <is>
          <t>Kg</t>
        </is>
      </c>
      <c r="C52" s="34" t="n"/>
      <c r="D52" s="32" t="n"/>
      <c r="E52" s="30" t="n"/>
      <c r="F52" s="31" t="n"/>
      <c r="G52" s="32" t="n"/>
      <c r="H52" s="30">
        <f>IFERROR(F52*G52, 0)</f>
        <v/>
      </c>
      <c r="I52" s="31" t="n"/>
      <c r="J52" s="32" t="n"/>
      <c r="K52" s="30">
        <f>IFERROR(I52*J52, 0)</f>
        <v/>
      </c>
      <c r="L52" s="31" t="n"/>
      <c r="M52" s="32" t="n"/>
      <c r="N52" s="30">
        <f>IFERROR(L52*M52, 0)</f>
        <v/>
      </c>
      <c r="O52" s="31" t="n"/>
      <c r="P52" s="32" t="n"/>
      <c r="Q52" s="30">
        <f>IFERROR(O52*P52, 0)</f>
        <v/>
      </c>
      <c r="R52" s="31" t="n"/>
      <c r="S52" s="32" t="n"/>
      <c r="T52" s="30">
        <f>IFERROR(R52*S52, 0)</f>
        <v/>
      </c>
      <c r="U52" s="31" t="n"/>
      <c r="V52" s="32" t="n"/>
      <c r="W52" s="30">
        <f>IFERROR(U52*V52, 0)</f>
        <v/>
      </c>
      <c r="X52" s="31" t="n"/>
      <c r="Y52" s="32" t="n"/>
      <c r="Z52" s="30">
        <f>IFERROR(X52*Y52, 0)</f>
        <v/>
      </c>
      <c r="AA52" s="31" t="n"/>
      <c r="AB52" s="32" t="n"/>
      <c r="AC52" s="30">
        <f>IFERROR(AA52*AB52, 0)</f>
        <v/>
      </c>
      <c r="AD52" s="31" t="n"/>
      <c r="AE52" s="32" t="n"/>
      <c r="AF52" s="30">
        <f>IFERROR(AD52*AE52, 0)</f>
        <v/>
      </c>
      <c r="AG52" s="31" t="n"/>
      <c r="AH52" s="32" t="n"/>
      <c r="AI52" s="30">
        <f>IFERROR(AG52*AH52, 0)</f>
        <v/>
      </c>
      <c r="AJ52" s="31" t="n"/>
      <c r="AK52" s="32" t="n"/>
      <c r="AL52" s="30">
        <f>IFERROR(AJ52*AK52, 0)</f>
        <v/>
      </c>
      <c r="AM52" s="31" t="n"/>
      <c r="AN52" s="32" t="n"/>
      <c r="AO52" s="30">
        <f>IFERROR(AM52*AN52, 0)</f>
        <v/>
      </c>
      <c r="AP52" s="31" t="n">
        <v>6.1</v>
      </c>
      <c r="AQ52" s="32" t="n">
        <v>3000</v>
      </c>
      <c r="AR52" s="30" t="n">
        <v>20780</v>
      </c>
      <c r="AS52" s="31" t="n"/>
      <c r="AT52" s="32" t="n"/>
      <c r="AU52" s="30">
        <f>IFERROR(AS52*AT52, 0)</f>
        <v/>
      </c>
      <c r="AV52" s="31" t="n"/>
      <c r="AW52" s="32" t="n"/>
      <c r="AX52" s="30">
        <f>IFERROR(AV52*AW52, 0)</f>
        <v/>
      </c>
      <c r="AY52" s="31" t="n"/>
      <c r="AZ52" s="32" t="n"/>
      <c r="BA52" s="30">
        <f>IFERROR(AY52*AZ52, 0)</f>
        <v/>
      </c>
      <c r="BB52" s="31" t="n"/>
      <c r="BC52" s="32" t="n"/>
      <c r="BD52" s="30">
        <f>IFERROR(BB52*BC52, 0)</f>
        <v/>
      </c>
      <c r="BE52" s="31" t="n"/>
      <c r="BF52" s="32" t="n"/>
      <c r="BG52" s="30">
        <f>IFERROR(BE52*BF52, 0)</f>
        <v/>
      </c>
      <c r="BH52" s="31" t="n"/>
      <c r="BI52" s="32" t="n"/>
      <c r="BJ52" s="30">
        <f>IFERROR(BH52*BI52, 0)</f>
        <v/>
      </c>
      <c r="BK52" s="31" t="n"/>
      <c r="BL52" s="32" t="n"/>
      <c r="BM52" s="30">
        <f>IFERROR(BK52*BL52, 0)</f>
        <v/>
      </c>
      <c r="BN52" s="31" t="n">
        <v>3.1</v>
      </c>
      <c r="BO52" s="32" t="n">
        <v>4000</v>
      </c>
      <c r="BP52" s="30" t="n">
        <v>12400</v>
      </c>
      <c r="BQ52" s="31" t="n"/>
      <c r="BR52" s="32" t="n"/>
      <c r="BS52" s="30">
        <f>IFERROR(BQ52*BR52, 0)</f>
        <v/>
      </c>
      <c r="BT52" s="31" t="n"/>
      <c r="BU52" s="32" t="n"/>
      <c r="BV52" s="30">
        <f>IFERROR(BT52*BU52, 0)</f>
        <v/>
      </c>
      <c r="BW52" s="31" t="n"/>
      <c r="BX52" s="32" t="n"/>
      <c r="BY52" s="30">
        <f>IFERROR(BW52*BX52, 0)</f>
        <v/>
      </c>
      <c r="BZ52" s="31" t="n"/>
      <c r="CA52" s="32" t="n"/>
      <c r="CB52" s="30">
        <f>IFERROR(BZ52*CA52, 0)</f>
        <v/>
      </c>
      <c r="CC52" s="31" t="n"/>
      <c r="CD52" s="32" t="n"/>
      <c r="CE52" s="30">
        <f>IFERROR(CC52*CD52, 0)</f>
        <v/>
      </c>
      <c r="CF52" s="31" t="n"/>
      <c r="CG52" s="32" t="n"/>
      <c r="CH52" s="30">
        <f>IFERROR(CF52*CG52, 0)</f>
        <v/>
      </c>
      <c r="CI52" s="31" t="n"/>
      <c r="CJ52" s="32" t="n"/>
      <c r="CK52" s="30">
        <f>IFERROR(CI52*CJ52, 0)</f>
        <v/>
      </c>
      <c r="CL52" s="31" t="n"/>
      <c r="CM52" s="32" t="n"/>
      <c r="CN52" s="30">
        <f>IFERROR(CL52*CM52, 0)</f>
        <v/>
      </c>
      <c r="CO52" s="31" t="n"/>
      <c r="CP52" s="32" t="n"/>
      <c r="CQ52" s="30">
        <f>IFERROR(CO52*CP52, 0)</f>
        <v/>
      </c>
      <c r="CR52" s="31" t="n"/>
      <c r="CS52" s="32" t="n"/>
      <c r="CT52" s="30">
        <f>IFERROR(CR52*CS52, 0)</f>
        <v/>
      </c>
      <c r="CU52" s="33">
        <f>IFERROR(SUM(F52,I52,L52,O52,R52,U52,X52,AA52,AD52,AG52,AJ52,AM52,AP52,AS52,AV52,AY52,BB52,BE52,BH52,BK52,BN52,BQ52,BT52,BW52,BZ52,CC52,CF52,CI52,CL52,CO52,CR52), 0)</f>
        <v/>
      </c>
      <c r="CV52" s="30">
        <f>IFERROR(AVERAGE(G52,J52,M52,P52,S52,V52,Y52,AB52,AE52,AH52,AK52,AN52,AQ52,AT52,AW52,AZ52,BC52,BF52,BI52,BL52,BO52,BR52,BU52,BX52,CA52,CD52,CG52,CJ52,CM52,CP52,CS52), 0)</f>
        <v/>
      </c>
      <c r="CW52" s="30">
        <f>CU52*CV52</f>
        <v/>
      </c>
    </row>
    <row r="53" ht="15.75" customHeight="1">
      <c r="A53" s="28" t="inlineStr">
        <is>
          <t>Guasca</t>
        </is>
      </c>
      <c r="B53" s="28" t="inlineStr">
        <is>
          <t>Lb</t>
        </is>
      </c>
      <c r="C53" s="34" t="n"/>
      <c r="D53" s="32" t="n"/>
      <c r="E53" s="32" t="n"/>
      <c r="F53" s="31" t="n"/>
      <c r="G53" s="32" t="n"/>
      <c r="H53" s="30">
        <f>IFERROR(F53*G53, 0)</f>
        <v/>
      </c>
      <c r="I53" s="31" t="n"/>
      <c r="J53" s="32" t="n"/>
      <c r="K53" s="30">
        <f>IFERROR(I53*J53, 0)</f>
        <v/>
      </c>
      <c r="L53" s="31" t="n"/>
      <c r="M53" s="32" t="n"/>
      <c r="N53" s="30">
        <f>IFERROR(L53*M53, 0)</f>
        <v/>
      </c>
      <c r="O53" s="31" t="n"/>
      <c r="P53" s="32" t="n"/>
      <c r="Q53" s="30">
        <f>IFERROR(O53*P53, 0)</f>
        <v/>
      </c>
      <c r="R53" s="31" t="n"/>
      <c r="S53" s="32" t="n"/>
      <c r="T53" s="30">
        <f>IFERROR(R53*S53, 0)</f>
        <v/>
      </c>
      <c r="U53" s="31" t="n"/>
      <c r="V53" s="32" t="n"/>
      <c r="W53" s="30">
        <f>IFERROR(U53*V53, 0)</f>
        <v/>
      </c>
      <c r="X53" s="31" t="n"/>
      <c r="Y53" s="32" t="n"/>
      <c r="Z53" s="30">
        <f>IFERROR(X53*Y53, 0)</f>
        <v/>
      </c>
      <c r="AA53" s="31" t="n"/>
      <c r="AB53" s="32" t="n"/>
      <c r="AC53" s="30">
        <f>IFERROR(AA53*AB53, 0)</f>
        <v/>
      </c>
      <c r="AD53" s="31" t="n">
        <v>1</v>
      </c>
      <c r="AE53" s="32" t="n">
        <v>10000</v>
      </c>
      <c r="AF53" s="30" t="n">
        <v>10000</v>
      </c>
      <c r="AG53" s="31" t="n"/>
      <c r="AH53" s="32" t="n"/>
      <c r="AI53" s="30">
        <f>IFERROR(AG53*AH53, 0)</f>
        <v/>
      </c>
      <c r="AJ53" s="31" t="n"/>
      <c r="AK53" s="32" t="n"/>
      <c r="AL53" s="30">
        <f>IFERROR(AJ53*AK53, 0)</f>
        <v/>
      </c>
      <c r="AM53" s="31" t="n"/>
      <c r="AN53" s="32" t="n"/>
      <c r="AO53" s="30">
        <f>IFERROR(AM53*AN53, 0)</f>
        <v/>
      </c>
      <c r="AP53" s="31" t="n"/>
      <c r="AQ53" s="32" t="n"/>
      <c r="AR53" s="30">
        <f>IFERROR(AP53*AQ53, 0)</f>
        <v/>
      </c>
      <c r="AS53" s="31" t="n"/>
      <c r="AT53" s="32" t="n"/>
      <c r="AU53" s="30">
        <f>IFERROR(AS53*AT53, 0)</f>
        <v/>
      </c>
      <c r="AV53" s="31" t="n"/>
      <c r="AW53" s="32" t="n"/>
      <c r="AX53" s="30">
        <f>IFERROR(AV53*AW53, 0)</f>
        <v/>
      </c>
      <c r="AY53" s="31" t="n"/>
      <c r="AZ53" s="32" t="n"/>
      <c r="BA53" s="30">
        <f>IFERROR(AY53*AZ53, 0)</f>
        <v/>
      </c>
      <c r="BB53" s="31" t="n"/>
      <c r="BC53" s="32" t="n"/>
      <c r="BD53" s="30">
        <f>IFERROR(BB53*BC53, 0)</f>
        <v/>
      </c>
      <c r="BE53" s="31" t="n"/>
      <c r="BF53" s="32" t="n"/>
      <c r="BG53" s="30">
        <f>IFERROR(BE53*BF53, 0)</f>
        <v/>
      </c>
      <c r="BH53" s="31" t="n"/>
      <c r="BI53" s="32" t="n"/>
      <c r="BJ53" s="30">
        <f>IFERROR(BH53*BI53, 0)</f>
        <v/>
      </c>
      <c r="BK53" s="31" t="n"/>
      <c r="BL53" s="32" t="n"/>
      <c r="BM53" s="30">
        <f>IFERROR(BK53*BL53, 0)</f>
        <v/>
      </c>
      <c r="BN53" s="31" t="n"/>
      <c r="BO53" s="32" t="n"/>
      <c r="BP53" s="30">
        <f>IFERROR(BN53*BO53, 0)</f>
        <v/>
      </c>
      <c r="BQ53" s="31" t="n"/>
      <c r="BR53" s="32" t="n"/>
      <c r="BS53" s="30">
        <f>IFERROR(BQ53*BR53, 0)</f>
        <v/>
      </c>
      <c r="BT53" s="31" t="n"/>
      <c r="BU53" s="32" t="n"/>
      <c r="BV53" s="30">
        <f>IFERROR(BT53*BU53, 0)</f>
        <v/>
      </c>
      <c r="BW53" s="31" t="n"/>
      <c r="BX53" s="32" t="n"/>
      <c r="BY53" s="30">
        <f>IFERROR(BW53*BX53, 0)</f>
        <v/>
      </c>
      <c r="BZ53" s="31" t="n"/>
      <c r="CA53" s="32" t="n"/>
      <c r="CB53" s="30">
        <f>IFERROR(BZ53*CA53, 0)</f>
        <v/>
      </c>
      <c r="CC53" s="31" t="n"/>
      <c r="CD53" s="32" t="n"/>
      <c r="CE53" s="30">
        <f>IFERROR(CC53*CD53, 0)</f>
        <v/>
      </c>
      <c r="CF53" s="31" t="n"/>
      <c r="CG53" s="32" t="n"/>
      <c r="CH53" s="30">
        <f>IFERROR(CF53*CG53, 0)</f>
        <v/>
      </c>
      <c r="CI53" s="31" t="n"/>
      <c r="CJ53" s="32" t="n"/>
      <c r="CK53" s="30">
        <f>IFERROR(CI53*CJ53, 0)</f>
        <v/>
      </c>
      <c r="CL53" s="31" t="n"/>
      <c r="CM53" s="32" t="n"/>
      <c r="CN53" s="30">
        <f>IFERROR(CL53*CM53, 0)</f>
        <v/>
      </c>
      <c r="CO53" s="31" t="n"/>
      <c r="CP53" s="32" t="n"/>
      <c r="CQ53" s="30">
        <f>IFERROR(CO53*CP53, 0)</f>
        <v/>
      </c>
      <c r="CR53" s="31" t="n"/>
      <c r="CS53" s="32" t="n"/>
      <c r="CT53" s="30">
        <f>IFERROR(CR53*CS53, 0)</f>
        <v/>
      </c>
      <c r="CU53" s="33">
        <f>IFERROR(SUM(F53,I53,L53,O53,R53,U53,X53,AA53,AD53,AG53,AJ53,AM53,AP53,AS53,AV53,AY53,BB53,BE53,BH53,BK53,BN53,BQ53,BT53,BW53,BZ53,CC53,CF53,CI53,CL53,CO53,CR53), 0)</f>
        <v/>
      </c>
      <c r="CV53" s="30">
        <f>IFERROR(AVERAGE(G53,J53,M53,P53,S53,V53,Y53,AB53,AE53,AH53,AK53,AN53,AQ53,AT53,AW53,AZ53,BC53,BF53,BI53,BL53,BO53,BR53,BU53,BX53,CA53,CD53,CG53,CJ53,CM53,CP53,CS53), 0)</f>
        <v/>
      </c>
      <c r="CW53" s="30">
        <f>CU53*CV53</f>
        <v/>
      </c>
    </row>
    <row r="54" ht="15.75" customHeight="1">
      <c r="A54" s="28" t="inlineStr">
        <is>
          <t xml:space="preserve">Frijol verdes </t>
        </is>
      </c>
      <c r="B54" s="28" t="inlineStr">
        <is>
          <t>Lb</t>
        </is>
      </c>
      <c r="C54" s="34" t="n"/>
      <c r="D54" s="32" t="n"/>
      <c r="E54" s="32" t="n"/>
      <c r="F54" s="31" t="n"/>
      <c r="G54" s="32" t="n"/>
      <c r="H54" s="30">
        <f>IFERROR(F54*G54, 0)</f>
        <v/>
      </c>
      <c r="I54" s="31" t="n"/>
      <c r="J54" s="32" t="n"/>
      <c r="K54" s="30">
        <f>IFERROR(I54*J54, 0)</f>
        <v/>
      </c>
      <c r="L54" s="31" t="n"/>
      <c r="M54" s="32" t="n"/>
      <c r="N54" s="30">
        <f>IFERROR(L54*M54, 0)</f>
        <v/>
      </c>
      <c r="O54" s="31" t="n"/>
      <c r="P54" s="32" t="n"/>
      <c r="Q54" s="30">
        <f>IFERROR(O54*P54, 0)</f>
        <v/>
      </c>
      <c r="R54" s="31" t="n"/>
      <c r="S54" s="32" t="n"/>
      <c r="T54" s="30">
        <f>IFERROR(R54*S54, 0)</f>
        <v/>
      </c>
      <c r="U54" s="31" t="n"/>
      <c r="V54" s="32" t="n"/>
      <c r="W54" s="30">
        <f>IFERROR(U54*V54, 0)</f>
        <v/>
      </c>
      <c r="X54" s="31" t="n"/>
      <c r="Y54" s="32" t="n"/>
      <c r="Z54" s="30">
        <f>IFERROR(X54*Y54, 0)</f>
        <v/>
      </c>
      <c r="AA54" s="31" t="n"/>
      <c r="AB54" s="32" t="n"/>
      <c r="AC54" s="30">
        <f>IFERROR(AA54*AB54, 0)</f>
        <v/>
      </c>
      <c r="AD54" s="31" t="n"/>
      <c r="AE54" s="32" t="n"/>
      <c r="AF54" s="30">
        <f>IFERROR(AD54*AE54, 0)</f>
        <v/>
      </c>
      <c r="AG54" s="31" t="n"/>
      <c r="AH54" s="32" t="n"/>
      <c r="AI54" s="30">
        <f>IFERROR(AG54*AH54, 0)</f>
        <v/>
      </c>
      <c r="AJ54" s="31" t="n"/>
      <c r="AK54" s="32" t="n"/>
      <c r="AL54" s="30">
        <f>IFERROR(AJ54*AK54, 0)</f>
        <v/>
      </c>
      <c r="AM54" s="31" t="n"/>
      <c r="AN54" s="32" t="n"/>
      <c r="AO54" s="30">
        <f>IFERROR(AM54*AN54, 0)</f>
        <v/>
      </c>
      <c r="AP54" s="31" t="n"/>
      <c r="AQ54" s="32" t="n"/>
      <c r="AR54" s="30">
        <f>IFERROR(AP54*AQ54, 0)</f>
        <v/>
      </c>
      <c r="AS54" s="31" t="n"/>
      <c r="AT54" s="32" t="n"/>
      <c r="AU54" s="30">
        <f>IFERROR(AS54*AT54, 0)</f>
        <v/>
      </c>
      <c r="AV54" s="31" t="n"/>
      <c r="AW54" s="32" t="n"/>
      <c r="AX54" s="30">
        <f>IFERROR(AV54*AW54, 0)</f>
        <v/>
      </c>
      <c r="AY54" s="31" t="n"/>
      <c r="AZ54" s="32" t="n"/>
      <c r="BA54" s="30">
        <f>IFERROR(AY54*AZ54, 0)</f>
        <v/>
      </c>
      <c r="BB54" s="31" t="n"/>
      <c r="BC54" s="32" t="n"/>
      <c r="BD54" s="30">
        <f>IFERROR(BB54*BC54, 0)</f>
        <v/>
      </c>
      <c r="BE54" s="31" t="n"/>
      <c r="BF54" s="32" t="n"/>
      <c r="BG54" s="30">
        <f>IFERROR(BE54*BF54, 0)</f>
        <v/>
      </c>
      <c r="BH54" s="31" t="n"/>
      <c r="BI54" s="32" t="n"/>
      <c r="BJ54" s="30">
        <f>IFERROR(BH54*BI54, 0)</f>
        <v/>
      </c>
      <c r="BK54" s="31" t="n"/>
      <c r="BL54" s="32" t="n"/>
      <c r="BM54" s="30">
        <f>IFERROR(BK54*BL54, 0)</f>
        <v/>
      </c>
      <c r="BN54" s="31" t="n"/>
      <c r="BO54" s="32" t="n"/>
      <c r="BP54" s="30">
        <f>IFERROR(BN54*BO54, 0)</f>
        <v/>
      </c>
      <c r="BQ54" s="31" t="n"/>
      <c r="BR54" s="32" t="n"/>
      <c r="BS54" s="30">
        <f>IFERROR(BQ54*BR54, 0)</f>
        <v/>
      </c>
      <c r="BT54" s="31" t="n"/>
      <c r="BU54" s="32" t="n"/>
      <c r="BV54" s="30">
        <f>IFERROR(BT54*BU54, 0)</f>
        <v/>
      </c>
      <c r="BW54" s="31" t="n"/>
      <c r="BX54" s="32" t="n"/>
      <c r="BY54" s="30">
        <f>IFERROR(BW54*BX54, 0)</f>
        <v/>
      </c>
      <c r="BZ54" s="31" t="n"/>
      <c r="CA54" s="32" t="n"/>
      <c r="CB54" s="30">
        <f>IFERROR(BZ54*CA54, 0)</f>
        <v/>
      </c>
      <c r="CC54" s="31" t="n"/>
      <c r="CD54" s="32" t="n"/>
      <c r="CE54" s="30">
        <f>IFERROR(CC54*CD54, 0)</f>
        <v/>
      </c>
      <c r="CF54" s="31" t="n"/>
      <c r="CG54" s="32" t="n"/>
      <c r="CH54" s="30">
        <f>IFERROR(CF54*CG54, 0)</f>
        <v/>
      </c>
      <c r="CI54" s="31" t="n"/>
      <c r="CJ54" s="32" t="n"/>
      <c r="CK54" s="30">
        <f>IFERROR(CI54*CJ54, 0)</f>
        <v/>
      </c>
      <c r="CL54" s="31" t="n"/>
      <c r="CM54" s="32" t="n"/>
      <c r="CN54" s="30">
        <f>IFERROR(CL54*CM54, 0)</f>
        <v/>
      </c>
      <c r="CO54" s="31" t="n"/>
      <c r="CP54" s="32" t="n"/>
      <c r="CQ54" s="30">
        <f>IFERROR(CO54*CP54, 0)</f>
        <v/>
      </c>
      <c r="CR54" s="31" t="n"/>
      <c r="CS54" s="32" t="n"/>
      <c r="CT54" s="30">
        <f>IFERROR(CR54*CS54, 0)</f>
        <v/>
      </c>
      <c r="CU54" s="33">
        <f>IFERROR(SUM(F54,I54,L54,O54,R54,U54,X54,AA54,AD54,AG54,AJ54,AM54,AP54,AS54,AV54,AY54,BB54,BE54,BH54,BK54,BN54,BQ54,BT54,BW54,BZ54,CC54,CF54,CI54,CL54,CO54,CR54), 0)</f>
        <v/>
      </c>
      <c r="CV54" s="30">
        <f>IFERROR(AVERAGE(G54,J54,M54,P54,S54,V54,Y54,AB54,AE54,AH54,AK54,AN54,AQ54,AT54,AW54,AZ54,BC54,BF54,BI54,BL54,BO54,BR54,BU54,BX54,CA54,CD54,CG54,CJ54,CM54,CP54,CS54), 0)</f>
        <v/>
      </c>
      <c r="CW54" s="30">
        <f>CU54*CV54</f>
        <v/>
      </c>
    </row>
    <row r="55" ht="15.75" customHeight="1">
      <c r="A55" s="28" t="inlineStr">
        <is>
          <t>Fresa</t>
        </is>
      </c>
      <c r="B55" s="28" t="inlineStr">
        <is>
          <t>Kg</t>
        </is>
      </c>
      <c r="C55" s="34" t="n"/>
      <c r="D55" s="32" t="n"/>
      <c r="E55" s="32" t="n"/>
      <c r="F55" s="31" t="n"/>
      <c r="G55" s="32" t="n"/>
      <c r="H55" s="30">
        <f>IFERROR(F55*G55, 0)</f>
        <v/>
      </c>
      <c r="I55" s="31" t="n"/>
      <c r="J55" s="32" t="n"/>
      <c r="K55" s="30">
        <f>IFERROR(I55*J55, 0)</f>
        <v/>
      </c>
      <c r="L55" s="31" t="n"/>
      <c r="M55" s="32" t="n"/>
      <c r="N55" s="30">
        <f>IFERROR(L55*M55, 0)</f>
        <v/>
      </c>
      <c r="O55" s="31" t="n"/>
      <c r="P55" s="32" t="n"/>
      <c r="Q55" s="30">
        <f>IFERROR(O55*P55, 0)</f>
        <v/>
      </c>
      <c r="R55" s="31" t="n"/>
      <c r="S55" s="32" t="n"/>
      <c r="T55" s="30">
        <f>IFERROR(R55*S55, 0)</f>
        <v/>
      </c>
      <c r="U55" s="31" t="n"/>
      <c r="V55" s="32" t="n"/>
      <c r="W55" s="30">
        <f>IFERROR(U55*V55, 0)</f>
        <v/>
      </c>
      <c r="X55" s="31" t="n"/>
      <c r="Y55" s="32" t="n"/>
      <c r="Z55" s="30">
        <f>IFERROR(X55*Y55, 0)</f>
        <v/>
      </c>
      <c r="AA55" s="31" t="n"/>
      <c r="AB55" s="32" t="n"/>
      <c r="AC55" s="30">
        <f>IFERROR(AA55*AB55, 0)</f>
        <v/>
      </c>
      <c r="AD55" s="31" t="n"/>
      <c r="AE55" s="32" t="n"/>
      <c r="AF55" s="30">
        <f>IFERROR(AD55*AE55, 0)</f>
        <v/>
      </c>
      <c r="AG55" s="31" t="n"/>
      <c r="AH55" s="32" t="n"/>
      <c r="AI55" s="30">
        <f>IFERROR(AG55*AH55, 0)</f>
        <v/>
      </c>
      <c r="AJ55" s="31" t="n"/>
      <c r="AK55" s="32" t="n"/>
      <c r="AL55" s="30">
        <f>IFERROR(AJ55*AK55, 0)</f>
        <v/>
      </c>
      <c r="AM55" s="31" t="n"/>
      <c r="AN55" s="32" t="n"/>
      <c r="AO55" s="30">
        <f>IFERROR(AM55*AN55, 0)</f>
        <v/>
      </c>
      <c r="AP55" s="31" t="n"/>
      <c r="AQ55" s="32" t="n"/>
      <c r="AR55" s="30">
        <f>IFERROR(AP55*AQ55, 0)</f>
        <v/>
      </c>
      <c r="AS55" s="31" t="n"/>
      <c r="AT55" s="32" t="n"/>
      <c r="AU55" s="30">
        <f>IFERROR(AS55*AT55, 0)</f>
        <v/>
      </c>
      <c r="AV55" s="31" t="n"/>
      <c r="AW55" s="32" t="n"/>
      <c r="AX55" s="30">
        <f>IFERROR(AV55*AW55, 0)</f>
        <v/>
      </c>
      <c r="AY55" s="31" t="n"/>
      <c r="AZ55" s="32" t="n"/>
      <c r="BA55" s="30">
        <f>IFERROR(AY55*AZ55, 0)</f>
        <v/>
      </c>
      <c r="BB55" s="31" t="n"/>
      <c r="BC55" s="32" t="n"/>
      <c r="BD55" s="30">
        <f>IFERROR(BB55*BC55, 0)</f>
        <v/>
      </c>
      <c r="BE55" s="31" t="n"/>
      <c r="BF55" s="32" t="n"/>
      <c r="BG55" s="30">
        <f>IFERROR(BE55*BF55, 0)</f>
        <v/>
      </c>
      <c r="BH55" s="31" t="n"/>
      <c r="BI55" s="32" t="n"/>
      <c r="BJ55" s="30">
        <f>IFERROR(BH55*BI55, 0)</f>
        <v/>
      </c>
      <c r="BK55" s="31" t="n"/>
      <c r="BL55" s="32" t="n"/>
      <c r="BM55" s="30">
        <f>IFERROR(BK55*BL55, 0)</f>
        <v/>
      </c>
      <c r="BN55" s="31" t="n"/>
      <c r="BO55" s="32" t="n"/>
      <c r="BP55" s="30">
        <f>IFERROR(BN55*BO55, 0)</f>
        <v/>
      </c>
      <c r="BQ55" s="31" t="n"/>
      <c r="BR55" s="32" t="n"/>
      <c r="BS55" s="30">
        <f>IFERROR(BQ55*BR55, 0)</f>
        <v/>
      </c>
      <c r="BT55" s="31" t="n"/>
      <c r="BU55" s="32" t="n"/>
      <c r="BV55" s="30">
        <f>IFERROR(BT55*BU55, 0)</f>
        <v/>
      </c>
      <c r="BW55" s="31" t="n"/>
      <c r="BX55" s="32" t="n"/>
      <c r="BY55" s="30">
        <f>IFERROR(BW55*BX55, 0)</f>
        <v/>
      </c>
      <c r="BZ55" s="31" t="n"/>
      <c r="CA55" s="32" t="n"/>
      <c r="CB55" s="30">
        <f>IFERROR(BZ55*CA55, 0)</f>
        <v/>
      </c>
      <c r="CC55" s="31" t="n"/>
      <c r="CD55" s="32" t="n"/>
      <c r="CE55" s="30">
        <f>IFERROR(CC55*CD55, 0)</f>
        <v/>
      </c>
      <c r="CF55" s="31" t="n"/>
      <c r="CG55" s="32" t="n"/>
      <c r="CH55" s="30">
        <f>IFERROR(CF55*CG55, 0)</f>
        <v/>
      </c>
      <c r="CI55" s="31" t="n"/>
      <c r="CJ55" s="32" t="n"/>
      <c r="CK55" s="30">
        <f>IFERROR(CI55*CJ55, 0)</f>
        <v/>
      </c>
      <c r="CL55" s="31" t="n"/>
      <c r="CM55" s="32" t="n"/>
      <c r="CN55" s="30">
        <f>IFERROR(CL55*CM55, 0)</f>
        <v/>
      </c>
      <c r="CO55" s="31" t="n"/>
      <c r="CP55" s="32" t="n"/>
      <c r="CQ55" s="30">
        <f>IFERROR(CO55*CP55, 0)</f>
        <v/>
      </c>
      <c r="CR55" s="31" t="n"/>
      <c r="CS55" s="32" t="n"/>
      <c r="CT55" s="30">
        <f>IFERROR(CR55*CS55, 0)</f>
        <v/>
      </c>
      <c r="CU55" s="33">
        <f>IFERROR(SUM(F55,I55,L55,O55,R55,U55,X55,AA55,AD55,AG55,AJ55,AM55,AP55,AS55,AV55,AY55,BB55,BE55,BH55,BK55,BN55,BQ55,BT55,BW55,BZ55,CC55,CF55,CI55,CL55,CO55,CR55), 0)</f>
        <v/>
      </c>
      <c r="CV55" s="30">
        <f>IFERROR(AVERAGE(G55,J55,M55,P55,S55,V55,Y55,AB55,AE55,AH55,AK55,AN55,AQ55,AT55,AW55,AZ55,BC55,BF55,BI55,BL55,BO55,BR55,BU55,BX55,CA55,CD55,CG55,CJ55,CM55,CP55,CS55), 0)</f>
        <v/>
      </c>
      <c r="CW55" s="30">
        <f>CU55*CV55</f>
        <v/>
      </c>
    </row>
    <row r="56" ht="15.75" customHeight="1">
      <c r="A56" s="28" t="inlineStr">
        <is>
          <t xml:space="preserve">Espinaca </t>
        </is>
      </c>
      <c r="B56" s="28" t="inlineStr">
        <is>
          <t>Lb</t>
        </is>
      </c>
      <c r="C56" s="34" t="n"/>
      <c r="D56" s="32" t="n"/>
      <c r="E56" s="32" t="n"/>
      <c r="F56" s="31" t="n"/>
      <c r="G56" s="32" t="n"/>
      <c r="H56" s="30">
        <f>IFERROR(F56*G56, 0)</f>
        <v/>
      </c>
      <c r="I56" s="31" t="n"/>
      <c r="J56" s="32" t="n"/>
      <c r="K56" s="30">
        <f>IFERROR(I56*J56, 0)</f>
        <v/>
      </c>
      <c r="L56" s="31" t="n"/>
      <c r="M56" s="32" t="n"/>
      <c r="N56" s="30">
        <f>IFERROR(L56*M56, 0)</f>
        <v/>
      </c>
      <c r="O56" s="31" t="n"/>
      <c r="P56" s="32" t="n"/>
      <c r="Q56" s="30">
        <f>IFERROR(O56*P56, 0)</f>
        <v/>
      </c>
      <c r="R56" s="31" t="n"/>
      <c r="S56" s="32" t="n"/>
      <c r="T56" s="30">
        <f>IFERROR(R56*S56, 0)</f>
        <v/>
      </c>
      <c r="U56" s="31" t="n"/>
      <c r="V56" s="32" t="n"/>
      <c r="W56" s="30">
        <f>IFERROR(U56*V56, 0)</f>
        <v/>
      </c>
      <c r="X56" s="31" t="n"/>
      <c r="Y56" s="32" t="n"/>
      <c r="Z56" s="30">
        <f>IFERROR(X56*Y56, 0)</f>
        <v/>
      </c>
      <c r="AA56" s="31" t="n"/>
      <c r="AB56" s="32" t="n"/>
      <c r="AC56" s="30">
        <f>IFERROR(AA56*AB56, 0)</f>
        <v/>
      </c>
      <c r="AD56" s="31" t="n"/>
      <c r="AE56" s="32" t="n"/>
      <c r="AF56" s="30">
        <f>IFERROR(AD56*AE56, 0)</f>
        <v/>
      </c>
      <c r="AG56" s="31" t="n"/>
      <c r="AH56" s="32" t="n"/>
      <c r="AI56" s="30">
        <f>IFERROR(AG56*AH56, 0)</f>
        <v/>
      </c>
      <c r="AJ56" s="31" t="n"/>
      <c r="AK56" s="32" t="n"/>
      <c r="AL56" s="30">
        <f>IFERROR(AJ56*AK56, 0)</f>
        <v/>
      </c>
      <c r="AM56" s="31" t="n"/>
      <c r="AN56" s="32" t="n"/>
      <c r="AO56" s="30">
        <f>IFERROR(AM56*AN56, 0)</f>
        <v/>
      </c>
      <c r="AP56" s="31" t="n"/>
      <c r="AQ56" s="32" t="n"/>
      <c r="AR56" s="30">
        <f>IFERROR(AP56*AQ56, 0)</f>
        <v/>
      </c>
      <c r="AS56" s="31" t="n"/>
      <c r="AT56" s="32" t="n"/>
      <c r="AU56" s="30">
        <f>IFERROR(AS56*AT56, 0)</f>
        <v/>
      </c>
      <c r="AV56" s="31" t="n"/>
      <c r="AW56" s="32" t="n"/>
      <c r="AX56" s="30">
        <f>IFERROR(AV56*AW56, 0)</f>
        <v/>
      </c>
      <c r="AY56" s="31" t="n"/>
      <c r="AZ56" s="32" t="n"/>
      <c r="BA56" s="30">
        <f>IFERROR(AY56*AZ56, 0)</f>
        <v/>
      </c>
      <c r="BB56" s="31" t="n"/>
      <c r="BC56" s="32" t="n"/>
      <c r="BD56" s="30">
        <f>IFERROR(BB56*BC56, 0)</f>
        <v/>
      </c>
      <c r="BE56" s="31" t="n"/>
      <c r="BF56" s="32" t="n"/>
      <c r="BG56" s="30">
        <f>IFERROR(BE56*BF56, 0)</f>
        <v/>
      </c>
      <c r="BH56" s="31" t="n"/>
      <c r="BI56" s="32" t="n"/>
      <c r="BJ56" s="30">
        <f>IFERROR(BH56*BI56, 0)</f>
        <v/>
      </c>
      <c r="BK56" s="31" t="n"/>
      <c r="BL56" s="32" t="n"/>
      <c r="BM56" s="30">
        <f>IFERROR(BK56*BL56, 0)</f>
        <v/>
      </c>
      <c r="BN56" s="31" t="n"/>
      <c r="BO56" s="32" t="n"/>
      <c r="BP56" s="30">
        <f>IFERROR(BN56*BO56, 0)</f>
        <v/>
      </c>
      <c r="BQ56" s="31" t="n"/>
      <c r="BR56" s="32" t="n"/>
      <c r="BS56" s="30">
        <f>IFERROR(BQ56*BR56, 0)</f>
        <v/>
      </c>
      <c r="BT56" s="31" t="n"/>
      <c r="BU56" s="32" t="n"/>
      <c r="BV56" s="30">
        <f>IFERROR(BT56*BU56, 0)</f>
        <v/>
      </c>
      <c r="BW56" s="31" t="n"/>
      <c r="BX56" s="32" t="n"/>
      <c r="BY56" s="30">
        <f>IFERROR(BW56*BX56, 0)</f>
        <v/>
      </c>
      <c r="BZ56" s="31" t="n"/>
      <c r="CA56" s="32" t="n"/>
      <c r="CB56" s="30">
        <f>IFERROR(BZ56*CA56, 0)</f>
        <v/>
      </c>
      <c r="CC56" s="31" t="n"/>
      <c r="CD56" s="32" t="n"/>
      <c r="CE56" s="30">
        <f>IFERROR(CC56*CD56, 0)</f>
        <v/>
      </c>
      <c r="CF56" s="31" t="n"/>
      <c r="CG56" s="32" t="n"/>
      <c r="CH56" s="30">
        <f>IFERROR(CF56*CG56, 0)</f>
        <v/>
      </c>
      <c r="CI56" s="31" t="n"/>
      <c r="CJ56" s="32" t="n"/>
      <c r="CK56" s="30">
        <f>IFERROR(CI56*CJ56, 0)</f>
        <v/>
      </c>
      <c r="CL56" s="31" t="n"/>
      <c r="CM56" s="32" t="n"/>
      <c r="CN56" s="30">
        <f>IFERROR(CL56*CM56, 0)</f>
        <v/>
      </c>
      <c r="CO56" s="31" t="n"/>
      <c r="CP56" s="32" t="n"/>
      <c r="CQ56" s="30">
        <f>IFERROR(CO56*CP56, 0)</f>
        <v/>
      </c>
      <c r="CR56" s="31" t="n"/>
      <c r="CS56" s="32" t="n"/>
      <c r="CT56" s="30">
        <f>IFERROR(CR56*CS56, 0)</f>
        <v/>
      </c>
      <c r="CU56" s="33">
        <f>IFERROR(SUM(F56,I56,L56,O56,R56,U56,X56,AA56,AD56,AG56,AJ56,AM56,AP56,AS56,AV56,AY56,BB56,BE56,BH56,BK56,BN56,BQ56,BT56,BW56,BZ56,CC56,CF56,CI56,CL56,CO56,CR56), 0)</f>
        <v/>
      </c>
      <c r="CV56" s="30">
        <f>IFERROR(AVERAGE(G56,J56,M56,P56,S56,V56,Y56,AB56,AE56,AH56,AK56,AN56,AQ56,AT56,AW56,AZ56,BC56,BF56,BI56,BL56,BO56,BR56,BU56,BX56,CA56,CD56,CG56,CJ56,CM56,CP56,CS56), 0)</f>
        <v/>
      </c>
      <c r="CW56" s="30">
        <f>CU56*CV56</f>
        <v/>
      </c>
    </row>
    <row r="57" ht="15.75" customHeight="1">
      <c r="A57" s="28" t="inlineStr">
        <is>
          <t>Coliflor</t>
        </is>
      </c>
      <c r="B57" s="28" t="inlineStr">
        <is>
          <t>Kg</t>
        </is>
      </c>
      <c r="C57" s="34" t="n"/>
      <c r="D57" s="32" t="n"/>
      <c r="E57" s="32" t="n"/>
      <c r="F57" s="31" t="n"/>
      <c r="G57" s="32" t="n"/>
      <c r="H57" s="30">
        <f>IFERROR(F57*G57, 0)</f>
        <v/>
      </c>
      <c r="I57" s="31" t="n"/>
      <c r="J57" s="32" t="n"/>
      <c r="K57" s="30">
        <f>IFERROR(I57*J57, 0)</f>
        <v/>
      </c>
      <c r="L57" s="31" t="n"/>
      <c r="M57" s="32" t="n"/>
      <c r="N57" s="30">
        <f>IFERROR(L57*M57, 0)</f>
        <v/>
      </c>
      <c r="O57" s="31" t="n"/>
      <c r="P57" s="32" t="n"/>
      <c r="Q57" s="30">
        <f>IFERROR(O57*P57, 0)</f>
        <v/>
      </c>
      <c r="R57" s="31" t="n"/>
      <c r="S57" s="32" t="n"/>
      <c r="T57" s="30">
        <f>IFERROR(R57*S57, 0)</f>
        <v/>
      </c>
      <c r="U57" s="31" t="n"/>
      <c r="V57" s="32" t="n"/>
      <c r="W57" s="30">
        <f>IFERROR(U57*V57, 0)</f>
        <v/>
      </c>
      <c r="X57" s="31" t="n"/>
      <c r="Y57" s="32" t="n"/>
      <c r="Z57" s="30">
        <f>IFERROR(X57*Y57, 0)</f>
        <v/>
      </c>
      <c r="AA57" s="31" t="n"/>
      <c r="AB57" s="32" t="n"/>
      <c r="AC57" s="30">
        <f>IFERROR(AA57*AB57, 0)</f>
        <v/>
      </c>
      <c r="AD57" s="31" t="n"/>
      <c r="AE57" s="32" t="n"/>
      <c r="AF57" s="30">
        <f>IFERROR(AD57*AE57, 0)</f>
        <v/>
      </c>
      <c r="AG57" s="31" t="n"/>
      <c r="AH57" s="32" t="n"/>
      <c r="AI57" s="30">
        <f>IFERROR(AG57*AH57, 0)</f>
        <v/>
      </c>
      <c r="AJ57" s="31" t="n"/>
      <c r="AK57" s="32" t="n"/>
      <c r="AL57" s="30">
        <f>IFERROR(AJ57*AK57, 0)</f>
        <v/>
      </c>
      <c r="AM57" s="31" t="n"/>
      <c r="AN57" s="32" t="n"/>
      <c r="AO57" s="30">
        <f>IFERROR(AM57*AN57, 0)</f>
        <v/>
      </c>
      <c r="AP57" s="31" t="n"/>
      <c r="AQ57" s="32" t="n"/>
      <c r="AR57" s="30">
        <f>IFERROR(AP57*AQ57, 0)</f>
        <v/>
      </c>
      <c r="AS57" s="31" t="n"/>
      <c r="AT57" s="32" t="n"/>
      <c r="AU57" s="30">
        <f>IFERROR(AS57*AT57, 0)</f>
        <v/>
      </c>
      <c r="AV57" s="31" t="n"/>
      <c r="AW57" s="32" t="n"/>
      <c r="AX57" s="30">
        <f>IFERROR(AV57*AW57, 0)</f>
        <v/>
      </c>
      <c r="AY57" s="31" t="n"/>
      <c r="AZ57" s="32" t="n"/>
      <c r="BA57" s="30">
        <f>IFERROR(AY57*AZ57, 0)</f>
        <v/>
      </c>
      <c r="BB57" s="31" t="n"/>
      <c r="BC57" s="32" t="n"/>
      <c r="BD57" s="30">
        <f>IFERROR(BB57*BC57, 0)</f>
        <v/>
      </c>
      <c r="BE57" s="31" t="n"/>
      <c r="BF57" s="32" t="n"/>
      <c r="BG57" s="30">
        <f>IFERROR(BE57*BF57, 0)</f>
        <v/>
      </c>
      <c r="BH57" s="31" t="n"/>
      <c r="BI57" s="32" t="n"/>
      <c r="BJ57" s="30">
        <f>IFERROR(BH57*BI57, 0)</f>
        <v/>
      </c>
      <c r="BK57" s="31" t="n"/>
      <c r="BL57" s="32" t="n"/>
      <c r="BM57" s="30">
        <f>IFERROR(BK57*BL57, 0)</f>
        <v/>
      </c>
      <c r="BN57" s="31" t="n"/>
      <c r="BO57" s="32" t="n"/>
      <c r="BP57" s="30">
        <f>IFERROR(BN57*BO57, 0)</f>
        <v/>
      </c>
      <c r="BQ57" s="31" t="n">
        <v>1.19</v>
      </c>
      <c r="BR57" s="32" t="n">
        <v>7280</v>
      </c>
      <c r="BS57" s="30" t="n">
        <v>8664</v>
      </c>
      <c r="BT57" s="31" t="n"/>
      <c r="BU57" s="32" t="n"/>
      <c r="BV57" s="30">
        <f>IFERROR(BT57*BU57, 0)</f>
        <v/>
      </c>
      <c r="BW57" s="31" t="n"/>
      <c r="BX57" s="32" t="n"/>
      <c r="BY57" s="30">
        <f>IFERROR(BW57*BX57, 0)</f>
        <v/>
      </c>
      <c r="BZ57" s="31" t="n"/>
      <c r="CA57" s="32" t="n"/>
      <c r="CB57" s="30">
        <f>IFERROR(BZ57*CA57, 0)</f>
        <v/>
      </c>
      <c r="CC57" s="31" t="n"/>
      <c r="CD57" s="32" t="n"/>
      <c r="CE57" s="30">
        <f>IFERROR(CC57*CD57, 0)</f>
        <v/>
      </c>
      <c r="CF57" s="31" t="n"/>
      <c r="CG57" s="32" t="n"/>
      <c r="CH57" s="30">
        <f>IFERROR(CF57*CG57, 0)</f>
        <v/>
      </c>
      <c r="CI57" s="31" t="n"/>
      <c r="CJ57" s="32" t="n"/>
      <c r="CK57" s="30">
        <f>IFERROR(CI57*CJ57, 0)</f>
        <v/>
      </c>
      <c r="CL57" s="31" t="n"/>
      <c r="CM57" s="32" t="n"/>
      <c r="CN57" s="30">
        <f>IFERROR(CL57*CM57, 0)</f>
        <v/>
      </c>
      <c r="CO57" s="31" t="n"/>
      <c r="CP57" s="32" t="n"/>
      <c r="CQ57" s="30">
        <f>IFERROR(CO57*CP57, 0)</f>
        <v/>
      </c>
      <c r="CR57" s="31" t="n"/>
      <c r="CS57" s="32" t="n"/>
      <c r="CT57" s="30">
        <f>IFERROR(CR57*CS57, 0)</f>
        <v/>
      </c>
      <c r="CU57" s="33">
        <f>IFERROR(SUM(F57,I57,L57,O57,R57,U57,X57,AA57,AD57,AG57,AJ57,AM57,AP57,AS57,AV57,AY57,BB57,BE57,BH57,BK57,BN57,BQ57,BT57,BW57,BZ57,CC57,CF57,CI57,CL57,CO57,CR57), 0)</f>
        <v/>
      </c>
      <c r="CV57" s="30">
        <f>IFERROR(AVERAGE(G57,J57,M57,P57,S57,V57,Y57,AB57,AE57,AH57,AK57,AN57,AQ57,AT57,AW57,AZ57,BC57,BF57,BI57,BL57,BO57,BR57,BU57,BX57,CA57,CD57,CG57,CJ57,CM57,CP57,CS57), 0)</f>
        <v/>
      </c>
      <c r="CW57" s="30">
        <f>CU57*CV57</f>
        <v/>
      </c>
    </row>
    <row r="58" ht="15.75" customHeight="1">
      <c r="A58" s="28" t="inlineStr">
        <is>
          <t>Coco unidad</t>
        </is>
      </c>
      <c r="B58" s="28" t="inlineStr">
        <is>
          <t>Kg</t>
        </is>
      </c>
      <c r="C58" s="34" t="n"/>
      <c r="D58" s="32" t="n"/>
      <c r="E58" s="32" t="n"/>
      <c r="F58" s="31" t="n"/>
      <c r="G58" s="32" t="n"/>
      <c r="H58" s="30">
        <f>IFERROR(F58*G58, 0)</f>
        <v/>
      </c>
      <c r="I58" s="31" t="n"/>
      <c r="J58" s="32" t="n"/>
      <c r="K58" s="30">
        <f>IFERROR(I58*J58, 0)</f>
        <v/>
      </c>
      <c r="L58" s="31" t="n"/>
      <c r="M58" s="32" t="n"/>
      <c r="N58" s="30">
        <f>IFERROR(L58*M58, 0)</f>
        <v/>
      </c>
      <c r="O58" s="31" t="n"/>
      <c r="P58" s="32" t="n"/>
      <c r="Q58" s="30">
        <f>IFERROR(O58*P58, 0)</f>
        <v/>
      </c>
      <c r="R58" s="31" t="n"/>
      <c r="S58" s="32" t="n"/>
      <c r="T58" s="30">
        <f>IFERROR(R58*S58, 0)</f>
        <v/>
      </c>
      <c r="U58" s="31" t="n"/>
      <c r="V58" s="32" t="n"/>
      <c r="W58" s="30">
        <f>IFERROR(U58*V58, 0)</f>
        <v/>
      </c>
      <c r="X58" s="31" t="n"/>
      <c r="Y58" s="32" t="n"/>
      <c r="Z58" s="30">
        <f>IFERROR(X58*Y58, 0)</f>
        <v/>
      </c>
      <c r="AA58" s="31" t="n"/>
      <c r="AB58" s="32" t="n"/>
      <c r="AC58" s="30">
        <f>IFERROR(AA58*AB58, 0)</f>
        <v/>
      </c>
      <c r="AD58" s="31" t="n"/>
      <c r="AE58" s="32" t="n"/>
      <c r="AF58" s="30">
        <f>IFERROR(AD58*AE58, 0)</f>
        <v/>
      </c>
      <c r="AG58" s="31" t="n"/>
      <c r="AH58" s="32" t="n"/>
      <c r="AI58" s="30">
        <f>IFERROR(AG58*AH58, 0)</f>
        <v/>
      </c>
      <c r="AJ58" s="31" t="n"/>
      <c r="AK58" s="32" t="n"/>
      <c r="AL58" s="30">
        <f>IFERROR(AJ58*AK58, 0)</f>
        <v/>
      </c>
      <c r="AM58" s="31" t="n"/>
      <c r="AN58" s="32" t="n"/>
      <c r="AO58" s="30">
        <f>IFERROR(AM58*AN58, 0)</f>
        <v/>
      </c>
      <c r="AP58" s="31" t="n"/>
      <c r="AQ58" s="32" t="n"/>
      <c r="AR58" s="30">
        <f>IFERROR(AP58*AQ58, 0)</f>
        <v/>
      </c>
      <c r="AS58" s="31" t="n"/>
      <c r="AT58" s="32" t="n"/>
      <c r="AU58" s="30">
        <f>IFERROR(AS58*AT58, 0)</f>
        <v/>
      </c>
      <c r="AV58" s="31" t="n"/>
      <c r="AW58" s="32" t="n"/>
      <c r="AX58" s="30">
        <f>IFERROR(AV58*AW58, 0)</f>
        <v/>
      </c>
      <c r="AY58" s="31" t="n"/>
      <c r="AZ58" s="32" t="n"/>
      <c r="BA58" s="30">
        <f>IFERROR(AY58*AZ58, 0)</f>
        <v/>
      </c>
      <c r="BB58" s="31" t="n"/>
      <c r="BC58" s="32" t="n"/>
      <c r="BD58" s="30">
        <f>IFERROR(BB58*BC58, 0)</f>
        <v/>
      </c>
      <c r="BE58" s="31" t="n"/>
      <c r="BF58" s="32" t="n"/>
      <c r="BG58" s="30">
        <f>IFERROR(BE58*BF58, 0)</f>
        <v/>
      </c>
      <c r="BH58" s="31" t="n"/>
      <c r="BI58" s="32" t="n"/>
      <c r="BJ58" s="30">
        <f>IFERROR(BH58*BI58, 0)</f>
        <v/>
      </c>
      <c r="BK58" s="31" t="n"/>
      <c r="BL58" s="32" t="n"/>
      <c r="BM58" s="30">
        <f>IFERROR(BK58*BL58, 0)</f>
        <v/>
      </c>
      <c r="BN58" s="31" t="n"/>
      <c r="BO58" s="32" t="n"/>
      <c r="BP58" s="30">
        <f>IFERROR(BN58*BO58, 0)</f>
        <v/>
      </c>
      <c r="BQ58" s="31" t="n"/>
      <c r="BR58" s="32" t="n"/>
      <c r="BS58" s="30">
        <f>IFERROR(BQ58*BR58, 0)</f>
        <v/>
      </c>
      <c r="BT58" s="31" t="n"/>
      <c r="BU58" s="32" t="n"/>
      <c r="BV58" s="30">
        <f>IFERROR(BT58*BU58, 0)</f>
        <v/>
      </c>
      <c r="BW58" s="31" t="n"/>
      <c r="BX58" s="32" t="n"/>
      <c r="BY58" s="30">
        <f>IFERROR(BW58*BX58, 0)</f>
        <v/>
      </c>
      <c r="BZ58" s="31" t="n"/>
      <c r="CA58" s="32" t="n"/>
      <c r="CB58" s="30">
        <f>IFERROR(BZ58*CA58, 0)</f>
        <v/>
      </c>
      <c r="CC58" s="31" t="n"/>
      <c r="CD58" s="32" t="n"/>
      <c r="CE58" s="30">
        <f>IFERROR(CC58*CD58, 0)</f>
        <v/>
      </c>
      <c r="CF58" s="31" t="n"/>
      <c r="CG58" s="32" t="n"/>
      <c r="CH58" s="30">
        <f>IFERROR(CF58*CG58, 0)</f>
        <v/>
      </c>
      <c r="CI58" s="31" t="n"/>
      <c r="CJ58" s="32" t="n"/>
      <c r="CK58" s="30">
        <f>IFERROR(CI58*CJ58, 0)</f>
        <v/>
      </c>
      <c r="CL58" s="31" t="n"/>
      <c r="CM58" s="32" t="n"/>
      <c r="CN58" s="30">
        <f>IFERROR(CL58*CM58, 0)</f>
        <v/>
      </c>
      <c r="CO58" s="31" t="n"/>
      <c r="CP58" s="32" t="n"/>
      <c r="CQ58" s="30">
        <f>IFERROR(CO58*CP58, 0)</f>
        <v/>
      </c>
      <c r="CR58" s="31" t="n"/>
      <c r="CS58" s="32" t="n"/>
      <c r="CT58" s="30">
        <f>IFERROR(CR58*CS58, 0)</f>
        <v/>
      </c>
      <c r="CU58" s="33">
        <f>IFERROR(SUM(F58,I58,L58,O58,R58,U58,X58,AA58,AD58,AG58,AJ58,AM58,AP58,AS58,AV58,AY58,BB58,BE58,BH58,BK58,BN58,BQ58,BT58,BW58,BZ58,CC58,CF58,CI58,CL58,CO58,CR58), 0)</f>
        <v/>
      </c>
      <c r="CV58" s="30">
        <f>IFERROR(AVERAGE(G58,J58,M58,P58,S58,V58,Y58,AB58,AE58,AH58,AK58,AN58,AQ58,AT58,AW58,AZ58,BC58,BF58,BI58,BL58,BO58,BR58,BU58,BX58,CA58,CD58,CG58,CJ58,CM58,CP58,CS58), 0)</f>
        <v/>
      </c>
      <c r="CW58" s="30">
        <f>CU58*CV58</f>
        <v/>
      </c>
    </row>
    <row r="59" ht="15.75" customHeight="1">
      <c r="A59" s="28" t="inlineStr">
        <is>
          <t xml:space="preserve">Coco rallado </t>
        </is>
      </c>
      <c r="B59" s="28" t="inlineStr">
        <is>
          <t>Kg</t>
        </is>
      </c>
      <c r="C59" s="34" t="n"/>
      <c r="D59" s="32" t="n"/>
      <c r="E59" s="32" t="n"/>
      <c r="F59" s="31" t="n"/>
      <c r="G59" s="32" t="n"/>
      <c r="H59" s="30">
        <f>IFERROR(F59*G59, 0)</f>
        <v/>
      </c>
      <c r="I59" s="31" t="n"/>
      <c r="J59" s="32" t="n"/>
      <c r="K59" s="30">
        <f>IFERROR(I59*J59, 0)</f>
        <v/>
      </c>
      <c r="L59" s="31" t="n"/>
      <c r="M59" s="32" t="n"/>
      <c r="N59" s="30">
        <f>IFERROR(L59*M59, 0)</f>
        <v/>
      </c>
      <c r="O59" s="31" t="n"/>
      <c r="P59" s="32" t="n"/>
      <c r="Q59" s="30">
        <f>IFERROR(O59*P59, 0)</f>
        <v/>
      </c>
      <c r="R59" s="31" t="n"/>
      <c r="S59" s="32" t="n"/>
      <c r="T59" s="30">
        <f>IFERROR(R59*S59, 0)</f>
        <v/>
      </c>
      <c r="U59" s="31" t="n"/>
      <c r="V59" s="32" t="n"/>
      <c r="W59" s="30">
        <f>IFERROR(U59*V59, 0)</f>
        <v/>
      </c>
      <c r="X59" s="31" t="n"/>
      <c r="Y59" s="32" t="n"/>
      <c r="Z59" s="30">
        <f>IFERROR(X59*Y59, 0)</f>
        <v/>
      </c>
      <c r="AA59" s="31" t="n"/>
      <c r="AB59" s="32" t="n"/>
      <c r="AC59" s="30">
        <f>IFERROR(AA59*AB59, 0)</f>
        <v/>
      </c>
      <c r="AD59" s="31" t="n"/>
      <c r="AE59" s="32" t="n"/>
      <c r="AF59" s="30">
        <f>IFERROR(AD59*AE59, 0)</f>
        <v/>
      </c>
      <c r="AG59" s="31" t="n"/>
      <c r="AH59" s="32" t="n"/>
      <c r="AI59" s="30">
        <f>IFERROR(AG59*AH59, 0)</f>
        <v/>
      </c>
      <c r="AJ59" s="31" t="n"/>
      <c r="AK59" s="32" t="n"/>
      <c r="AL59" s="30">
        <f>IFERROR(AJ59*AK59, 0)</f>
        <v/>
      </c>
      <c r="AM59" s="31" t="n"/>
      <c r="AN59" s="32" t="n"/>
      <c r="AO59" s="30">
        <f>IFERROR(AM59*AN59, 0)</f>
        <v/>
      </c>
      <c r="AP59" s="31" t="n"/>
      <c r="AQ59" s="32" t="n"/>
      <c r="AR59" s="30">
        <f>IFERROR(AP59*AQ59, 0)</f>
        <v/>
      </c>
      <c r="AS59" s="31" t="n"/>
      <c r="AT59" s="32" t="n"/>
      <c r="AU59" s="30">
        <f>IFERROR(AS59*AT59, 0)</f>
        <v/>
      </c>
      <c r="AV59" s="31" t="n"/>
      <c r="AW59" s="32" t="n"/>
      <c r="AX59" s="30">
        <f>IFERROR(AV59*AW59, 0)</f>
        <v/>
      </c>
      <c r="AY59" s="31" t="n"/>
      <c r="AZ59" s="32" t="n"/>
      <c r="BA59" s="30">
        <f>IFERROR(AY59*AZ59, 0)</f>
        <v/>
      </c>
      <c r="BB59" s="31" t="n"/>
      <c r="BC59" s="32" t="n"/>
      <c r="BD59" s="30">
        <f>IFERROR(BB59*BC59, 0)</f>
        <v/>
      </c>
      <c r="BE59" s="31" t="n"/>
      <c r="BF59" s="32" t="n"/>
      <c r="BG59" s="30">
        <f>IFERROR(BE59*BF59, 0)</f>
        <v/>
      </c>
      <c r="BH59" s="31" t="n"/>
      <c r="BI59" s="32" t="n"/>
      <c r="BJ59" s="30">
        <f>IFERROR(BH59*BI59, 0)</f>
        <v/>
      </c>
      <c r="BK59" s="31" t="n"/>
      <c r="BL59" s="32" t="n"/>
      <c r="BM59" s="30">
        <f>IFERROR(BK59*BL59, 0)</f>
        <v/>
      </c>
      <c r="BN59" s="31" t="n"/>
      <c r="BO59" s="32" t="n"/>
      <c r="BP59" s="30">
        <f>IFERROR(BN59*BO59, 0)</f>
        <v/>
      </c>
      <c r="BQ59" s="31" t="n"/>
      <c r="BR59" s="32" t="n"/>
      <c r="BS59" s="30">
        <f>IFERROR(BQ59*BR59, 0)</f>
        <v/>
      </c>
      <c r="BT59" s="31" t="n"/>
      <c r="BU59" s="32" t="n"/>
      <c r="BV59" s="30">
        <f>IFERROR(BT59*BU59, 0)</f>
        <v/>
      </c>
      <c r="BW59" s="31" t="n"/>
      <c r="BX59" s="32" t="n"/>
      <c r="BY59" s="30">
        <f>IFERROR(BW59*BX59, 0)</f>
        <v/>
      </c>
      <c r="BZ59" s="31" t="n"/>
      <c r="CA59" s="32" t="n"/>
      <c r="CB59" s="30">
        <f>IFERROR(BZ59*CA59, 0)</f>
        <v/>
      </c>
      <c r="CC59" s="31" t="n"/>
      <c r="CD59" s="32" t="n"/>
      <c r="CE59" s="30">
        <f>IFERROR(CC59*CD59, 0)</f>
        <v/>
      </c>
      <c r="CF59" s="31" t="n"/>
      <c r="CG59" s="32" t="n"/>
      <c r="CH59" s="30">
        <f>IFERROR(CF59*CG59, 0)</f>
        <v/>
      </c>
      <c r="CI59" s="31" t="n"/>
      <c r="CJ59" s="32" t="n"/>
      <c r="CK59" s="30">
        <f>IFERROR(CI59*CJ59, 0)</f>
        <v/>
      </c>
      <c r="CL59" s="31" t="n"/>
      <c r="CM59" s="32" t="n"/>
      <c r="CN59" s="30">
        <f>IFERROR(CL59*CM59, 0)</f>
        <v/>
      </c>
      <c r="CO59" s="31" t="n"/>
      <c r="CP59" s="32" t="n"/>
      <c r="CQ59" s="30">
        <f>IFERROR(CO59*CP59, 0)</f>
        <v/>
      </c>
      <c r="CR59" s="31" t="n"/>
      <c r="CS59" s="32" t="n"/>
      <c r="CT59" s="30">
        <f>IFERROR(CR59*CS59, 0)</f>
        <v/>
      </c>
      <c r="CU59" s="33">
        <f>IFERROR(SUM(F59,I59,L59,O59,R59,U59,X59,AA59,AD59,AG59,AJ59,AM59,AP59,AS59,AV59,AY59,BB59,BE59,BH59,BK59,BN59,BQ59,BT59,BW59,BZ59,CC59,CF59,CI59,CL59,CO59,CR59), 0)</f>
        <v/>
      </c>
      <c r="CV59" s="30">
        <f>IFERROR(AVERAGE(G59,J59,M59,P59,S59,V59,Y59,AB59,AE59,AH59,AK59,AN59,AQ59,AT59,AW59,AZ59,BC59,BF59,BI59,BL59,BO59,BR59,BU59,BX59,CA59,CD59,CG59,CJ59,CM59,CP59,CS59), 0)</f>
        <v/>
      </c>
      <c r="CW59" s="30">
        <f>CU59*CV59</f>
        <v/>
      </c>
    </row>
    <row r="60" ht="15.75" customHeight="1">
      <c r="A60" s="28" t="inlineStr">
        <is>
          <t>Cimarron</t>
        </is>
      </c>
      <c r="B60" s="28" t="inlineStr">
        <is>
          <t>Atado</t>
        </is>
      </c>
      <c r="C60" s="29" t="n"/>
      <c r="D60" s="30" t="n"/>
      <c r="E60" s="30" t="n"/>
      <c r="F60" s="31" t="n"/>
      <c r="G60" s="32" t="n"/>
      <c r="H60" s="30">
        <f>IFERROR(F60*G60, 0)</f>
        <v/>
      </c>
      <c r="I60" s="31" t="n"/>
      <c r="J60" s="32" t="n"/>
      <c r="K60" s="30">
        <f>IFERROR(I60*J60, 0)</f>
        <v/>
      </c>
      <c r="L60" s="31" t="n"/>
      <c r="M60" s="32" t="n"/>
      <c r="N60" s="30">
        <f>IFERROR(L60*M60, 0)</f>
        <v/>
      </c>
      <c r="O60" s="31" t="n"/>
      <c r="P60" s="32" t="n"/>
      <c r="Q60" s="30">
        <f>IFERROR(O60*P60, 0)</f>
        <v/>
      </c>
      <c r="R60" s="31" t="n"/>
      <c r="S60" s="32" t="n"/>
      <c r="T60" s="30">
        <f>IFERROR(R60*S60, 0)</f>
        <v/>
      </c>
      <c r="U60" s="31" t="n"/>
      <c r="V60" s="32" t="n"/>
      <c r="W60" s="30">
        <f>IFERROR(U60*V60, 0)</f>
        <v/>
      </c>
      <c r="X60" s="31" t="n"/>
      <c r="Y60" s="32" t="n"/>
      <c r="Z60" s="30">
        <f>IFERROR(X60*Y60, 0)</f>
        <v/>
      </c>
      <c r="AA60" s="31" t="n"/>
      <c r="AB60" s="32" t="n"/>
      <c r="AC60" s="30">
        <f>IFERROR(AA60*AB60, 0)</f>
        <v/>
      </c>
      <c r="AD60" s="31" t="n"/>
      <c r="AE60" s="32" t="n"/>
      <c r="AF60" s="30">
        <f>IFERROR(AD60*AE60, 0)</f>
        <v/>
      </c>
      <c r="AG60" s="31" t="n"/>
      <c r="AH60" s="32" t="n"/>
      <c r="AI60" s="30">
        <f>IFERROR(AG60*AH60, 0)</f>
        <v/>
      </c>
      <c r="AJ60" s="31" t="n"/>
      <c r="AK60" s="32" t="n"/>
      <c r="AL60" s="30">
        <f>IFERROR(AJ60*AK60, 0)</f>
        <v/>
      </c>
      <c r="AM60" s="31" t="n"/>
      <c r="AN60" s="32" t="n"/>
      <c r="AO60" s="30">
        <f>IFERROR(AM60*AN60, 0)</f>
        <v/>
      </c>
      <c r="AP60" s="31" t="n"/>
      <c r="AQ60" s="32" t="n"/>
      <c r="AR60" s="30">
        <f>IFERROR(AP60*AQ60, 0)</f>
        <v/>
      </c>
      <c r="AS60" s="31" t="n"/>
      <c r="AT60" s="32" t="n"/>
      <c r="AU60" s="30">
        <f>IFERROR(AS60*AT60, 0)</f>
        <v/>
      </c>
      <c r="AV60" s="31" t="n"/>
      <c r="AW60" s="32" t="n"/>
      <c r="AX60" s="30">
        <f>IFERROR(AV60*AW60, 0)</f>
        <v/>
      </c>
      <c r="AY60" s="31" t="n"/>
      <c r="AZ60" s="32" t="n"/>
      <c r="BA60" s="30">
        <f>IFERROR(AY60*AZ60, 0)</f>
        <v/>
      </c>
      <c r="BB60" s="31" t="n"/>
      <c r="BC60" s="32" t="n"/>
      <c r="BD60" s="30">
        <f>IFERROR(BB60*BC60, 0)</f>
        <v/>
      </c>
      <c r="BE60" s="31" t="n"/>
      <c r="BF60" s="32" t="n"/>
      <c r="BG60" s="30">
        <f>IFERROR(BE60*BF60, 0)</f>
        <v/>
      </c>
      <c r="BH60" s="31" t="n"/>
      <c r="BI60" s="32" t="n"/>
      <c r="BJ60" s="30">
        <f>IFERROR(BH60*BI60, 0)</f>
        <v/>
      </c>
      <c r="BK60" s="31" t="n"/>
      <c r="BL60" s="32" t="n"/>
      <c r="BM60" s="30">
        <f>IFERROR(BK60*BL60, 0)</f>
        <v/>
      </c>
      <c r="BN60" s="31" t="n"/>
      <c r="BO60" s="32" t="n"/>
      <c r="BP60" s="30">
        <f>IFERROR(BN60*BO60, 0)</f>
        <v/>
      </c>
      <c r="BQ60" s="31" t="n"/>
      <c r="BR60" s="32" t="n"/>
      <c r="BS60" s="30">
        <f>IFERROR(BQ60*BR60, 0)</f>
        <v/>
      </c>
      <c r="BT60" s="31" t="n"/>
      <c r="BU60" s="32" t="n"/>
      <c r="BV60" s="30">
        <f>IFERROR(BT60*BU60, 0)</f>
        <v/>
      </c>
      <c r="BW60" s="31" t="n"/>
      <c r="BX60" s="32" t="n"/>
      <c r="BY60" s="30">
        <f>IFERROR(BW60*BX60, 0)</f>
        <v/>
      </c>
      <c r="BZ60" s="31" t="n"/>
      <c r="CA60" s="32" t="n"/>
      <c r="CB60" s="30">
        <f>IFERROR(BZ60*CA60, 0)</f>
        <v/>
      </c>
      <c r="CC60" s="31" t="n"/>
      <c r="CD60" s="32" t="n"/>
      <c r="CE60" s="30">
        <f>IFERROR(CC60*CD60, 0)</f>
        <v/>
      </c>
      <c r="CF60" s="31" t="n"/>
      <c r="CG60" s="32" t="n"/>
      <c r="CH60" s="30">
        <f>IFERROR(CF60*CG60, 0)</f>
        <v/>
      </c>
      <c r="CI60" s="31" t="n"/>
      <c r="CJ60" s="32" t="n"/>
      <c r="CK60" s="30">
        <f>IFERROR(CI60*CJ60, 0)</f>
        <v/>
      </c>
      <c r="CL60" s="31" t="n"/>
      <c r="CM60" s="32" t="n"/>
      <c r="CN60" s="30">
        <f>IFERROR(CL60*CM60, 0)</f>
        <v/>
      </c>
      <c r="CO60" s="31" t="n"/>
      <c r="CP60" s="32" t="n"/>
      <c r="CQ60" s="30">
        <f>IFERROR(CO60*CP60, 0)</f>
        <v/>
      </c>
      <c r="CR60" s="31" t="n"/>
      <c r="CS60" s="32" t="n"/>
      <c r="CT60" s="30">
        <f>IFERROR(CR60*CS60, 0)</f>
        <v/>
      </c>
      <c r="CU60" s="33">
        <f>IFERROR(SUM(F60,I60,L60,O60,R60,U60,X60,AA60,AD60,AG60,AJ60,AM60,AP60,AS60,AV60,AY60,BB60,BE60,BH60,BK60,BN60,BQ60,BT60,BW60,BZ60,CC60,CF60,CI60,CL60,CO60,CR60), 0)</f>
        <v/>
      </c>
      <c r="CV60" s="30">
        <f>IFERROR(AVERAGE(G60,J60,M60,P60,S60,V60,Y60,AB60,AE60,AH60,AK60,AN60,AQ60,AT60,AW60,AZ60,BC60,BF60,BI60,BL60,BO60,BR60,BU60,BX60,CA60,CD60,CG60,CJ60,CM60,CP60,CS60), 0)</f>
        <v/>
      </c>
      <c r="CW60" s="30">
        <f>CU60*CV60</f>
        <v/>
      </c>
    </row>
    <row r="61" ht="15.75" customHeight="1">
      <c r="A61" s="28" t="inlineStr">
        <is>
          <t>Cilantro</t>
        </is>
      </c>
      <c r="B61" s="28" t="inlineStr">
        <is>
          <t>Atado</t>
        </is>
      </c>
      <c r="C61" s="29" t="n"/>
      <c r="D61" s="30" t="n"/>
      <c r="E61" s="30" t="n"/>
      <c r="F61" s="31" t="n"/>
      <c r="G61" s="32" t="n"/>
      <c r="H61" s="30">
        <f>IFERROR(F61*G61, 0)</f>
        <v/>
      </c>
      <c r="I61" s="31" t="n"/>
      <c r="J61" s="32" t="n"/>
      <c r="K61" s="30">
        <f>IFERROR(I61*J61, 0)</f>
        <v/>
      </c>
      <c r="L61" s="31" t="n"/>
      <c r="M61" s="32" t="n"/>
      <c r="N61" s="30">
        <f>IFERROR(L61*M61, 0)</f>
        <v/>
      </c>
      <c r="O61" s="31" t="n"/>
      <c r="P61" s="32" t="n"/>
      <c r="Q61" s="30">
        <f>IFERROR(O61*P61, 0)</f>
        <v/>
      </c>
      <c r="R61" s="31" t="n"/>
      <c r="S61" s="32" t="n"/>
      <c r="T61" s="30">
        <f>IFERROR(R61*S61, 0)</f>
        <v/>
      </c>
      <c r="U61" s="31" t="n"/>
      <c r="V61" s="32" t="n"/>
      <c r="W61" s="30">
        <f>IFERROR(U61*V61, 0)</f>
        <v/>
      </c>
      <c r="X61" s="31" t="n"/>
      <c r="Y61" s="32" t="n"/>
      <c r="Z61" s="30">
        <f>IFERROR(X61*Y61, 0)</f>
        <v/>
      </c>
      <c r="AA61" s="31" t="n"/>
      <c r="AB61" s="32" t="n"/>
      <c r="AC61" s="30">
        <f>IFERROR(AA61*AB61, 0)</f>
        <v/>
      </c>
      <c r="AD61" s="31" t="n"/>
      <c r="AE61" s="32" t="n"/>
      <c r="AF61" s="30">
        <f>IFERROR(AD61*AE61, 0)</f>
        <v/>
      </c>
      <c r="AG61" s="31" t="n"/>
      <c r="AH61" s="32" t="n"/>
      <c r="AI61" s="30">
        <f>IFERROR(AG61*AH61, 0)</f>
        <v/>
      </c>
      <c r="AJ61" s="31" t="n"/>
      <c r="AK61" s="32" t="n"/>
      <c r="AL61" s="30">
        <f>IFERROR(AJ61*AK61, 0)</f>
        <v/>
      </c>
      <c r="AM61" s="31" t="n"/>
      <c r="AN61" s="32" t="n"/>
      <c r="AO61" s="30">
        <f>IFERROR(AM61*AN61, 0)</f>
        <v/>
      </c>
      <c r="AP61" s="31" t="n">
        <v>4</v>
      </c>
      <c r="AQ61" s="32" t="n">
        <v>8000</v>
      </c>
      <c r="AR61" s="30" t="n">
        <v>31000</v>
      </c>
      <c r="AS61" s="31" t="n">
        <v>6</v>
      </c>
      <c r="AT61" s="32" t="n">
        <v>8000</v>
      </c>
      <c r="AU61" s="30" t="n">
        <v>42000</v>
      </c>
      <c r="AV61" s="31" t="n"/>
      <c r="AW61" s="32" t="n"/>
      <c r="AX61" s="30">
        <f>IFERROR(AV61*AW61, 0)</f>
        <v/>
      </c>
      <c r="AY61" s="31" t="n"/>
      <c r="AZ61" s="32" t="n"/>
      <c r="BA61" s="30">
        <f>IFERROR(AY61*AZ61, 0)</f>
        <v/>
      </c>
      <c r="BB61" s="31" t="n"/>
      <c r="BC61" s="32" t="n"/>
      <c r="BD61" s="30">
        <f>IFERROR(BB61*BC61, 0)</f>
        <v/>
      </c>
      <c r="BE61" s="31" t="n"/>
      <c r="BF61" s="32" t="n"/>
      <c r="BG61" s="30">
        <f>IFERROR(BE61*BF61, 0)</f>
        <v/>
      </c>
      <c r="BH61" s="31" t="n"/>
      <c r="BI61" s="32" t="n"/>
      <c r="BJ61" s="30">
        <f>IFERROR(BH61*BI61, 0)</f>
        <v/>
      </c>
      <c r="BK61" s="31" t="n"/>
      <c r="BL61" s="32" t="n"/>
      <c r="BM61" s="30">
        <f>IFERROR(BK61*BL61, 0)</f>
        <v/>
      </c>
      <c r="BN61" s="31" t="n">
        <v>2</v>
      </c>
      <c r="BO61" s="32" t="n">
        <v>8000</v>
      </c>
      <c r="BP61" s="30" t="n">
        <v>16000</v>
      </c>
      <c r="BQ61" s="31" t="n"/>
      <c r="BR61" s="32" t="n"/>
      <c r="BS61" s="30">
        <f>IFERROR(BQ61*BR61, 0)</f>
        <v/>
      </c>
      <c r="BT61" s="31" t="n"/>
      <c r="BU61" s="32" t="n"/>
      <c r="BV61" s="30">
        <f>IFERROR(BT61*BU61, 0)</f>
        <v/>
      </c>
      <c r="BW61" s="31" t="n"/>
      <c r="BX61" s="32" t="n"/>
      <c r="BY61" s="30">
        <f>IFERROR(BW61*BX61, 0)</f>
        <v/>
      </c>
      <c r="BZ61" s="31" t="n"/>
      <c r="CA61" s="32" t="n"/>
      <c r="CB61" s="30">
        <f>IFERROR(BZ61*CA61, 0)</f>
        <v/>
      </c>
      <c r="CC61" s="31" t="n"/>
      <c r="CD61" s="32" t="n"/>
      <c r="CE61" s="30">
        <f>IFERROR(CC61*CD61, 0)</f>
        <v/>
      </c>
      <c r="CF61" s="31" t="n"/>
      <c r="CG61" s="32" t="n"/>
      <c r="CH61" s="30">
        <f>IFERROR(CF61*CG61, 0)</f>
        <v/>
      </c>
      <c r="CI61" s="31" t="n"/>
      <c r="CJ61" s="32" t="n"/>
      <c r="CK61" s="30">
        <f>IFERROR(CI61*CJ61, 0)</f>
        <v/>
      </c>
      <c r="CL61" s="31" t="n"/>
      <c r="CM61" s="32" t="n"/>
      <c r="CN61" s="30">
        <f>IFERROR(CL61*CM61, 0)</f>
        <v/>
      </c>
      <c r="CO61" s="31" t="n"/>
      <c r="CP61" s="32" t="n"/>
      <c r="CQ61" s="30">
        <f>IFERROR(CO61*CP61, 0)</f>
        <v/>
      </c>
      <c r="CR61" s="31" t="n"/>
      <c r="CS61" s="32" t="n"/>
      <c r="CT61" s="30">
        <f>IFERROR(CR61*CS61, 0)</f>
        <v/>
      </c>
      <c r="CU61" s="33">
        <f>IFERROR(SUM(F61,I61,L61,O61,R61,U61,X61,AA61,AD61,AG61,AJ61,AM61,AP61,AS61,AV61,AY61,BB61,BE61,BH61,BK61,BN61,BQ61,BT61,BW61,BZ61,CC61,CF61,CI61,CL61,CO61,CR61), 0)</f>
        <v/>
      </c>
      <c r="CV61" s="30">
        <f>IFERROR(AVERAGE(G61,J61,M61,P61,S61,V61,Y61,AB61,AE61,AH61,AK61,AN61,AQ61,AT61,AW61,AZ61,BC61,BF61,BI61,BL61,BO61,BR61,BU61,BX61,CA61,CD61,CG61,CJ61,CM61,CP61,CS61), 0)</f>
        <v/>
      </c>
      <c r="CW61" s="30">
        <f>CU61*CV61</f>
        <v/>
      </c>
    </row>
    <row r="62" ht="15.75" customHeight="1">
      <c r="A62" s="28" t="inlineStr">
        <is>
          <t>Champiñon</t>
        </is>
      </c>
      <c r="B62" s="28" t="inlineStr">
        <is>
          <t>Kl</t>
        </is>
      </c>
      <c r="C62" s="34" t="n"/>
      <c r="D62" s="32" t="n"/>
      <c r="E62" s="32" t="n"/>
      <c r="F62" s="31" t="n"/>
      <c r="G62" s="32" t="n"/>
      <c r="H62" s="30">
        <f>IFERROR(F62*G62, 0)</f>
        <v/>
      </c>
      <c r="I62" s="31" t="n"/>
      <c r="J62" s="32" t="n"/>
      <c r="K62" s="30">
        <f>IFERROR(I62*J62, 0)</f>
        <v/>
      </c>
      <c r="L62" s="31" t="n"/>
      <c r="M62" s="32" t="n"/>
      <c r="N62" s="30">
        <f>IFERROR(L62*M62, 0)</f>
        <v/>
      </c>
      <c r="O62" s="31" t="n"/>
      <c r="P62" s="32" t="n"/>
      <c r="Q62" s="30">
        <f>IFERROR(O62*P62, 0)</f>
        <v/>
      </c>
      <c r="R62" s="31" t="n"/>
      <c r="S62" s="32" t="n"/>
      <c r="T62" s="30">
        <f>IFERROR(R62*S62, 0)</f>
        <v/>
      </c>
      <c r="U62" s="31" t="n"/>
      <c r="V62" s="32" t="n"/>
      <c r="W62" s="30">
        <f>IFERROR(U62*V62, 0)</f>
        <v/>
      </c>
      <c r="X62" s="31" t="n"/>
      <c r="Y62" s="32" t="n"/>
      <c r="Z62" s="30">
        <f>IFERROR(X62*Y62, 0)</f>
        <v/>
      </c>
      <c r="AA62" s="31" t="n"/>
      <c r="AB62" s="32" t="n"/>
      <c r="AC62" s="30">
        <f>IFERROR(AA62*AB62, 0)</f>
        <v/>
      </c>
      <c r="AD62" s="31" t="n"/>
      <c r="AE62" s="32" t="n"/>
      <c r="AF62" s="30">
        <f>IFERROR(AD62*AE62, 0)</f>
        <v/>
      </c>
      <c r="AG62" s="31" t="n"/>
      <c r="AH62" s="32" t="n"/>
      <c r="AI62" s="30">
        <f>IFERROR(AG62*AH62, 0)</f>
        <v/>
      </c>
      <c r="AJ62" s="31" t="n"/>
      <c r="AK62" s="32" t="n"/>
      <c r="AL62" s="30">
        <f>IFERROR(AJ62*AK62, 0)</f>
        <v/>
      </c>
      <c r="AM62" s="31" t="n"/>
      <c r="AN62" s="32" t="n"/>
      <c r="AO62" s="30">
        <f>IFERROR(AM62*AN62, 0)</f>
        <v/>
      </c>
      <c r="AP62" s="31" t="n"/>
      <c r="AQ62" s="32" t="n"/>
      <c r="AR62" s="30">
        <f>IFERROR(AP62*AQ62, 0)</f>
        <v/>
      </c>
      <c r="AS62" s="31" t="n"/>
      <c r="AT62" s="32" t="n"/>
      <c r="AU62" s="30">
        <f>IFERROR(AS62*AT62, 0)</f>
        <v/>
      </c>
      <c r="AV62" s="31" t="n"/>
      <c r="AW62" s="32" t="n"/>
      <c r="AX62" s="30">
        <f>IFERROR(AV62*AW62, 0)</f>
        <v/>
      </c>
      <c r="AY62" s="31" t="n"/>
      <c r="AZ62" s="32" t="n"/>
      <c r="BA62" s="30">
        <f>IFERROR(AY62*AZ62, 0)</f>
        <v/>
      </c>
      <c r="BB62" s="31" t="n"/>
      <c r="BC62" s="32" t="n"/>
      <c r="BD62" s="30">
        <f>IFERROR(BB62*BC62, 0)</f>
        <v/>
      </c>
      <c r="BE62" s="31" t="n"/>
      <c r="BF62" s="32" t="n"/>
      <c r="BG62" s="30">
        <f>IFERROR(BE62*BF62, 0)</f>
        <v/>
      </c>
      <c r="BH62" s="31" t="n"/>
      <c r="BI62" s="32" t="n"/>
      <c r="BJ62" s="30">
        <f>IFERROR(BH62*BI62, 0)</f>
        <v/>
      </c>
      <c r="BK62" s="31" t="n"/>
      <c r="BL62" s="32" t="n"/>
      <c r="BM62" s="30">
        <f>IFERROR(BK62*BL62, 0)</f>
        <v/>
      </c>
      <c r="BN62" s="31" t="n"/>
      <c r="BO62" s="32" t="n"/>
      <c r="BP62" s="30">
        <f>IFERROR(BN62*BO62, 0)</f>
        <v/>
      </c>
      <c r="BQ62" s="31" t="n"/>
      <c r="BR62" s="32" t="n"/>
      <c r="BS62" s="30">
        <f>IFERROR(BQ62*BR62, 0)</f>
        <v/>
      </c>
      <c r="BT62" s="31" t="n"/>
      <c r="BU62" s="32" t="n"/>
      <c r="BV62" s="30">
        <f>IFERROR(BT62*BU62, 0)</f>
        <v/>
      </c>
      <c r="BW62" s="31" t="n"/>
      <c r="BX62" s="32" t="n"/>
      <c r="BY62" s="30">
        <f>IFERROR(BW62*BX62, 0)</f>
        <v/>
      </c>
      <c r="BZ62" s="31" t="n"/>
      <c r="CA62" s="32" t="n"/>
      <c r="CB62" s="30">
        <f>IFERROR(BZ62*CA62, 0)</f>
        <v/>
      </c>
      <c r="CC62" s="31" t="n"/>
      <c r="CD62" s="32" t="n"/>
      <c r="CE62" s="30">
        <f>IFERROR(CC62*CD62, 0)</f>
        <v/>
      </c>
      <c r="CF62" s="31" t="n"/>
      <c r="CG62" s="32" t="n"/>
      <c r="CH62" s="30">
        <f>IFERROR(CF62*CG62, 0)</f>
        <v/>
      </c>
      <c r="CI62" s="31" t="n"/>
      <c r="CJ62" s="32" t="n"/>
      <c r="CK62" s="30">
        <f>IFERROR(CI62*CJ62, 0)</f>
        <v/>
      </c>
      <c r="CL62" s="31" t="n"/>
      <c r="CM62" s="32" t="n"/>
      <c r="CN62" s="30">
        <f>IFERROR(CL62*CM62, 0)</f>
        <v/>
      </c>
      <c r="CO62" s="31" t="n"/>
      <c r="CP62" s="32" t="n"/>
      <c r="CQ62" s="30">
        <f>IFERROR(CO62*CP62, 0)</f>
        <v/>
      </c>
      <c r="CR62" s="31" t="n"/>
      <c r="CS62" s="32" t="n"/>
      <c r="CT62" s="30">
        <f>IFERROR(CR62*CS62, 0)</f>
        <v/>
      </c>
      <c r="CU62" s="33">
        <f>IFERROR(SUM(F62,I62,L62,O62,R62,U62,X62,AA62,AD62,AG62,AJ62,AM62,AP62,AS62,AV62,AY62,BB62,BE62,BH62,BK62,BN62,BQ62,BT62,BW62,BZ62,CC62,CF62,CI62,CL62,CO62,CR62), 0)</f>
        <v/>
      </c>
      <c r="CV62" s="30">
        <f>IFERROR(AVERAGE(G62,J62,M62,P62,S62,V62,Y62,AB62,AE62,AH62,AK62,AN62,AQ62,AT62,AW62,AZ62,BC62,BF62,BI62,BL62,BO62,BR62,BU62,BX62,CA62,CD62,CG62,CJ62,CM62,CP62,CS62), 0)</f>
        <v/>
      </c>
      <c r="CW62" s="30">
        <f>CU62*CV62</f>
        <v/>
      </c>
    </row>
    <row r="63" ht="15.75" customHeight="1">
      <c r="A63" s="37" t="inlineStr">
        <is>
          <t>Champinon*250g tajado setas</t>
        </is>
      </c>
      <c r="B63" s="28" t="inlineStr">
        <is>
          <t>Kl</t>
        </is>
      </c>
      <c r="C63" s="35" t="n"/>
      <c r="D63" s="20" t="n"/>
      <c r="E63" s="20" t="n"/>
      <c r="F63" s="31" t="n"/>
      <c r="G63" s="32" t="n"/>
      <c r="H63" s="30">
        <f>IFERROR(F63*G63, 0)</f>
        <v/>
      </c>
      <c r="I63" s="31" t="n"/>
      <c r="J63" s="32" t="n"/>
      <c r="K63" s="30">
        <f>IFERROR(I63*J63, 0)</f>
        <v/>
      </c>
      <c r="L63" s="31" t="n"/>
      <c r="M63" s="32" t="n"/>
      <c r="N63" s="30">
        <f>IFERROR(L63*M63, 0)</f>
        <v/>
      </c>
      <c r="O63" s="31" t="n"/>
      <c r="P63" s="32" t="n"/>
      <c r="Q63" s="30">
        <f>IFERROR(O63*P63, 0)</f>
        <v/>
      </c>
      <c r="R63" s="31" t="n"/>
      <c r="S63" s="32" t="n"/>
      <c r="T63" s="30">
        <f>IFERROR(R63*S63, 0)</f>
        <v/>
      </c>
      <c r="U63" s="31" t="n"/>
      <c r="V63" s="32" t="n"/>
      <c r="W63" s="30">
        <f>IFERROR(U63*V63, 0)</f>
        <v/>
      </c>
      <c r="X63" s="31" t="n"/>
      <c r="Y63" s="32" t="n"/>
      <c r="Z63" s="30">
        <f>IFERROR(X63*Y63, 0)</f>
        <v/>
      </c>
      <c r="AA63" s="31" t="n"/>
      <c r="AB63" s="32" t="n"/>
      <c r="AC63" s="30">
        <f>IFERROR(AA63*AB63, 0)</f>
        <v/>
      </c>
      <c r="AD63" s="31" t="n"/>
      <c r="AE63" s="32" t="n"/>
      <c r="AF63" s="30">
        <f>IFERROR(AD63*AE63, 0)</f>
        <v/>
      </c>
      <c r="AG63" s="31" t="n"/>
      <c r="AH63" s="32" t="n"/>
      <c r="AI63" s="30">
        <f>IFERROR(AG63*AH63, 0)</f>
        <v/>
      </c>
      <c r="AJ63" s="31" t="n"/>
      <c r="AK63" s="32" t="n"/>
      <c r="AL63" s="30">
        <f>IFERROR(AJ63*AK63, 0)</f>
        <v/>
      </c>
      <c r="AM63" s="31" t="n"/>
      <c r="AN63" s="32" t="n"/>
      <c r="AO63" s="30">
        <f>IFERROR(AM63*AN63, 0)</f>
        <v/>
      </c>
      <c r="AP63" s="31" t="n"/>
      <c r="AQ63" s="32" t="n"/>
      <c r="AR63" s="30">
        <f>IFERROR(AP63*AQ63, 0)</f>
        <v/>
      </c>
      <c r="AS63" s="31" t="n"/>
      <c r="AT63" s="32" t="n"/>
      <c r="AU63" s="30">
        <f>IFERROR(AS63*AT63, 0)</f>
        <v/>
      </c>
      <c r="AV63" s="31" t="n"/>
      <c r="AW63" s="32" t="n"/>
      <c r="AX63" s="30">
        <f>IFERROR(AV63*AW63, 0)</f>
        <v/>
      </c>
      <c r="AY63" s="31" t="n"/>
      <c r="AZ63" s="32" t="n"/>
      <c r="BA63" s="30">
        <f>IFERROR(AY63*AZ63, 0)</f>
        <v/>
      </c>
      <c r="BB63" s="31" t="n"/>
      <c r="BC63" s="32" t="n"/>
      <c r="BD63" s="30">
        <f>IFERROR(BB63*BC63, 0)</f>
        <v/>
      </c>
      <c r="BE63" s="31" t="n"/>
      <c r="BF63" s="32" t="n"/>
      <c r="BG63" s="30">
        <f>IFERROR(BE63*BF63, 0)</f>
        <v/>
      </c>
      <c r="BH63" s="31" t="n"/>
      <c r="BI63" s="32" t="n"/>
      <c r="BJ63" s="30">
        <f>IFERROR(BH63*BI63, 0)</f>
        <v/>
      </c>
      <c r="BK63" s="31" t="n"/>
      <c r="BL63" s="32" t="n"/>
      <c r="BM63" s="30">
        <f>IFERROR(BK63*BL63, 0)</f>
        <v/>
      </c>
      <c r="BN63" s="31" t="n"/>
      <c r="BO63" s="32" t="n"/>
      <c r="BP63" s="30">
        <f>IFERROR(BN63*BO63, 0)</f>
        <v/>
      </c>
      <c r="BQ63" s="31" t="n"/>
      <c r="BR63" s="32" t="n"/>
      <c r="BS63" s="30">
        <f>IFERROR(BQ63*BR63, 0)</f>
        <v/>
      </c>
      <c r="BT63" s="31" t="n"/>
      <c r="BU63" s="32" t="n"/>
      <c r="BV63" s="30">
        <f>IFERROR(BT63*BU63, 0)</f>
        <v/>
      </c>
      <c r="BW63" s="31" t="n"/>
      <c r="BX63" s="32" t="n"/>
      <c r="BY63" s="30">
        <f>IFERROR(BW63*BX63, 0)</f>
        <v/>
      </c>
      <c r="BZ63" s="31" t="n"/>
      <c r="CA63" s="32" t="n"/>
      <c r="CB63" s="30">
        <f>IFERROR(BZ63*CA63, 0)</f>
        <v/>
      </c>
      <c r="CC63" s="31" t="n"/>
      <c r="CD63" s="32" t="n"/>
      <c r="CE63" s="30">
        <f>IFERROR(CC63*CD63, 0)</f>
        <v/>
      </c>
      <c r="CF63" s="31" t="n"/>
      <c r="CG63" s="32" t="n"/>
      <c r="CH63" s="30">
        <f>IFERROR(CF63*CG63, 0)</f>
        <v/>
      </c>
      <c r="CI63" s="31" t="n"/>
      <c r="CJ63" s="32" t="n"/>
      <c r="CK63" s="30">
        <f>IFERROR(CI63*CJ63, 0)</f>
        <v/>
      </c>
      <c r="CL63" s="31" t="n"/>
      <c r="CM63" s="32" t="n"/>
      <c r="CN63" s="30">
        <f>IFERROR(CL63*CM63, 0)</f>
        <v/>
      </c>
      <c r="CO63" s="31" t="n"/>
      <c r="CP63" s="32" t="n"/>
      <c r="CQ63" s="30">
        <f>IFERROR(CO63*CP63, 0)</f>
        <v/>
      </c>
      <c r="CR63" s="31" t="n"/>
      <c r="CS63" s="32" t="n"/>
      <c r="CT63" s="30">
        <f>IFERROR(CR63*CS63, 0)</f>
        <v/>
      </c>
      <c r="CU63" s="33">
        <f>IFERROR(SUM(F63,I63,L63,O63,R63,U63,X63,AA63,AD63,AG63,AJ63,AM63,AP63,AS63,AV63,AY63,BB63,BE63,BH63,BK63,BN63,BQ63,BT63,BW63,BZ63,CC63,CF63,CI63,CL63,CO63,CR63), 0)</f>
        <v/>
      </c>
      <c r="CV63" s="30">
        <f>IFERROR(AVERAGE(G63,J63,M63,P63,S63,V63,Y63,AB63,AE63,AH63,AK63,AN63,AQ63,AT63,AW63,AZ63,BC63,BF63,BI63,BL63,BO63,BR63,BU63,BX63,CA63,CD63,CG63,CJ63,CM63,CP63,CS63), 0)</f>
        <v/>
      </c>
      <c r="CW63" s="30">
        <f>CU63*CV63</f>
        <v/>
      </c>
    </row>
    <row r="64" ht="15.75" customHeight="1">
      <c r="A64" s="28" t="inlineStr">
        <is>
          <t>Cebolla larga</t>
        </is>
      </c>
      <c r="B64" s="28" t="inlineStr">
        <is>
          <t>Atados</t>
        </is>
      </c>
      <c r="C64" s="29" t="n"/>
      <c r="D64" s="30" t="n"/>
      <c r="E64" s="30" t="n"/>
      <c r="F64" s="31" t="n"/>
      <c r="G64" s="32" t="n"/>
      <c r="H64" s="30">
        <f>IFERROR(F64*G64, 0)</f>
        <v/>
      </c>
      <c r="I64" s="31" t="n"/>
      <c r="J64" s="32" t="n"/>
      <c r="K64" s="30">
        <f>IFERROR(I64*J64, 0)</f>
        <v/>
      </c>
      <c r="L64" s="31" t="n"/>
      <c r="M64" s="32" t="n"/>
      <c r="N64" s="30">
        <f>IFERROR(L64*M64, 0)</f>
        <v/>
      </c>
      <c r="O64" s="31" t="n"/>
      <c r="P64" s="32" t="n"/>
      <c r="Q64" s="30">
        <f>IFERROR(O64*P64, 0)</f>
        <v/>
      </c>
      <c r="R64" s="31" t="n"/>
      <c r="S64" s="32" t="n"/>
      <c r="T64" s="30">
        <f>IFERROR(R64*S64, 0)</f>
        <v/>
      </c>
      <c r="U64" s="31" t="n"/>
      <c r="V64" s="32" t="n"/>
      <c r="W64" s="30">
        <f>IFERROR(U64*V64, 0)</f>
        <v/>
      </c>
      <c r="X64" s="31" t="n"/>
      <c r="Y64" s="32" t="n"/>
      <c r="Z64" s="30">
        <f>IFERROR(X64*Y64, 0)</f>
        <v/>
      </c>
      <c r="AA64" s="31" t="n"/>
      <c r="AB64" s="32" t="n"/>
      <c r="AC64" s="30">
        <f>IFERROR(AA64*AB64, 0)</f>
        <v/>
      </c>
      <c r="AD64" s="31" t="n"/>
      <c r="AE64" s="32" t="n"/>
      <c r="AF64" s="30">
        <f>IFERROR(AD64*AE64, 0)</f>
        <v/>
      </c>
      <c r="AG64" s="31" t="n"/>
      <c r="AH64" s="32" t="n"/>
      <c r="AI64" s="30">
        <f>IFERROR(AG64*AH64, 0)</f>
        <v/>
      </c>
      <c r="AJ64" s="31" t="n"/>
      <c r="AK64" s="32" t="n"/>
      <c r="AL64" s="30">
        <f>IFERROR(AJ64*AK64, 0)</f>
        <v/>
      </c>
      <c r="AM64" s="31" t="n"/>
      <c r="AN64" s="32" t="n"/>
      <c r="AO64" s="30">
        <f>IFERROR(AM64*AN64, 0)</f>
        <v/>
      </c>
      <c r="AP64" s="31" t="n"/>
      <c r="AQ64" s="32" t="n"/>
      <c r="AR64" s="30">
        <f>IFERROR(AP64*AQ64, 0)</f>
        <v/>
      </c>
      <c r="AS64" s="31" t="n"/>
      <c r="AT64" s="32" t="n"/>
      <c r="AU64" s="30">
        <f>IFERROR(AS64*AT64, 0)</f>
        <v/>
      </c>
      <c r="AV64" s="31" t="n"/>
      <c r="AW64" s="32" t="n"/>
      <c r="AX64" s="30">
        <f>IFERROR(AV64*AW64, 0)</f>
        <v/>
      </c>
      <c r="AY64" s="31" t="n"/>
      <c r="AZ64" s="32" t="n"/>
      <c r="BA64" s="30">
        <f>IFERROR(AY64*AZ64, 0)</f>
        <v/>
      </c>
      <c r="BB64" s="31" t="n"/>
      <c r="BC64" s="32" t="n"/>
      <c r="BD64" s="30">
        <f>IFERROR(BB64*BC64, 0)</f>
        <v/>
      </c>
      <c r="BE64" s="31" t="n"/>
      <c r="BF64" s="32" t="n"/>
      <c r="BG64" s="30">
        <f>IFERROR(BE64*BF64, 0)</f>
        <v/>
      </c>
      <c r="BH64" s="31" t="n"/>
      <c r="BI64" s="32" t="n"/>
      <c r="BJ64" s="30">
        <f>IFERROR(BH64*BI64, 0)</f>
        <v/>
      </c>
      <c r="BK64" s="31" t="n"/>
      <c r="BL64" s="32" t="n"/>
      <c r="BM64" s="30">
        <f>IFERROR(BK64*BL64, 0)</f>
        <v/>
      </c>
      <c r="BN64" s="31" t="n"/>
      <c r="BO64" s="32" t="n"/>
      <c r="BP64" s="30">
        <f>IFERROR(BN64*BO64, 0)</f>
        <v/>
      </c>
      <c r="BQ64" s="31" t="n"/>
      <c r="BR64" s="32" t="n"/>
      <c r="BS64" s="30">
        <f>IFERROR(BQ64*BR64, 0)</f>
        <v/>
      </c>
      <c r="BT64" s="31" t="n"/>
      <c r="BU64" s="32" t="n"/>
      <c r="BV64" s="30">
        <f>IFERROR(BT64*BU64, 0)</f>
        <v/>
      </c>
      <c r="BW64" s="31" t="n"/>
      <c r="BX64" s="32" t="n"/>
      <c r="BY64" s="30">
        <f>IFERROR(BW64*BX64, 0)</f>
        <v/>
      </c>
      <c r="BZ64" s="31" t="n"/>
      <c r="CA64" s="32" t="n"/>
      <c r="CB64" s="30">
        <f>IFERROR(BZ64*CA64, 0)</f>
        <v/>
      </c>
      <c r="CC64" s="31" t="n"/>
      <c r="CD64" s="32" t="n"/>
      <c r="CE64" s="30">
        <f>IFERROR(CC64*CD64, 0)</f>
        <v/>
      </c>
      <c r="CF64" s="31" t="n"/>
      <c r="CG64" s="32" t="n"/>
      <c r="CH64" s="30">
        <f>IFERROR(CF64*CG64, 0)</f>
        <v/>
      </c>
      <c r="CI64" s="31" t="n"/>
      <c r="CJ64" s="32" t="n"/>
      <c r="CK64" s="30">
        <f>IFERROR(CI64*CJ64, 0)</f>
        <v/>
      </c>
      <c r="CL64" s="31" t="n"/>
      <c r="CM64" s="32" t="n"/>
      <c r="CN64" s="30">
        <f>IFERROR(CL64*CM64, 0)</f>
        <v/>
      </c>
      <c r="CO64" s="31" t="n"/>
      <c r="CP64" s="32" t="n"/>
      <c r="CQ64" s="30">
        <f>IFERROR(CO64*CP64, 0)</f>
        <v/>
      </c>
      <c r="CR64" s="31" t="n"/>
      <c r="CS64" s="32" t="n"/>
      <c r="CT64" s="30">
        <f>IFERROR(CR64*CS64, 0)</f>
        <v/>
      </c>
      <c r="CU64" s="33">
        <f>IFERROR(SUM(F64,I64,L64,O64,R64,U64,X64,AA64,AD64,AG64,AJ64,AM64,AP64,AS64,AV64,AY64,BB64,BE64,BH64,BK64,BN64,BQ64,BT64,BW64,BZ64,CC64,CF64,CI64,CL64,CO64,CR64), 0)</f>
        <v/>
      </c>
      <c r="CV64" s="30">
        <f>IFERROR(AVERAGE(G64,J64,M64,P64,S64,V64,Y64,AB64,AE64,AH64,AK64,AN64,AQ64,AT64,AW64,AZ64,BC64,BF64,BI64,BL64,BO64,BR64,BU64,BX64,CA64,CD64,CG64,CJ64,CM64,CP64,CS64), 0)</f>
        <v/>
      </c>
      <c r="CW64" s="30">
        <f>CU64*CV64</f>
        <v/>
      </c>
    </row>
    <row r="65" ht="16.5" customHeight="1">
      <c r="A65" s="28" t="inlineStr">
        <is>
          <t>Cebolla cabezona</t>
        </is>
      </c>
      <c r="B65" s="28" t="inlineStr">
        <is>
          <t>Kg</t>
        </is>
      </c>
      <c r="C65" s="29" t="n"/>
      <c r="D65" s="30" t="n"/>
      <c r="E65" s="30" t="n"/>
      <c r="F65" s="31" t="n"/>
      <c r="G65" s="32" t="n"/>
      <c r="H65" s="30">
        <f>IFERROR(F65*G65, 0)</f>
        <v/>
      </c>
      <c r="I65" s="31" t="n"/>
      <c r="J65" s="32" t="n"/>
      <c r="K65" s="30">
        <f>IFERROR(I65*J65, 0)</f>
        <v/>
      </c>
      <c r="L65" s="31" t="n"/>
      <c r="M65" s="32" t="n"/>
      <c r="N65" s="30">
        <f>IFERROR(L65*M65, 0)</f>
        <v/>
      </c>
      <c r="O65" s="31" t="n"/>
      <c r="P65" s="32" t="n"/>
      <c r="Q65" s="30">
        <f>IFERROR(O65*P65, 0)</f>
        <v/>
      </c>
      <c r="R65" s="31" t="n"/>
      <c r="S65" s="32" t="n"/>
      <c r="T65" s="30">
        <f>IFERROR(R65*S65, 0)</f>
        <v/>
      </c>
      <c r="U65" s="31" t="n"/>
      <c r="V65" s="32" t="n"/>
      <c r="W65" s="30">
        <f>IFERROR(U65*V65, 0)</f>
        <v/>
      </c>
      <c r="X65" s="31" t="n">
        <v>1.72</v>
      </c>
      <c r="Y65" s="32" t="n">
        <v>6880</v>
      </c>
      <c r="Z65" s="30" t="n">
        <v>11834</v>
      </c>
      <c r="AA65" s="31" t="n"/>
      <c r="AB65" s="32" t="n"/>
      <c r="AC65" s="30">
        <f>IFERROR(AA65*AB65, 0)</f>
        <v/>
      </c>
      <c r="AD65" s="31" t="n"/>
      <c r="AE65" s="32" t="n"/>
      <c r="AF65" s="30">
        <f>IFERROR(AD65*AE65, 0)</f>
        <v/>
      </c>
      <c r="AG65" s="31" t="n"/>
      <c r="AH65" s="32" t="n"/>
      <c r="AI65" s="30">
        <f>IFERROR(AG65*AH65, 0)</f>
        <v/>
      </c>
      <c r="AJ65" s="31" t="n"/>
      <c r="AK65" s="32" t="n"/>
      <c r="AL65" s="30">
        <f>IFERROR(AJ65*AK65, 0)</f>
        <v/>
      </c>
      <c r="AM65" s="31" t="n"/>
      <c r="AN65" s="32" t="n"/>
      <c r="AO65" s="30">
        <f>IFERROR(AM65*AN65, 0)</f>
        <v/>
      </c>
      <c r="AP65" s="31" t="n">
        <v>15.2</v>
      </c>
      <c r="AQ65" s="32" t="n">
        <v>3500</v>
      </c>
      <c r="AR65" s="30" t="n">
        <v>53200</v>
      </c>
      <c r="AS65" s="31" t="n">
        <v>13.7</v>
      </c>
      <c r="AT65" s="32" t="n">
        <v>3800</v>
      </c>
      <c r="AU65" s="30" t="n">
        <v>52060</v>
      </c>
      <c r="AV65" s="31" t="n"/>
      <c r="AW65" s="32" t="n"/>
      <c r="AX65" s="30">
        <f>IFERROR(AV65*AW65, 0)</f>
        <v/>
      </c>
      <c r="AY65" s="31" t="n"/>
      <c r="AZ65" s="32" t="n"/>
      <c r="BA65" s="30">
        <f>IFERROR(AY65*AZ65, 0)</f>
        <v/>
      </c>
      <c r="BB65" s="31" t="n"/>
      <c r="BC65" s="32" t="n"/>
      <c r="BD65" s="30">
        <f>IFERROR(BB65*BC65, 0)</f>
        <v/>
      </c>
      <c r="BE65" s="31" t="n"/>
      <c r="BF65" s="32" t="n"/>
      <c r="BG65" s="30">
        <f>IFERROR(BE65*BF65, 0)</f>
        <v/>
      </c>
      <c r="BH65" s="31" t="n"/>
      <c r="BI65" s="32" t="n"/>
      <c r="BJ65" s="30">
        <f>IFERROR(BH65*BI65, 0)</f>
        <v/>
      </c>
      <c r="BK65" s="31" t="n"/>
      <c r="BL65" s="32" t="n"/>
      <c r="BM65" s="30">
        <f>IFERROR(BK65*BL65, 0)</f>
        <v/>
      </c>
      <c r="BN65" s="31" t="n">
        <v>12.8</v>
      </c>
      <c r="BO65" s="32" t="n">
        <v>3800</v>
      </c>
      <c r="BP65" s="30" t="n">
        <v>47280</v>
      </c>
      <c r="BQ65" s="31" t="n"/>
      <c r="BR65" s="32" t="n"/>
      <c r="BS65" s="30">
        <f>IFERROR(BQ65*BR65, 0)</f>
        <v/>
      </c>
      <c r="BT65" s="31" t="n"/>
      <c r="BU65" s="32" t="n"/>
      <c r="BV65" s="30">
        <f>IFERROR(BT65*BU65, 0)</f>
        <v/>
      </c>
      <c r="BW65" s="31" t="n"/>
      <c r="BX65" s="32" t="n"/>
      <c r="BY65" s="30">
        <f>IFERROR(BW65*BX65, 0)</f>
        <v/>
      </c>
      <c r="BZ65" s="31" t="n"/>
      <c r="CA65" s="32" t="n"/>
      <c r="CB65" s="30">
        <f>IFERROR(BZ65*CA65, 0)</f>
        <v/>
      </c>
      <c r="CC65" s="31" t="n"/>
      <c r="CD65" s="32" t="n"/>
      <c r="CE65" s="30">
        <f>IFERROR(CC65*CD65, 0)</f>
        <v/>
      </c>
      <c r="CF65" s="31" t="n"/>
      <c r="CG65" s="32" t="n"/>
      <c r="CH65" s="30">
        <f>IFERROR(CF65*CG65, 0)</f>
        <v/>
      </c>
      <c r="CI65" s="31" t="n"/>
      <c r="CJ65" s="32" t="n"/>
      <c r="CK65" s="30">
        <f>IFERROR(CI65*CJ65, 0)</f>
        <v/>
      </c>
      <c r="CL65" s="31" t="n"/>
      <c r="CM65" s="32" t="n"/>
      <c r="CN65" s="30">
        <f>IFERROR(CL65*CM65, 0)</f>
        <v/>
      </c>
      <c r="CO65" s="31" t="n"/>
      <c r="CP65" s="32" t="n"/>
      <c r="CQ65" s="30">
        <f>IFERROR(CO65*CP65, 0)</f>
        <v/>
      </c>
      <c r="CR65" s="31" t="n"/>
      <c r="CS65" s="32" t="n"/>
      <c r="CT65" s="30">
        <f>IFERROR(CR65*CS65, 0)</f>
        <v/>
      </c>
      <c r="CU65" s="33">
        <f>IFERROR(SUM(F65,I65,L65,O65,R65,U65,X65,AA65,AD65,AG65,AJ65,AM65,AP65,AS65,AV65,AY65,BB65,BE65,BH65,BK65,BN65,BQ65,BT65,BW65,BZ65,CC65,CF65,CI65,CL65,CO65,CR65), 0)</f>
        <v/>
      </c>
      <c r="CV65" s="30">
        <f>IFERROR(AVERAGE(G65,J65,M65,P65,S65,V65,Y65,AB65,AE65,AH65,AK65,AN65,AQ65,AT65,AW65,AZ65,BC65,BF65,BI65,BL65,BO65,BR65,BU65,BX65,CA65,CD65,CG65,CJ65,CM65,CP65,CS65), 0)</f>
        <v/>
      </c>
      <c r="CW65" s="30">
        <f>CU65*CV65</f>
        <v/>
      </c>
    </row>
    <row r="66" ht="15.75" customHeight="1">
      <c r="A66" s="28" t="inlineStr">
        <is>
          <t>Carbon</t>
        </is>
      </c>
      <c r="B66" s="28" t="inlineStr">
        <is>
          <t>Bulto</t>
        </is>
      </c>
      <c r="C66" s="29" t="n"/>
      <c r="D66" s="30" t="n"/>
      <c r="E66" s="30" t="n"/>
      <c r="F66" s="31" t="n"/>
      <c r="G66" s="32" t="n"/>
      <c r="H66" s="30">
        <f>IFERROR(F66*G66, 0)</f>
        <v/>
      </c>
      <c r="I66" s="31" t="n"/>
      <c r="J66" s="32" t="n"/>
      <c r="K66" s="30">
        <f>IFERROR(I66*J66, 0)</f>
        <v/>
      </c>
      <c r="L66" s="31" t="n"/>
      <c r="M66" s="32" t="n"/>
      <c r="N66" s="30">
        <f>IFERROR(L66*M66, 0)</f>
        <v/>
      </c>
      <c r="O66" s="31" t="n"/>
      <c r="P66" s="32" t="n"/>
      <c r="Q66" s="30">
        <f>IFERROR(O66*P66, 0)</f>
        <v/>
      </c>
      <c r="R66" s="31" t="n"/>
      <c r="S66" s="32" t="n"/>
      <c r="T66" s="30">
        <f>IFERROR(R66*S66, 0)</f>
        <v/>
      </c>
      <c r="U66" s="31" t="n"/>
      <c r="V66" s="32" t="n"/>
      <c r="W66" s="30">
        <f>IFERROR(U66*V66, 0)</f>
        <v/>
      </c>
      <c r="X66" s="31" t="n"/>
      <c r="Y66" s="32" t="n"/>
      <c r="Z66" s="30">
        <f>IFERROR(X66*Y66, 0)</f>
        <v/>
      </c>
      <c r="AA66" s="31" t="n"/>
      <c r="AB66" s="32" t="n"/>
      <c r="AC66" s="30">
        <f>IFERROR(AA66*AB66, 0)</f>
        <v/>
      </c>
      <c r="AD66" s="31" t="n"/>
      <c r="AE66" s="32" t="n"/>
      <c r="AF66" s="30">
        <f>IFERROR(AD66*AE66, 0)</f>
        <v/>
      </c>
      <c r="AG66" s="31" t="n"/>
      <c r="AH66" s="32" t="n"/>
      <c r="AI66" s="30">
        <f>IFERROR(AG66*AH66, 0)</f>
        <v/>
      </c>
      <c r="AJ66" s="31" t="n"/>
      <c r="AK66" s="32" t="n"/>
      <c r="AL66" s="30">
        <f>IFERROR(AJ66*AK66, 0)</f>
        <v/>
      </c>
      <c r="AM66" s="31" t="n"/>
      <c r="AN66" s="32" t="n"/>
      <c r="AO66" s="30">
        <f>IFERROR(AM66*AN66, 0)</f>
        <v/>
      </c>
      <c r="AP66" s="31" t="n"/>
      <c r="AQ66" s="32" t="n"/>
      <c r="AR66" s="30">
        <f>IFERROR(AP66*AQ66, 0)</f>
        <v/>
      </c>
      <c r="AS66" s="31" t="n"/>
      <c r="AT66" s="32" t="n"/>
      <c r="AU66" s="30">
        <f>IFERROR(AS66*AT66, 0)</f>
        <v/>
      </c>
      <c r="AV66" s="31" t="n"/>
      <c r="AW66" s="32" t="n"/>
      <c r="AX66" s="30">
        <f>IFERROR(AV66*AW66, 0)</f>
        <v/>
      </c>
      <c r="AY66" s="31" t="n"/>
      <c r="AZ66" s="32" t="n"/>
      <c r="BA66" s="30">
        <f>IFERROR(AY66*AZ66, 0)</f>
        <v/>
      </c>
      <c r="BB66" s="31" t="n"/>
      <c r="BC66" s="32" t="n"/>
      <c r="BD66" s="30">
        <f>IFERROR(BB66*BC66, 0)</f>
        <v/>
      </c>
      <c r="BE66" s="31" t="n"/>
      <c r="BF66" s="32" t="n"/>
      <c r="BG66" s="30">
        <f>IFERROR(BE66*BF66, 0)</f>
        <v/>
      </c>
      <c r="BH66" s="31" t="n"/>
      <c r="BI66" s="32" t="n"/>
      <c r="BJ66" s="30">
        <f>IFERROR(BH66*BI66, 0)</f>
        <v/>
      </c>
      <c r="BK66" s="31" t="n"/>
      <c r="BL66" s="32" t="n"/>
      <c r="BM66" s="30">
        <f>IFERROR(BK66*BL66, 0)</f>
        <v/>
      </c>
      <c r="BN66" s="31" t="n"/>
      <c r="BO66" s="32" t="n"/>
      <c r="BP66" s="30">
        <f>IFERROR(BN66*BO66, 0)</f>
        <v/>
      </c>
      <c r="BQ66" s="31" t="n"/>
      <c r="BR66" s="32" t="n"/>
      <c r="BS66" s="30">
        <f>IFERROR(BQ66*BR66, 0)</f>
        <v/>
      </c>
      <c r="BT66" s="31" t="n"/>
      <c r="BU66" s="32" t="n"/>
      <c r="BV66" s="30">
        <f>IFERROR(BT66*BU66, 0)</f>
        <v/>
      </c>
      <c r="BW66" s="31" t="n"/>
      <c r="BX66" s="32" t="n"/>
      <c r="BY66" s="30">
        <f>IFERROR(BW66*BX66, 0)</f>
        <v/>
      </c>
      <c r="BZ66" s="31" t="n"/>
      <c r="CA66" s="32" t="n"/>
      <c r="CB66" s="30">
        <f>IFERROR(BZ66*CA66, 0)</f>
        <v/>
      </c>
      <c r="CC66" s="31" t="n"/>
      <c r="CD66" s="32" t="n"/>
      <c r="CE66" s="30">
        <f>IFERROR(CC66*CD66, 0)</f>
        <v/>
      </c>
      <c r="CF66" s="31" t="n"/>
      <c r="CG66" s="32" t="n"/>
      <c r="CH66" s="30">
        <f>IFERROR(CF66*CG66, 0)</f>
        <v/>
      </c>
      <c r="CI66" s="31" t="n"/>
      <c r="CJ66" s="32" t="n"/>
      <c r="CK66" s="30">
        <f>IFERROR(CI66*CJ66, 0)</f>
        <v/>
      </c>
      <c r="CL66" s="31" t="n"/>
      <c r="CM66" s="32" t="n"/>
      <c r="CN66" s="30">
        <f>IFERROR(CL66*CM66, 0)</f>
        <v/>
      </c>
      <c r="CO66" s="31" t="n"/>
      <c r="CP66" s="32" t="n"/>
      <c r="CQ66" s="30">
        <f>IFERROR(CO66*CP66, 0)</f>
        <v/>
      </c>
      <c r="CR66" s="31" t="n"/>
      <c r="CS66" s="32" t="n"/>
      <c r="CT66" s="30">
        <f>IFERROR(CR66*CS66, 0)</f>
        <v/>
      </c>
      <c r="CU66" s="33">
        <f>IFERROR(SUM(F66,I66,L66,O66,R66,U66,X66,AA66,AD66,AG66,AJ66,AM66,AP66,AS66,AV66,AY66,BB66,BE66,BH66,BK66,BN66,BQ66,BT66,BW66,BZ66,CC66,CF66,CI66,CL66,CO66,CR66), 0)</f>
        <v/>
      </c>
      <c r="CV66" s="30">
        <f>IFERROR(AVERAGE(G66,J66,M66,P66,S66,V66,Y66,AB66,AE66,AH66,AK66,AN66,AQ66,AT66,AW66,AZ66,BC66,BF66,BI66,BL66,BO66,BR66,BU66,BX66,CA66,CD66,CG66,CJ66,CM66,CP66,CS66), 0)</f>
        <v/>
      </c>
      <c r="CW66" s="30">
        <f>CU66*CV66</f>
        <v/>
      </c>
    </row>
    <row r="67" ht="15.75" customHeight="1">
      <c r="A67" s="28" t="inlineStr">
        <is>
          <t>Brocoly</t>
        </is>
      </c>
      <c r="B67" s="28" t="inlineStr">
        <is>
          <t>Kg</t>
        </is>
      </c>
      <c r="C67" s="34" t="n"/>
      <c r="D67" s="32" t="n"/>
      <c r="E67" s="32" t="n"/>
      <c r="F67" s="31" t="n"/>
      <c r="G67" s="32" t="n"/>
      <c r="H67" s="30">
        <f>IFERROR(F67*G67, 0)</f>
        <v/>
      </c>
      <c r="I67" s="31" t="n"/>
      <c r="J67" s="32" t="n"/>
      <c r="K67" s="30">
        <f>IFERROR(I67*J67, 0)</f>
        <v/>
      </c>
      <c r="L67" s="31" t="n"/>
      <c r="M67" s="32" t="n"/>
      <c r="N67" s="30">
        <f>IFERROR(L67*M67, 0)</f>
        <v/>
      </c>
      <c r="O67" s="31" t="n"/>
      <c r="P67" s="32" t="n"/>
      <c r="Q67" s="30">
        <f>IFERROR(O67*P67, 0)</f>
        <v/>
      </c>
      <c r="R67" s="31" t="n"/>
      <c r="S67" s="32" t="n"/>
      <c r="T67" s="30">
        <f>IFERROR(R67*S67, 0)</f>
        <v/>
      </c>
      <c r="U67" s="31" t="n"/>
      <c r="V67" s="32" t="n"/>
      <c r="W67" s="30">
        <f>IFERROR(U67*V67, 0)</f>
        <v/>
      </c>
      <c r="X67" s="31" t="n"/>
      <c r="Y67" s="32" t="n"/>
      <c r="Z67" s="30">
        <f>IFERROR(X67*Y67, 0)</f>
        <v/>
      </c>
      <c r="AA67" s="31" t="n"/>
      <c r="AB67" s="32" t="n"/>
      <c r="AC67" s="30">
        <f>IFERROR(AA67*AB67, 0)</f>
        <v/>
      </c>
      <c r="AD67" s="31" t="n"/>
      <c r="AE67" s="32" t="n"/>
      <c r="AF67" s="30">
        <f>IFERROR(AD67*AE67, 0)</f>
        <v/>
      </c>
      <c r="AG67" s="31" t="n"/>
      <c r="AH67" s="32" t="n"/>
      <c r="AI67" s="30">
        <f>IFERROR(AG67*AH67, 0)</f>
        <v/>
      </c>
      <c r="AJ67" s="31" t="n"/>
      <c r="AK67" s="32" t="n"/>
      <c r="AL67" s="30">
        <f>IFERROR(AJ67*AK67, 0)</f>
        <v/>
      </c>
      <c r="AM67" s="31" t="n"/>
      <c r="AN67" s="32" t="n"/>
      <c r="AO67" s="30">
        <f>IFERROR(AM67*AN67, 0)</f>
        <v/>
      </c>
      <c r="AP67" s="31" t="n"/>
      <c r="AQ67" s="32" t="n"/>
      <c r="AR67" s="30">
        <f>IFERROR(AP67*AQ67, 0)</f>
        <v/>
      </c>
      <c r="AS67" s="31" t="n"/>
      <c r="AT67" s="32" t="n"/>
      <c r="AU67" s="30">
        <f>IFERROR(AS67*AT67, 0)</f>
        <v/>
      </c>
      <c r="AV67" s="31" t="n"/>
      <c r="AW67" s="32" t="n"/>
      <c r="AX67" s="30">
        <f>IFERROR(AV67*AW67, 0)</f>
        <v/>
      </c>
      <c r="AY67" s="31" t="n"/>
      <c r="AZ67" s="32" t="n"/>
      <c r="BA67" s="30">
        <f>IFERROR(AY67*AZ67, 0)</f>
        <v/>
      </c>
      <c r="BB67" s="31" t="n"/>
      <c r="BC67" s="32" t="n"/>
      <c r="BD67" s="30">
        <f>IFERROR(BB67*BC67, 0)</f>
        <v/>
      </c>
      <c r="BE67" s="31" t="n"/>
      <c r="BF67" s="32" t="n"/>
      <c r="BG67" s="30">
        <f>IFERROR(BE67*BF67, 0)</f>
        <v/>
      </c>
      <c r="BH67" s="31" t="n"/>
      <c r="BI67" s="32" t="n"/>
      <c r="BJ67" s="30">
        <f>IFERROR(BH67*BI67, 0)</f>
        <v/>
      </c>
      <c r="BK67" s="31" t="n"/>
      <c r="BL67" s="32" t="n"/>
      <c r="BM67" s="30">
        <f>IFERROR(BK67*BL67, 0)</f>
        <v/>
      </c>
      <c r="BN67" s="31" t="n"/>
      <c r="BO67" s="32" t="n"/>
      <c r="BP67" s="30">
        <f>IFERROR(BN67*BO67, 0)</f>
        <v/>
      </c>
      <c r="BQ67" s="31" t="n">
        <v>0.695</v>
      </c>
      <c r="BR67" s="32" t="n">
        <v>7280</v>
      </c>
      <c r="BS67" s="30" t="n">
        <v>5060</v>
      </c>
      <c r="BT67" s="31" t="n"/>
      <c r="BU67" s="32" t="n"/>
      <c r="BV67" s="30">
        <f>IFERROR(BT67*BU67, 0)</f>
        <v/>
      </c>
      <c r="BW67" s="31" t="n"/>
      <c r="BX67" s="32" t="n"/>
      <c r="BY67" s="30">
        <f>IFERROR(BW67*BX67, 0)</f>
        <v/>
      </c>
      <c r="BZ67" s="31" t="n"/>
      <c r="CA67" s="32" t="n"/>
      <c r="CB67" s="30">
        <f>IFERROR(BZ67*CA67, 0)</f>
        <v/>
      </c>
      <c r="CC67" s="31" t="n"/>
      <c r="CD67" s="32" t="n"/>
      <c r="CE67" s="30">
        <f>IFERROR(CC67*CD67, 0)</f>
        <v/>
      </c>
      <c r="CF67" s="31" t="n"/>
      <c r="CG67" s="32" t="n"/>
      <c r="CH67" s="30">
        <f>IFERROR(CF67*CG67, 0)</f>
        <v/>
      </c>
      <c r="CI67" s="31" t="n"/>
      <c r="CJ67" s="32" t="n"/>
      <c r="CK67" s="30">
        <f>IFERROR(CI67*CJ67, 0)</f>
        <v/>
      </c>
      <c r="CL67" s="31" t="n"/>
      <c r="CM67" s="32" t="n"/>
      <c r="CN67" s="30">
        <f>IFERROR(CL67*CM67, 0)</f>
        <v/>
      </c>
      <c r="CO67" s="31" t="n"/>
      <c r="CP67" s="32" t="n"/>
      <c r="CQ67" s="30">
        <f>IFERROR(CO67*CP67, 0)</f>
        <v/>
      </c>
      <c r="CR67" s="31" t="n"/>
      <c r="CS67" s="32" t="n"/>
      <c r="CT67" s="30">
        <f>IFERROR(CR67*CS67, 0)</f>
        <v/>
      </c>
      <c r="CU67" s="33">
        <f>IFERROR(SUM(F67,I67,L67,O67,R67,U67,X67,AA67,AD67,AG67,AJ67,AM67,AP67,AS67,AV67,AY67,BB67,BE67,BH67,BK67,BN67,BQ67,BT67,BW67,BZ67,CC67,CF67,CI67,CL67,CO67,CR67), 0)</f>
        <v/>
      </c>
      <c r="CV67" s="30">
        <f>IFERROR(AVERAGE(G67,J67,M67,P67,S67,V67,Y67,AB67,AE67,AH67,AK67,AN67,AQ67,AT67,AW67,AZ67,BC67,BF67,BI67,BL67,BO67,BR67,BU67,BX67,CA67,CD67,CG67,CJ67,CM67,CP67,CS67), 0)</f>
        <v/>
      </c>
      <c r="CW67" s="30">
        <f>CU67*CV67</f>
        <v/>
      </c>
    </row>
    <row r="68" ht="15.75" customHeight="1">
      <c r="A68" s="28" t="inlineStr">
        <is>
          <t>Banano</t>
        </is>
      </c>
      <c r="B68" s="28" t="inlineStr">
        <is>
          <t>Kg</t>
        </is>
      </c>
      <c r="C68" s="34" t="n"/>
      <c r="D68" s="32" t="n"/>
      <c r="E68" s="32" t="n"/>
      <c r="F68" s="31" t="n"/>
      <c r="G68" s="32" t="n"/>
      <c r="H68" s="30">
        <f>IFERROR(F68*G68, 0)</f>
        <v/>
      </c>
      <c r="I68" s="31" t="n"/>
      <c r="J68" s="32" t="n"/>
      <c r="K68" s="30">
        <f>IFERROR(I68*J68, 0)</f>
        <v/>
      </c>
      <c r="L68" s="31" t="n"/>
      <c r="M68" s="32" t="n"/>
      <c r="N68" s="30">
        <f>IFERROR(L68*M68, 0)</f>
        <v/>
      </c>
      <c r="O68" s="31" t="n"/>
      <c r="P68" s="32" t="n"/>
      <c r="Q68" s="30">
        <f>IFERROR(O68*P68, 0)</f>
        <v/>
      </c>
      <c r="R68" s="31" t="n"/>
      <c r="S68" s="32" t="n"/>
      <c r="T68" s="30">
        <f>IFERROR(R68*S68, 0)</f>
        <v/>
      </c>
      <c r="U68" s="31" t="n"/>
      <c r="V68" s="32" t="n"/>
      <c r="W68" s="30">
        <f>IFERROR(U68*V68, 0)</f>
        <v/>
      </c>
      <c r="X68" s="31" t="n">
        <v>2.22</v>
      </c>
      <c r="Y68" s="32" t="n">
        <v>4500</v>
      </c>
      <c r="Z68" s="30" t="n">
        <v>9989</v>
      </c>
      <c r="AA68" s="31" t="n"/>
      <c r="AB68" s="32" t="n"/>
      <c r="AC68" s="30">
        <f>IFERROR(AA68*AB68, 0)</f>
        <v/>
      </c>
      <c r="AD68" s="31" t="n"/>
      <c r="AE68" s="32" t="n"/>
      <c r="AF68" s="30">
        <f>IFERROR(AD68*AE68, 0)</f>
        <v/>
      </c>
      <c r="AG68" s="31" t="n"/>
      <c r="AH68" s="32" t="n"/>
      <c r="AI68" s="30">
        <f>IFERROR(AG68*AH68, 0)</f>
        <v/>
      </c>
      <c r="AJ68" s="31" t="n"/>
      <c r="AK68" s="32" t="n"/>
      <c r="AL68" s="30">
        <f>IFERROR(AJ68*AK68, 0)</f>
        <v/>
      </c>
      <c r="AM68" s="31" t="n"/>
      <c r="AN68" s="32" t="n"/>
      <c r="AO68" s="30">
        <f>IFERROR(AM68*AN68, 0)</f>
        <v/>
      </c>
      <c r="AP68" s="31" t="n"/>
      <c r="AQ68" s="32" t="n"/>
      <c r="AR68" s="30">
        <f>IFERROR(AP68*AQ68, 0)</f>
        <v/>
      </c>
      <c r="AS68" s="31" t="n"/>
      <c r="AT68" s="32" t="n"/>
      <c r="AU68" s="30">
        <f>IFERROR(AS68*AT68, 0)</f>
        <v/>
      </c>
      <c r="AV68" s="31" t="n"/>
      <c r="AW68" s="32" t="n"/>
      <c r="AX68" s="30">
        <f>IFERROR(AV68*AW68, 0)</f>
        <v/>
      </c>
      <c r="AY68" s="31" t="n"/>
      <c r="AZ68" s="32" t="n"/>
      <c r="BA68" s="30">
        <f>IFERROR(AY68*AZ68, 0)</f>
        <v/>
      </c>
      <c r="BB68" s="31" t="n"/>
      <c r="BC68" s="32" t="n"/>
      <c r="BD68" s="30">
        <f>IFERROR(BB68*BC68, 0)</f>
        <v/>
      </c>
      <c r="BE68" s="31" t="n"/>
      <c r="BF68" s="32" t="n"/>
      <c r="BG68" s="30">
        <f>IFERROR(BE68*BF68, 0)</f>
        <v/>
      </c>
      <c r="BH68" s="31" t="n"/>
      <c r="BI68" s="32" t="n"/>
      <c r="BJ68" s="30">
        <f>IFERROR(BH68*BI68, 0)</f>
        <v/>
      </c>
      <c r="BK68" s="31" t="n"/>
      <c r="BL68" s="32" t="n"/>
      <c r="BM68" s="30">
        <f>IFERROR(BK68*BL68, 0)</f>
        <v/>
      </c>
      <c r="BN68" s="31" t="n"/>
      <c r="BO68" s="32" t="n"/>
      <c r="BP68" s="30">
        <f>IFERROR(BN68*BO68, 0)</f>
        <v/>
      </c>
      <c r="BQ68" s="31" t="n"/>
      <c r="BR68" s="32" t="n"/>
      <c r="BS68" s="30">
        <f>IFERROR(BQ68*BR68, 0)</f>
        <v/>
      </c>
      <c r="BT68" s="31" t="n"/>
      <c r="BU68" s="32" t="n"/>
      <c r="BV68" s="30">
        <f>IFERROR(BT68*BU68, 0)</f>
        <v/>
      </c>
      <c r="BW68" s="31" t="n"/>
      <c r="BX68" s="32" t="n"/>
      <c r="BY68" s="30">
        <f>IFERROR(BW68*BX68, 0)</f>
        <v/>
      </c>
      <c r="BZ68" s="31" t="n"/>
      <c r="CA68" s="32" t="n"/>
      <c r="CB68" s="30">
        <f>IFERROR(BZ68*CA68, 0)</f>
        <v/>
      </c>
      <c r="CC68" s="31" t="n"/>
      <c r="CD68" s="32" t="n"/>
      <c r="CE68" s="30">
        <f>IFERROR(CC68*CD68, 0)</f>
        <v/>
      </c>
      <c r="CF68" s="31" t="n"/>
      <c r="CG68" s="32" t="n"/>
      <c r="CH68" s="30">
        <f>IFERROR(CF68*CG68, 0)</f>
        <v/>
      </c>
      <c r="CI68" s="31" t="n"/>
      <c r="CJ68" s="32" t="n"/>
      <c r="CK68" s="30">
        <f>IFERROR(CI68*CJ68, 0)</f>
        <v/>
      </c>
      <c r="CL68" s="31" t="n"/>
      <c r="CM68" s="32" t="n"/>
      <c r="CN68" s="30">
        <f>IFERROR(CL68*CM68, 0)</f>
        <v/>
      </c>
      <c r="CO68" s="31" t="n"/>
      <c r="CP68" s="32" t="n"/>
      <c r="CQ68" s="30">
        <f>IFERROR(CO68*CP68, 0)</f>
        <v/>
      </c>
      <c r="CR68" s="31" t="n"/>
      <c r="CS68" s="32" t="n"/>
      <c r="CT68" s="30">
        <f>IFERROR(CR68*CS68, 0)</f>
        <v/>
      </c>
      <c r="CU68" s="33">
        <f>IFERROR(SUM(F68,I68,L68,O68,R68,U68,X68,AA68,AD68,AG68,AJ68,AM68,AP68,AS68,AV68,AY68,BB68,BE68,BH68,BK68,BN68,BQ68,BT68,BW68,BZ68,CC68,CF68,CI68,CL68,CO68,CR68), 0)</f>
        <v/>
      </c>
      <c r="CV68" s="30">
        <f>IFERROR(AVERAGE(G68,J68,M68,P68,S68,V68,Y68,AB68,AE68,AH68,AK68,AN68,AQ68,AT68,AW68,AZ68,BC68,BF68,BI68,BL68,BO68,BR68,BU68,BX68,CA68,CD68,CG68,CJ68,CM68,CP68,CS68), 0)</f>
        <v/>
      </c>
      <c r="CW68" s="30">
        <f>CU68*CV68</f>
        <v/>
      </c>
    </row>
    <row r="69" ht="15.75" customHeight="1">
      <c r="A69" s="28" t="inlineStr">
        <is>
          <t>Arracacha</t>
        </is>
      </c>
      <c r="B69" s="28" t="inlineStr">
        <is>
          <t>Kg</t>
        </is>
      </c>
      <c r="C69" s="34" t="n"/>
      <c r="D69" s="32" t="n"/>
      <c r="E69" s="32" t="n"/>
      <c r="F69" s="31" t="n"/>
      <c r="G69" s="32" t="n"/>
      <c r="H69" s="30">
        <f>IFERROR(F69*G69, 0)</f>
        <v/>
      </c>
      <c r="I69" s="31" t="n"/>
      <c r="J69" s="32" t="n"/>
      <c r="K69" s="30">
        <f>IFERROR(I69*J69, 0)</f>
        <v/>
      </c>
      <c r="L69" s="31" t="n"/>
      <c r="M69" s="32" t="n"/>
      <c r="N69" s="30">
        <f>IFERROR(L69*M69, 0)</f>
        <v/>
      </c>
      <c r="O69" s="31" t="n"/>
      <c r="P69" s="32" t="n"/>
      <c r="Q69" s="30">
        <f>IFERROR(O69*P69, 0)</f>
        <v/>
      </c>
      <c r="R69" s="31" t="n"/>
      <c r="S69" s="32" t="n"/>
      <c r="T69" s="30">
        <f>IFERROR(R69*S69, 0)</f>
        <v/>
      </c>
      <c r="U69" s="31" t="n"/>
      <c r="V69" s="32" t="n"/>
      <c r="W69" s="30">
        <f>IFERROR(U69*V69, 0)</f>
        <v/>
      </c>
      <c r="X69" s="31" t="n"/>
      <c r="Y69" s="32" t="n"/>
      <c r="Z69" s="30">
        <f>IFERROR(X69*Y69, 0)</f>
        <v/>
      </c>
      <c r="AA69" s="31" t="n"/>
      <c r="AB69" s="32" t="n"/>
      <c r="AC69" s="30">
        <f>IFERROR(AA69*AB69, 0)</f>
        <v/>
      </c>
      <c r="AD69" s="31" t="n"/>
      <c r="AE69" s="32" t="n"/>
      <c r="AF69" s="30">
        <f>IFERROR(AD69*AE69, 0)</f>
        <v/>
      </c>
      <c r="AG69" s="31" t="n"/>
      <c r="AH69" s="32" t="n"/>
      <c r="AI69" s="30">
        <f>IFERROR(AG69*AH69, 0)</f>
        <v/>
      </c>
      <c r="AJ69" s="31" t="n"/>
      <c r="AK69" s="32" t="n"/>
      <c r="AL69" s="30">
        <f>IFERROR(AJ69*AK69, 0)</f>
        <v/>
      </c>
      <c r="AM69" s="31" t="n"/>
      <c r="AN69" s="32" t="n"/>
      <c r="AO69" s="30">
        <f>IFERROR(AM69*AN69, 0)</f>
        <v/>
      </c>
      <c r="AP69" s="31" t="n"/>
      <c r="AQ69" s="32" t="n"/>
      <c r="AR69" s="30">
        <f>IFERROR(AP69*AQ69, 0)</f>
        <v/>
      </c>
      <c r="AS69" s="31" t="n"/>
      <c r="AT69" s="32" t="n"/>
      <c r="AU69" s="30">
        <f>IFERROR(AS69*AT69, 0)</f>
        <v/>
      </c>
      <c r="AV69" s="31" t="n"/>
      <c r="AW69" s="32" t="n"/>
      <c r="AX69" s="30">
        <f>IFERROR(AV69*AW69, 0)</f>
        <v/>
      </c>
      <c r="AY69" s="31" t="n"/>
      <c r="AZ69" s="32" t="n"/>
      <c r="BA69" s="30">
        <f>IFERROR(AY69*AZ69, 0)</f>
        <v/>
      </c>
      <c r="BB69" s="31" t="n"/>
      <c r="BC69" s="32" t="n"/>
      <c r="BD69" s="30">
        <f>IFERROR(BB69*BC69, 0)</f>
        <v/>
      </c>
      <c r="BE69" s="31" t="n"/>
      <c r="BF69" s="32" t="n"/>
      <c r="BG69" s="30">
        <f>IFERROR(BE69*BF69, 0)</f>
        <v/>
      </c>
      <c r="BH69" s="31" t="n"/>
      <c r="BI69" s="32" t="n"/>
      <c r="BJ69" s="30">
        <f>IFERROR(BH69*BI69, 0)</f>
        <v/>
      </c>
      <c r="BK69" s="31" t="n"/>
      <c r="BL69" s="32" t="n"/>
      <c r="BM69" s="30">
        <f>IFERROR(BK69*BL69, 0)</f>
        <v/>
      </c>
      <c r="BN69" s="31" t="n">
        <v>3.1</v>
      </c>
      <c r="BO69" s="32" t="n">
        <v>6500</v>
      </c>
      <c r="BP69" s="30" t="n">
        <v>20150</v>
      </c>
      <c r="BQ69" s="31" t="n"/>
      <c r="BR69" s="32" t="n"/>
      <c r="BS69" s="30">
        <f>IFERROR(BQ69*BR69, 0)</f>
        <v/>
      </c>
      <c r="BT69" s="31" t="n"/>
      <c r="BU69" s="32" t="n"/>
      <c r="BV69" s="30">
        <f>IFERROR(BT69*BU69, 0)</f>
        <v/>
      </c>
      <c r="BW69" s="31" t="n"/>
      <c r="BX69" s="32" t="n"/>
      <c r="BY69" s="30">
        <f>IFERROR(BW69*BX69, 0)</f>
        <v/>
      </c>
      <c r="BZ69" s="31" t="n"/>
      <c r="CA69" s="32" t="n"/>
      <c r="CB69" s="30">
        <f>IFERROR(BZ69*CA69, 0)</f>
        <v/>
      </c>
      <c r="CC69" s="31" t="n"/>
      <c r="CD69" s="32" t="n"/>
      <c r="CE69" s="30">
        <f>IFERROR(CC69*CD69, 0)</f>
        <v/>
      </c>
      <c r="CF69" s="31" t="n"/>
      <c r="CG69" s="32" t="n"/>
      <c r="CH69" s="30">
        <f>IFERROR(CF69*CG69, 0)</f>
        <v/>
      </c>
      <c r="CI69" s="31" t="n"/>
      <c r="CJ69" s="32" t="n"/>
      <c r="CK69" s="30">
        <f>IFERROR(CI69*CJ69, 0)</f>
        <v/>
      </c>
      <c r="CL69" s="31" t="n"/>
      <c r="CM69" s="32" t="n"/>
      <c r="CN69" s="30">
        <f>IFERROR(CL69*CM69, 0)</f>
        <v/>
      </c>
      <c r="CO69" s="31" t="n"/>
      <c r="CP69" s="32" t="n"/>
      <c r="CQ69" s="30">
        <f>IFERROR(CO69*CP69, 0)</f>
        <v/>
      </c>
      <c r="CR69" s="31" t="n"/>
      <c r="CS69" s="32" t="n"/>
      <c r="CT69" s="30">
        <f>IFERROR(CR69*CS69, 0)</f>
        <v/>
      </c>
      <c r="CU69" s="33">
        <f>IFERROR(SUM(F69,I69,L69,O69,R69,U69,X69,AA69,AD69,AG69,AJ69,AM69,AP69,AS69,AV69,AY69,BB69,BE69,BH69,BK69,BN69,BQ69,BT69,BW69,BZ69,CC69,CF69,CI69,CL69,CO69,CR69), 0)</f>
        <v/>
      </c>
      <c r="CV69" s="30">
        <f>IFERROR(AVERAGE(G69,J69,M69,P69,S69,V69,Y69,AB69,AE69,AH69,AK69,AN69,AQ69,AT69,AW69,AZ69,BC69,BF69,BI69,BL69,BO69,BR69,BU69,BX69,CA69,CD69,CG69,CJ69,CM69,CP69,CS69), 0)</f>
        <v/>
      </c>
      <c r="CW69" s="30">
        <f>CU69*CV69</f>
        <v/>
      </c>
    </row>
    <row r="70" ht="15.75" customHeight="1">
      <c r="A70" s="28" t="inlineStr">
        <is>
          <t>Archuchas</t>
        </is>
      </c>
      <c r="B70" s="28" t="inlineStr">
        <is>
          <t>Kg</t>
        </is>
      </c>
      <c r="C70" s="34" t="n"/>
      <c r="D70" s="32" t="n"/>
      <c r="E70" s="32" t="n"/>
      <c r="F70" s="31" t="n"/>
      <c r="G70" s="32" t="n"/>
      <c r="H70" s="30">
        <f>IFERROR(F70*G70, 0)</f>
        <v/>
      </c>
      <c r="I70" s="31" t="n"/>
      <c r="J70" s="32" t="n"/>
      <c r="K70" s="30">
        <f>IFERROR(I70*J70, 0)</f>
        <v/>
      </c>
      <c r="L70" s="31" t="n"/>
      <c r="M70" s="32" t="n"/>
      <c r="N70" s="30">
        <f>IFERROR(L70*M70, 0)</f>
        <v/>
      </c>
      <c r="O70" s="31" t="n"/>
      <c r="P70" s="32" t="n"/>
      <c r="Q70" s="30">
        <f>IFERROR(O70*P70, 0)</f>
        <v/>
      </c>
      <c r="R70" s="31" t="n"/>
      <c r="S70" s="32" t="n"/>
      <c r="T70" s="30">
        <f>IFERROR(R70*S70, 0)</f>
        <v/>
      </c>
      <c r="U70" s="31" t="n"/>
      <c r="V70" s="32" t="n"/>
      <c r="W70" s="30">
        <f>IFERROR(U70*V70, 0)</f>
        <v/>
      </c>
      <c r="X70" s="31" t="n"/>
      <c r="Y70" s="32" t="n"/>
      <c r="Z70" s="30">
        <f>IFERROR(X70*Y70, 0)</f>
        <v/>
      </c>
      <c r="AA70" s="31" t="n"/>
      <c r="AB70" s="32" t="n"/>
      <c r="AC70" s="30">
        <f>IFERROR(AA70*AB70, 0)</f>
        <v/>
      </c>
      <c r="AD70" s="31" t="n"/>
      <c r="AE70" s="32" t="n"/>
      <c r="AF70" s="30">
        <f>IFERROR(AD70*AE70, 0)</f>
        <v/>
      </c>
      <c r="AG70" s="31" t="n"/>
      <c r="AH70" s="32" t="n"/>
      <c r="AI70" s="30">
        <f>IFERROR(AG70*AH70, 0)</f>
        <v/>
      </c>
      <c r="AJ70" s="31" t="n"/>
      <c r="AK70" s="32" t="n"/>
      <c r="AL70" s="30">
        <f>IFERROR(AJ70*AK70, 0)</f>
        <v/>
      </c>
      <c r="AM70" s="31" t="n"/>
      <c r="AN70" s="32" t="n"/>
      <c r="AO70" s="30">
        <f>IFERROR(AM70*AN70, 0)</f>
        <v/>
      </c>
      <c r="AP70" s="31" t="n"/>
      <c r="AQ70" s="32" t="n"/>
      <c r="AR70" s="30">
        <f>IFERROR(AP70*AQ70, 0)</f>
        <v/>
      </c>
      <c r="AS70" s="31" t="n"/>
      <c r="AT70" s="32" t="n"/>
      <c r="AU70" s="30">
        <f>IFERROR(AS70*AT70, 0)</f>
        <v/>
      </c>
      <c r="AV70" s="31" t="n"/>
      <c r="AW70" s="32" t="n"/>
      <c r="AX70" s="30">
        <f>IFERROR(AV70*AW70, 0)</f>
        <v/>
      </c>
      <c r="AY70" s="31" t="n"/>
      <c r="AZ70" s="32" t="n"/>
      <c r="BA70" s="30">
        <f>IFERROR(AY70*AZ70, 0)</f>
        <v/>
      </c>
      <c r="BB70" s="31" t="n"/>
      <c r="BC70" s="32" t="n"/>
      <c r="BD70" s="30">
        <f>IFERROR(BB70*BC70, 0)</f>
        <v/>
      </c>
      <c r="BE70" s="31" t="n"/>
      <c r="BF70" s="32" t="n"/>
      <c r="BG70" s="30">
        <f>IFERROR(BE70*BF70, 0)</f>
        <v/>
      </c>
      <c r="BH70" s="31" t="n"/>
      <c r="BI70" s="32" t="n"/>
      <c r="BJ70" s="30">
        <f>IFERROR(BH70*BI70, 0)</f>
        <v/>
      </c>
      <c r="BK70" s="31" t="n"/>
      <c r="BL70" s="32" t="n"/>
      <c r="BM70" s="30">
        <f>IFERROR(BK70*BL70, 0)</f>
        <v/>
      </c>
      <c r="BN70" s="31" t="n"/>
      <c r="BO70" s="32" t="n"/>
      <c r="BP70" s="30">
        <f>IFERROR(BN70*BO70, 0)</f>
        <v/>
      </c>
      <c r="BQ70" s="31" t="n"/>
      <c r="BR70" s="32" t="n"/>
      <c r="BS70" s="30">
        <f>IFERROR(BQ70*BR70, 0)</f>
        <v/>
      </c>
      <c r="BT70" s="31" t="n"/>
      <c r="BU70" s="32" t="n"/>
      <c r="BV70" s="30">
        <f>IFERROR(BT70*BU70, 0)</f>
        <v/>
      </c>
      <c r="BW70" s="31" t="n"/>
      <c r="BX70" s="32" t="n"/>
      <c r="BY70" s="30">
        <f>IFERROR(BW70*BX70, 0)</f>
        <v/>
      </c>
      <c r="BZ70" s="31" t="n"/>
      <c r="CA70" s="32" t="n"/>
      <c r="CB70" s="30">
        <f>IFERROR(BZ70*CA70, 0)</f>
        <v/>
      </c>
      <c r="CC70" s="31" t="n"/>
      <c r="CD70" s="32" t="n"/>
      <c r="CE70" s="30">
        <f>IFERROR(CC70*CD70, 0)</f>
        <v/>
      </c>
      <c r="CF70" s="31" t="n"/>
      <c r="CG70" s="32" t="n"/>
      <c r="CH70" s="30">
        <f>IFERROR(CF70*CG70, 0)</f>
        <v/>
      </c>
      <c r="CI70" s="31" t="n"/>
      <c r="CJ70" s="32" t="n"/>
      <c r="CK70" s="30">
        <f>IFERROR(CI70*CJ70, 0)</f>
        <v/>
      </c>
      <c r="CL70" s="31" t="n"/>
      <c r="CM70" s="32" t="n"/>
      <c r="CN70" s="30">
        <f>IFERROR(CL70*CM70, 0)</f>
        <v/>
      </c>
      <c r="CO70" s="31" t="n"/>
      <c r="CP70" s="32" t="n"/>
      <c r="CQ70" s="30">
        <f>IFERROR(CO70*CP70, 0)</f>
        <v/>
      </c>
      <c r="CR70" s="31" t="n"/>
      <c r="CS70" s="32" t="n"/>
      <c r="CT70" s="30">
        <f>IFERROR(CR70*CS70, 0)</f>
        <v/>
      </c>
      <c r="CU70" s="33">
        <f>IFERROR(SUM(F70,I70,L70,O70,R70,U70,X70,AA70,AD70,AG70,AJ70,AM70,AP70,AS70,AV70,AY70,BB70,BE70,BH70,BK70,BN70,BQ70,BT70,BW70,BZ70,CC70,CF70,CI70,CL70,CO70,CR70), 0)</f>
        <v/>
      </c>
      <c r="CV70" s="30">
        <f>IFERROR(AVERAGE(G70,J70,M70,P70,S70,V70,Y70,AB70,AE70,AH70,AK70,AN70,AQ70,AT70,AW70,AZ70,BC70,BF70,BI70,BL70,BO70,BR70,BU70,BX70,CA70,CD70,CG70,CJ70,CM70,CP70,CS70), 0)</f>
        <v/>
      </c>
      <c r="CW70" s="30">
        <f>CU70*CV70</f>
        <v/>
      </c>
    </row>
    <row r="71" ht="15.75" customHeight="1">
      <c r="A71" s="28" t="inlineStr">
        <is>
          <t>Apio</t>
        </is>
      </c>
      <c r="B71" s="28" t="inlineStr">
        <is>
          <t>Kg</t>
        </is>
      </c>
      <c r="C71" s="34" t="n"/>
      <c r="D71" s="32" t="n"/>
      <c r="E71" s="32" t="n"/>
      <c r="F71" s="31" t="n"/>
      <c r="G71" s="32" t="n"/>
      <c r="H71" s="30">
        <f>IFERROR(F71*G71, 0)</f>
        <v/>
      </c>
      <c r="I71" s="31" t="n"/>
      <c r="J71" s="32" t="n"/>
      <c r="K71" s="30">
        <f>IFERROR(I71*J71, 0)</f>
        <v/>
      </c>
      <c r="L71" s="31" t="n"/>
      <c r="M71" s="32" t="n"/>
      <c r="N71" s="30">
        <f>IFERROR(L71*M71, 0)</f>
        <v/>
      </c>
      <c r="O71" s="31" t="n"/>
      <c r="P71" s="32" t="n"/>
      <c r="Q71" s="30">
        <f>IFERROR(O71*P71, 0)</f>
        <v/>
      </c>
      <c r="R71" s="31" t="n"/>
      <c r="S71" s="32" t="n"/>
      <c r="T71" s="30">
        <f>IFERROR(R71*S71, 0)</f>
        <v/>
      </c>
      <c r="U71" s="31" t="n"/>
      <c r="V71" s="32" t="n"/>
      <c r="W71" s="30">
        <f>IFERROR(U71*V71, 0)</f>
        <v/>
      </c>
      <c r="X71" s="31" t="n"/>
      <c r="Y71" s="32" t="n"/>
      <c r="Z71" s="30">
        <f>IFERROR(X71*Y71, 0)</f>
        <v/>
      </c>
      <c r="AA71" s="31" t="n"/>
      <c r="AB71" s="32" t="n"/>
      <c r="AC71" s="30">
        <f>IFERROR(AA71*AB71, 0)</f>
        <v/>
      </c>
      <c r="AD71" s="31" t="n"/>
      <c r="AE71" s="32" t="n"/>
      <c r="AF71" s="30">
        <f>IFERROR(AD71*AE71, 0)</f>
        <v/>
      </c>
      <c r="AG71" s="31" t="n"/>
      <c r="AH71" s="32" t="n"/>
      <c r="AI71" s="30">
        <f>IFERROR(AG71*AH71, 0)</f>
        <v/>
      </c>
      <c r="AJ71" s="31" t="n"/>
      <c r="AK71" s="32" t="n"/>
      <c r="AL71" s="30">
        <f>IFERROR(AJ71*AK71, 0)</f>
        <v/>
      </c>
      <c r="AM71" s="31" t="n"/>
      <c r="AN71" s="32" t="n"/>
      <c r="AO71" s="30">
        <f>IFERROR(AM71*AN71, 0)</f>
        <v/>
      </c>
      <c r="AP71" s="31" t="n">
        <v>1.4</v>
      </c>
      <c r="AQ71" s="32" t="n">
        <v>2500</v>
      </c>
      <c r="AR71" s="30" t="n">
        <v>3500</v>
      </c>
      <c r="AS71" s="31" t="n">
        <v>4.2</v>
      </c>
      <c r="AT71" s="32" t="n">
        <v>2500</v>
      </c>
      <c r="AU71" s="30" t="n">
        <v>10500</v>
      </c>
      <c r="AV71" s="31" t="n"/>
      <c r="AW71" s="32" t="n"/>
      <c r="AX71" s="30">
        <f>IFERROR(AV71*AW71, 0)</f>
        <v/>
      </c>
      <c r="AY71" s="31" t="n"/>
      <c r="AZ71" s="32" t="n"/>
      <c r="BA71" s="30">
        <f>IFERROR(AY71*AZ71, 0)</f>
        <v/>
      </c>
      <c r="BB71" s="31" t="n"/>
      <c r="BC71" s="32" t="n"/>
      <c r="BD71" s="30">
        <f>IFERROR(BB71*BC71, 0)</f>
        <v/>
      </c>
      <c r="BE71" s="31" t="n"/>
      <c r="BF71" s="32" t="n"/>
      <c r="BG71" s="30">
        <f>IFERROR(BE71*BF71, 0)</f>
        <v/>
      </c>
      <c r="BH71" s="31" t="n"/>
      <c r="BI71" s="32" t="n"/>
      <c r="BJ71" s="30">
        <f>IFERROR(BH71*BI71, 0)</f>
        <v/>
      </c>
      <c r="BK71" s="31" t="n"/>
      <c r="BL71" s="32" t="n"/>
      <c r="BM71" s="30">
        <f>IFERROR(BK71*BL71, 0)</f>
        <v/>
      </c>
      <c r="BN71" s="31" t="n"/>
      <c r="BO71" s="32" t="n"/>
      <c r="BP71" s="30">
        <f>IFERROR(BN71*BO71, 0)</f>
        <v/>
      </c>
      <c r="BQ71" s="31" t="n"/>
      <c r="BR71" s="32" t="n"/>
      <c r="BS71" s="30">
        <f>IFERROR(BQ71*BR71, 0)</f>
        <v/>
      </c>
      <c r="BT71" s="31" t="n"/>
      <c r="BU71" s="32" t="n"/>
      <c r="BV71" s="30">
        <f>IFERROR(BT71*BU71, 0)</f>
        <v/>
      </c>
      <c r="BW71" s="31" t="n"/>
      <c r="BX71" s="32" t="n"/>
      <c r="BY71" s="30">
        <f>IFERROR(BW71*BX71, 0)</f>
        <v/>
      </c>
      <c r="BZ71" s="31" t="n"/>
      <c r="CA71" s="32" t="n"/>
      <c r="CB71" s="30">
        <f>IFERROR(BZ71*CA71, 0)</f>
        <v/>
      </c>
      <c r="CC71" s="31" t="n"/>
      <c r="CD71" s="32" t="n"/>
      <c r="CE71" s="30">
        <f>IFERROR(CC71*CD71, 0)</f>
        <v/>
      </c>
      <c r="CF71" s="31" t="n"/>
      <c r="CG71" s="32" t="n"/>
      <c r="CH71" s="30">
        <f>IFERROR(CF71*CG71, 0)</f>
        <v/>
      </c>
      <c r="CI71" s="31" t="n"/>
      <c r="CJ71" s="32" t="n"/>
      <c r="CK71" s="30">
        <f>IFERROR(CI71*CJ71, 0)</f>
        <v/>
      </c>
      <c r="CL71" s="31" t="n"/>
      <c r="CM71" s="32" t="n"/>
      <c r="CN71" s="30">
        <f>IFERROR(CL71*CM71, 0)</f>
        <v/>
      </c>
      <c r="CO71" s="31" t="n"/>
      <c r="CP71" s="32" t="n"/>
      <c r="CQ71" s="30">
        <f>IFERROR(CO71*CP71, 0)</f>
        <v/>
      </c>
      <c r="CR71" s="31" t="n"/>
      <c r="CS71" s="32" t="n"/>
      <c r="CT71" s="30">
        <f>IFERROR(CR71*CS71, 0)</f>
        <v/>
      </c>
      <c r="CU71" s="33">
        <f>IFERROR(SUM(F71,I71,L71,O71,R71,U71,X71,AA71,AD71,AG71,AJ71,AM71,AP71,AS71,AV71,AY71,BB71,BE71,BH71,BK71,BN71,BQ71,BT71,BW71,BZ71,CC71,CF71,CI71,CL71,CO71,CR71), 0)</f>
        <v/>
      </c>
      <c r="CV71" s="30">
        <f>IFERROR(AVERAGE(G71,J71,M71,P71,S71,V71,Y71,AB71,AE71,AH71,AK71,AN71,AQ71,AT71,AW71,AZ71,BC71,BF71,BI71,BL71,BO71,BR71,BU71,BX71,CA71,CD71,CG71,CJ71,CM71,CP71,CS71), 0)</f>
        <v/>
      </c>
      <c r="CW71" s="30">
        <f>CU71*CV71</f>
        <v/>
      </c>
    </row>
    <row r="72" ht="15.75" customHeight="1">
      <c r="A72" s="28" t="inlineStr">
        <is>
          <t xml:space="preserve">Alverjas verdes </t>
        </is>
      </c>
      <c r="B72" s="28" t="inlineStr">
        <is>
          <t>Kg</t>
        </is>
      </c>
      <c r="C72" s="34" t="n"/>
      <c r="D72" s="32" t="n"/>
      <c r="E72" s="32" t="n"/>
      <c r="F72" s="31" t="n"/>
      <c r="G72" s="32" t="n"/>
      <c r="H72" s="30">
        <f>IFERROR(F72*G72, 0)</f>
        <v/>
      </c>
      <c r="I72" s="31" t="n"/>
      <c r="J72" s="32" t="n"/>
      <c r="K72" s="30">
        <f>IFERROR(I72*J72, 0)</f>
        <v/>
      </c>
      <c r="L72" s="31" t="n"/>
      <c r="M72" s="32" t="n"/>
      <c r="N72" s="30">
        <f>IFERROR(L72*M72, 0)</f>
        <v/>
      </c>
      <c r="O72" s="31" t="n"/>
      <c r="P72" s="32" t="n"/>
      <c r="Q72" s="30">
        <f>IFERROR(O72*P72, 0)</f>
        <v/>
      </c>
      <c r="R72" s="31" t="n"/>
      <c r="S72" s="32" t="n"/>
      <c r="T72" s="30">
        <f>IFERROR(R72*S72, 0)</f>
        <v/>
      </c>
      <c r="U72" s="31" t="n"/>
      <c r="V72" s="32" t="n"/>
      <c r="W72" s="30">
        <f>IFERROR(U72*V72, 0)</f>
        <v/>
      </c>
      <c r="X72" s="31" t="n"/>
      <c r="Y72" s="32" t="n"/>
      <c r="Z72" s="30">
        <f>IFERROR(X72*Y72, 0)</f>
        <v/>
      </c>
      <c r="AA72" s="31" t="n"/>
      <c r="AB72" s="32" t="n"/>
      <c r="AC72" s="30">
        <f>IFERROR(AA72*AB72, 0)</f>
        <v/>
      </c>
      <c r="AD72" s="31" t="n"/>
      <c r="AE72" s="32" t="n"/>
      <c r="AF72" s="30">
        <f>IFERROR(AD72*AE72, 0)</f>
        <v/>
      </c>
      <c r="AG72" s="31" t="n"/>
      <c r="AH72" s="32" t="n"/>
      <c r="AI72" s="30">
        <f>IFERROR(AG72*AH72, 0)</f>
        <v/>
      </c>
      <c r="AJ72" s="31" t="n"/>
      <c r="AK72" s="32" t="n"/>
      <c r="AL72" s="30">
        <f>IFERROR(AJ72*AK72, 0)</f>
        <v/>
      </c>
      <c r="AM72" s="31" t="n"/>
      <c r="AN72" s="32" t="n"/>
      <c r="AO72" s="30">
        <f>IFERROR(AM72*AN72, 0)</f>
        <v/>
      </c>
      <c r="AP72" s="31" t="n"/>
      <c r="AQ72" s="32" t="n"/>
      <c r="AR72" s="30">
        <f>IFERROR(AP72*AQ72, 0)</f>
        <v/>
      </c>
      <c r="AS72" s="31" t="n"/>
      <c r="AT72" s="32" t="n"/>
      <c r="AU72" s="30">
        <f>IFERROR(AS72*AT72, 0)</f>
        <v/>
      </c>
      <c r="AV72" s="31" t="n"/>
      <c r="AW72" s="32" t="n"/>
      <c r="AX72" s="30">
        <f>IFERROR(AV72*AW72, 0)</f>
        <v/>
      </c>
      <c r="AY72" s="31" t="n"/>
      <c r="AZ72" s="32" t="n"/>
      <c r="BA72" s="30">
        <f>IFERROR(AY72*AZ72, 0)</f>
        <v/>
      </c>
      <c r="BB72" s="31" t="n"/>
      <c r="BC72" s="32" t="n"/>
      <c r="BD72" s="30">
        <f>IFERROR(BB72*BC72, 0)</f>
        <v/>
      </c>
      <c r="BE72" s="31" t="n"/>
      <c r="BF72" s="32" t="n"/>
      <c r="BG72" s="30">
        <f>IFERROR(BE72*BF72, 0)</f>
        <v/>
      </c>
      <c r="BH72" s="31" t="n"/>
      <c r="BI72" s="32" t="n"/>
      <c r="BJ72" s="30">
        <f>IFERROR(BH72*BI72, 0)</f>
        <v/>
      </c>
      <c r="BK72" s="31" t="n"/>
      <c r="BL72" s="32" t="n"/>
      <c r="BM72" s="30">
        <f>IFERROR(BK72*BL72, 0)</f>
        <v/>
      </c>
      <c r="BN72" s="31" t="n"/>
      <c r="BO72" s="32" t="n"/>
      <c r="BP72" s="30">
        <f>IFERROR(BN72*BO72, 0)</f>
        <v/>
      </c>
      <c r="BQ72" s="31" t="n"/>
      <c r="BR72" s="32" t="n"/>
      <c r="BS72" s="30">
        <f>IFERROR(BQ72*BR72, 0)</f>
        <v/>
      </c>
      <c r="BT72" s="31" t="n"/>
      <c r="BU72" s="32" t="n"/>
      <c r="BV72" s="30">
        <f>IFERROR(BT72*BU72, 0)</f>
        <v/>
      </c>
      <c r="BW72" s="31" t="n"/>
      <c r="BX72" s="32" t="n"/>
      <c r="BY72" s="30">
        <f>IFERROR(BW72*BX72, 0)</f>
        <v/>
      </c>
      <c r="BZ72" s="31" t="n"/>
      <c r="CA72" s="32" t="n"/>
      <c r="CB72" s="30">
        <f>IFERROR(BZ72*CA72, 0)</f>
        <v/>
      </c>
      <c r="CC72" s="31" t="n"/>
      <c r="CD72" s="32" t="n"/>
      <c r="CE72" s="30">
        <f>IFERROR(CC72*CD72, 0)</f>
        <v/>
      </c>
      <c r="CF72" s="31" t="n"/>
      <c r="CG72" s="32" t="n"/>
      <c r="CH72" s="30">
        <f>IFERROR(CF72*CG72, 0)</f>
        <v/>
      </c>
      <c r="CI72" s="31" t="n"/>
      <c r="CJ72" s="32" t="n"/>
      <c r="CK72" s="30">
        <f>IFERROR(CI72*CJ72, 0)</f>
        <v/>
      </c>
      <c r="CL72" s="31" t="n"/>
      <c r="CM72" s="32" t="n"/>
      <c r="CN72" s="30">
        <f>IFERROR(CL72*CM72, 0)</f>
        <v/>
      </c>
      <c r="CO72" s="31" t="n"/>
      <c r="CP72" s="32" t="n"/>
      <c r="CQ72" s="30">
        <f>IFERROR(CO72*CP72, 0)</f>
        <v/>
      </c>
      <c r="CR72" s="31" t="n"/>
      <c r="CS72" s="32" t="n"/>
      <c r="CT72" s="30">
        <f>IFERROR(CR72*CS72, 0)</f>
        <v/>
      </c>
      <c r="CU72" s="33">
        <f>IFERROR(SUM(F72,I72,L72,O72,R72,U72,X72,AA72,AD72,AG72,AJ72,AM72,AP72,AS72,AV72,AY72,BB72,BE72,BH72,BK72,BN72,BQ72,BT72,BW72,BZ72,CC72,CF72,CI72,CL72,CO72,CR72), 0)</f>
        <v/>
      </c>
      <c r="CV72" s="30">
        <f>IFERROR(AVERAGE(G72,J72,M72,P72,S72,V72,Y72,AB72,AE72,AH72,AK72,AN72,AQ72,AT72,AW72,AZ72,BC72,BF72,BI72,BL72,BO72,BR72,BU72,BX72,CA72,CD72,CG72,CJ72,CM72,CP72,CS72), 0)</f>
        <v/>
      </c>
      <c r="CW72" s="30">
        <f>CU72*CV72</f>
        <v/>
      </c>
    </row>
    <row r="73" ht="15.75" customHeight="1">
      <c r="A73" s="28" t="inlineStr">
        <is>
          <t>Ajo pelado</t>
        </is>
      </c>
      <c r="B73" s="28" t="inlineStr">
        <is>
          <t>Kl</t>
        </is>
      </c>
      <c r="C73" s="29" t="n"/>
      <c r="D73" s="30" t="n"/>
      <c r="E73" s="30" t="n"/>
      <c r="F73" s="31" t="n"/>
      <c r="G73" s="32" t="n"/>
      <c r="H73" s="30">
        <f>IFERROR(F73*G73, 0)</f>
        <v/>
      </c>
      <c r="I73" s="31" t="n"/>
      <c r="J73" s="32" t="n"/>
      <c r="K73" s="30">
        <f>IFERROR(I73*J73, 0)</f>
        <v/>
      </c>
      <c r="L73" s="31" t="n"/>
      <c r="M73" s="32" t="n"/>
      <c r="N73" s="30">
        <f>IFERROR(L73*M73, 0)</f>
        <v/>
      </c>
      <c r="O73" s="31" t="n"/>
      <c r="P73" s="32" t="n"/>
      <c r="Q73" s="30">
        <f>IFERROR(O73*P73, 0)</f>
        <v/>
      </c>
      <c r="R73" s="31" t="n"/>
      <c r="S73" s="32" t="n"/>
      <c r="T73" s="30">
        <f>IFERROR(R73*S73, 0)</f>
        <v/>
      </c>
      <c r="U73" s="31" t="n"/>
      <c r="V73" s="32" t="n"/>
      <c r="W73" s="30">
        <f>IFERROR(U73*V73, 0)</f>
        <v/>
      </c>
      <c r="X73" s="31" t="n"/>
      <c r="Y73" s="32" t="n"/>
      <c r="Z73" s="30">
        <f>IFERROR(X73*Y73, 0)</f>
        <v/>
      </c>
      <c r="AA73" s="31" t="n"/>
      <c r="AB73" s="32" t="n"/>
      <c r="AC73" s="30">
        <f>IFERROR(AA73*AB73, 0)</f>
        <v/>
      </c>
      <c r="AD73" s="31" t="n"/>
      <c r="AE73" s="32" t="n"/>
      <c r="AF73" s="30">
        <f>IFERROR(AD73*AE73, 0)</f>
        <v/>
      </c>
      <c r="AG73" s="31" t="n"/>
      <c r="AH73" s="32" t="n"/>
      <c r="AI73" s="30">
        <f>IFERROR(AG73*AH73, 0)</f>
        <v/>
      </c>
      <c r="AJ73" s="31" t="n"/>
      <c r="AK73" s="32" t="n"/>
      <c r="AL73" s="30">
        <f>IFERROR(AJ73*AK73, 0)</f>
        <v/>
      </c>
      <c r="AM73" s="31" t="n"/>
      <c r="AN73" s="32" t="n"/>
      <c r="AO73" s="30">
        <f>IFERROR(AM73*AN73, 0)</f>
        <v/>
      </c>
      <c r="AP73" s="31" t="n"/>
      <c r="AQ73" s="32" t="n"/>
      <c r="AR73" s="30">
        <f>IFERROR(AP73*AQ73, 0)</f>
        <v/>
      </c>
      <c r="AS73" s="31" t="n"/>
      <c r="AT73" s="32" t="n"/>
      <c r="AU73" s="30">
        <f>IFERROR(AS73*AT73, 0)</f>
        <v/>
      </c>
      <c r="AV73" s="31" t="n">
        <v>10</v>
      </c>
      <c r="AW73" s="32" t="n">
        <v>11900</v>
      </c>
      <c r="AX73" s="30" t="n">
        <v>119000</v>
      </c>
      <c r="AY73" s="31" t="n"/>
      <c r="AZ73" s="32" t="n"/>
      <c r="BA73" s="30">
        <f>IFERROR(AY73*AZ73, 0)</f>
        <v/>
      </c>
      <c r="BB73" s="31" t="n"/>
      <c r="BC73" s="32" t="n"/>
      <c r="BD73" s="30">
        <f>IFERROR(BB73*BC73, 0)</f>
        <v/>
      </c>
      <c r="BE73" s="31" t="n"/>
      <c r="BF73" s="32" t="n"/>
      <c r="BG73" s="30">
        <f>IFERROR(BE73*BF73, 0)</f>
        <v/>
      </c>
      <c r="BH73" s="31" t="n"/>
      <c r="BI73" s="32" t="n"/>
      <c r="BJ73" s="30">
        <f>IFERROR(BH73*BI73, 0)</f>
        <v/>
      </c>
      <c r="BK73" s="31" t="n"/>
      <c r="BL73" s="32" t="n"/>
      <c r="BM73" s="30">
        <f>IFERROR(BK73*BL73, 0)</f>
        <v/>
      </c>
      <c r="BN73" s="31" t="n"/>
      <c r="BO73" s="32" t="n"/>
      <c r="BP73" s="30">
        <f>IFERROR(BN73*BO73, 0)</f>
        <v/>
      </c>
      <c r="BQ73" s="31" t="n"/>
      <c r="BR73" s="32" t="n"/>
      <c r="BS73" s="30">
        <f>IFERROR(BQ73*BR73, 0)</f>
        <v/>
      </c>
      <c r="BT73" s="31" t="n"/>
      <c r="BU73" s="32" t="n"/>
      <c r="BV73" s="30">
        <f>IFERROR(BT73*BU73, 0)</f>
        <v/>
      </c>
      <c r="BW73" s="31" t="n"/>
      <c r="BX73" s="32" t="n"/>
      <c r="BY73" s="30">
        <f>IFERROR(BW73*BX73, 0)</f>
        <v/>
      </c>
      <c r="BZ73" s="31" t="n"/>
      <c r="CA73" s="32" t="n"/>
      <c r="CB73" s="30">
        <f>IFERROR(BZ73*CA73, 0)</f>
        <v/>
      </c>
      <c r="CC73" s="31" t="n"/>
      <c r="CD73" s="32" t="n"/>
      <c r="CE73" s="30">
        <f>IFERROR(CC73*CD73, 0)</f>
        <v/>
      </c>
      <c r="CF73" s="31" t="n"/>
      <c r="CG73" s="32" t="n"/>
      <c r="CH73" s="30">
        <f>IFERROR(CF73*CG73, 0)</f>
        <v/>
      </c>
      <c r="CI73" s="31" t="n"/>
      <c r="CJ73" s="32" t="n"/>
      <c r="CK73" s="30">
        <f>IFERROR(CI73*CJ73, 0)</f>
        <v/>
      </c>
      <c r="CL73" s="31" t="n"/>
      <c r="CM73" s="32" t="n"/>
      <c r="CN73" s="30">
        <f>IFERROR(CL73*CM73, 0)</f>
        <v/>
      </c>
      <c r="CO73" s="31" t="n"/>
      <c r="CP73" s="32" t="n"/>
      <c r="CQ73" s="30">
        <f>IFERROR(CO73*CP73, 0)</f>
        <v/>
      </c>
      <c r="CR73" s="31" t="n"/>
      <c r="CS73" s="32" t="n"/>
      <c r="CT73" s="30">
        <f>IFERROR(CR73*CS73, 0)</f>
        <v/>
      </c>
      <c r="CU73" s="33">
        <f>IFERROR(SUM(F73,I73,L73,O73,R73,U73,X73,AA73,AD73,AG73,AJ73,AM73,AP73,AS73,AV73,AY73,BB73,BE73,BH73,BK73,BN73,BQ73,BT73,BW73,BZ73,CC73,CF73,CI73,CL73,CO73,CR73), 0)</f>
        <v/>
      </c>
      <c r="CV73" s="30">
        <f>IFERROR(AVERAGE(G73,J73,M73,P73,S73,V73,Y73,AB73,AE73,AH73,AK73,AN73,AQ73,AT73,AW73,AZ73,BC73,BF73,BI73,BL73,BO73,BR73,BU73,BX73,CA73,CD73,CG73,CJ73,CM73,CP73,CS73), 0)</f>
        <v/>
      </c>
      <c r="CW73" s="30">
        <f>CU73*CV73</f>
        <v/>
      </c>
    </row>
    <row r="74" ht="15.75" customHeight="1">
      <c r="A74" s="28" t="inlineStr">
        <is>
          <t xml:space="preserve">Aguacate </t>
        </is>
      </c>
      <c r="B74" s="28" t="inlineStr">
        <is>
          <t>Kg</t>
        </is>
      </c>
      <c r="C74" s="34" t="n"/>
      <c r="D74" s="32" t="n"/>
      <c r="E74" s="32" t="n"/>
      <c r="F74" s="31" t="n"/>
      <c r="G74" s="32" t="n"/>
      <c r="H74" s="30">
        <f>IFERROR(F74*G74, 0)</f>
        <v/>
      </c>
      <c r="I74" s="31" t="n"/>
      <c r="J74" s="32" t="n"/>
      <c r="K74" s="30">
        <f>IFERROR(I74*J74, 0)</f>
        <v/>
      </c>
      <c r="L74" s="31" t="n"/>
      <c r="M74" s="32" t="n"/>
      <c r="N74" s="30">
        <f>IFERROR(L74*M74, 0)</f>
        <v/>
      </c>
      <c r="O74" s="31" t="n"/>
      <c r="P74" s="32" t="n"/>
      <c r="Q74" s="30">
        <f>IFERROR(O74*P74, 0)</f>
        <v/>
      </c>
      <c r="R74" s="31" t="n"/>
      <c r="S74" s="32" t="n"/>
      <c r="T74" s="30">
        <f>IFERROR(R74*S74, 0)</f>
        <v/>
      </c>
      <c r="U74" s="31" t="n"/>
      <c r="V74" s="30" t="n"/>
      <c r="W74" s="30">
        <f>IFERROR(U74*V74, 0)</f>
        <v/>
      </c>
      <c r="X74" s="31" t="n"/>
      <c r="Y74" s="32" t="n"/>
      <c r="Z74" s="30">
        <f>Y74*X74</f>
        <v/>
      </c>
      <c r="AA74" s="31" t="n"/>
      <c r="AB74" s="32" t="n"/>
      <c r="AC74" s="30">
        <f>IFERROR(AA74*AB74, 0)</f>
        <v/>
      </c>
      <c r="AD74" s="31" t="n"/>
      <c r="AE74" s="32" t="n"/>
      <c r="AF74" s="30">
        <f>IFERROR(AD74*AE74, 0)</f>
        <v/>
      </c>
      <c r="AG74" s="31" t="n"/>
      <c r="AH74" s="32" t="n"/>
      <c r="AI74" s="30">
        <f>IFERROR(AG74*AH74, 0)</f>
        <v/>
      </c>
      <c r="AJ74" s="31" t="n"/>
      <c r="AK74" s="32" t="n"/>
      <c r="AL74" s="30">
        <f>IFERROR(AJ74*AK74, 0)</f>
        <v/>
      </c>
      <c r="AM74" s="31" t="n"/>
      <c r="AN74" s="32" t="n"/>
      <c r="AO74" s="30">
        <f>IFERROR(AM74*AN74, 0)</f>
        <v/>
      </c>
      <c r="AP74" s="31" t="n"/>
      <c r="AQ74" s="32" t="n"/>
      <c r="AR74" s="30">
        <f>IFERROR(AP74*AQ74, 0)</f>
        <v/>
      </c>
      <c r="AS74" s="31" t="n"/>
      <c r="AT74" s="32" t="n"/>
      <c r="AU74" s="30">
        <f>IFERROR(AS74*AT74, 0)</f>
        <v/>
      </c>
      <c r="AV74" s="31" t="n"/>
      <c r="AW74" s="32" t="n"/>
      <c r="AX74" s="30">
        <f>IFERROR(AV74*AW74, 0)</f>
        <v/>
      </c>
      <c r="AY74" s="31" t="n"/>
      <c r="AZ74" s="32" t="n"/>
      <c r="BA74" s="30">
        <f>IFERROR(AY74*AZ74, 0)</f>
        <v/>
      </c>
      <c r="BB74" s="31" t="n"/>
      <c r="BC74" s="32" t="n"/>
      <c r="BD74" s="30">
        <f>IFERROR(BB74*BC74, 0)</f>
        <v/>
      </c>
      <c r="BE74" s="31" t="n"/>
      <c r="BF74" s="32" t="n"/>
      <c r="BG74" s="30">
        <f>IFERROR(BE74*BF74, 0)</f>
        <v/>
      </c>
      <c r="BH74" s="31" t="n"/>
      <c r="BI74" s="32" t="n"/>
      <c r="BJ74" s="30">
        <f>IFERROR(BH74*BI74, 0)</f>
        <v/>
      </c>
      <c r="BK74" s="31" t="n"/>
      <c r="BL74" s="32" t="n"/>
      <c r="BM74" s="30">
        <f>IFERROR(BK74*BL74, 0)</f>
        <v/>
      </c>
      <c r="BN74" s="31" t="n"/>
      <c r="BO74" s="32" t="n"/>
      <c r="BP74" s="30">
        <f>IFERROR(BN74*BO74, 0)</f>
        <v/>
      </c>
      <c r="BQ74" s="31" t="n"/>
      <c r="BR74" s="32" t="n"/>
      <c r="BS74" s="30">
        <f>IFERROR(BQ74*BR74, 0)</f>
        <v/>
      </c>
      <c r="BT74" s="31" t="n"/>
      <c r="BU74" s="32" t="n"/>
      <c r="BV74" s="30">
        <f>IFERROR(BT74*BU74, 0)</f>
        <v/>
      </c>
      <c r="BW74" s="31" t="n"/>
      <c r="BX74" s="32" t="n"/>
      <c r="BY74" s="30">
        <f>IFERROR(BW74*BX74, 0)</f>
        <v/>
      </c>
      <c r="BZ74" s="31" t="n"/>
      <c r="CA74" s="32" t="n"/>
      <c r="CB74" s="30">
        <f>IFERROR(BZ74*CA74, 0)</f>
        <v/>
      </c>
      <c r="CC74" s="31" t="n"/>
      <c r="CD74" s="32" t="n"/>
      <c r="CE74" s="30">
        <f>IFERROR(CC74*CD74, 0)</f>
        <v/>
      </c>
      <c r="CF74" s="31" t="n"/>
      <c r="CG74" s="32" t="n"/>
      <c r="CH74" s="30">
        <f>IFERROR(CF74*CG74, 0)</f>
        <v/>
      </c>
      <c r="CI74" s="31" t="n"/>
      <c r="CJ74" s="32" t="n"/>
      <c r="CK74" s="30">
        <f>IFERROR(CI74*CJ74, 0)</f>
        <v/>
      </c>
      <c r="CL74" s="31" t="n"/>
      <c r="CM74" s="32" t="n"/>
      <c r="CN74" s="30">
        <f>IFERROR(CL74*CM74, 0)</f>
        <v/>
      </c>
      <c r="CO74" s="31" t="n"/>
      <c r="CP74" s="32" t="n"/>
      <c r="CQ74" s="30">
        <f>IFERROR(CO74*CP74, 0)</f>
        <v/>
      </c>
      <c r="CR74" s="31" t="n"/>
      <c r="CS74" s="32" t="n"/>
      <c r="CT74" s="30">
        <f>IFERROR(CR74*CS74, 0)</f>
        <v/>
      </c>
      <c r="CU74" s="33">
        <f>IFERROR(SUM(F74,I74,L74,O74,R74,U74,X74,AA74,AD74,AG74,AJ74,AM74,AP74,AS74,AV74,AY74,BB74,BE74,BH74,BK74,BN74,BQ74,BT74,BW74,BZ74,CC74,CF74,CI74,CL74,CO74,CR74), 0)</f>
        <v/>
      </c>
      <c r="CV74" s="30">
        <f>IFERROR(AVERAGE(G74,J74,M74,P74,S74,V74,Y74,AB74,AE74,AH74,AK74,AN74,AQ74,AT74,AW74,AZ74,BC74,BF74,BI74,BL74,BO74,BR74,BU74,BX74,CA74,CD74,CG74,CJ74,CM74,CP74,CS74), 0)</f>
        <v/>
      </c>
      <c r="CW74" s="30">
        <f>CU74*CV74</f>
        <v/>
      </c>
    </row>
    <row r="75" ht="15.75" customHeight="1">
      <c r="A75" s="35" t="inlineStr">
        <is>
          <t>Oregano</t>
        </is>
      </c>
      <c r="B75" s="35" t="inlineStr">
        <is>
          <t>Kl</t>
        </is>
      </c>
      <c r="C75" s="34" t="n"/>
      <c r="D75" s="32" t="n"/>
      <c r="E75" s="32" t="n"/>
      <c r="F75" s="31" t="n"/>
      <c r="G75" s="32" t="n"/>
      <c r="H75" s="30">
        <f>IFERROR(F75*G75, 0)</f>
        <v/>
      </c>
      <c r="I75" s="31" t="n"/>
      <c r="J75" s="32" t="n"/>
      <c r="K75" s="30">
        <f>IFERROR(I75*J75, 0)</f>
        <v/>
      </c>
      <c r="L75" s="31" t="n"/>
      <c r="M75" s="32" t="n"/>
      <c r="N75" s="30">
        <f>IFERROR(L75*M75, 0)</f>
        <v/>
      </c>
      <c r="O75" s="31" t="n"/>
      <c r="P75" s="32" t="n"/>
      <c r="Q75" s="30">
        <f>IFERROR(O75*P75, 0)</f>
        <v/>
      </c>
      <c r="R75" s="31" t="n"/>
      <c r="S75" s="32" t="n"/>
      <c r="T75" s="30">
        <f>IFERROR(R75*S75, 0)</f>
        <v/>
      </c>
      <c r="U75" s="31" t="n"/>
      <c r="V75" s="32" t="n"/>
      <c r="W75" s="30">
        <f>IFERROR(U75*V75, 0)</f>
        <v/>
      </c>
      <c r="X75" s="31" t="n"/>
      <c r="Y75" s="32" t="n"/>
      <c r="Z75" s="30">
        <f>IFERROR(X75*Y75, 0)</f>
        <v/>
      </c>
      <c r="AA75" s="31" t="n"/>
      <c r="AB75" s="32" t="n"/>
      <c r="AC75" s="30">
        <f>IFERROR(AA75*AB75, 0)</f>
        <v/>
      </c>
      <c r="AD75" s="31" t="n"/>
      <c r="AE75" s="32" t="n"/>
      <c r="AF75" s="30">
        <f>IFERROR(AD75*AE75, 0)</f>
        <v/>
      </c>
      <c r="AG75" s="31" t="n"/>
      <c r="AH75" s="32" t="n"/>
      <c r="AI75" s="30">
        <f>IFERROR(AG75*AH75, 0)</f>
        <v/>
      </c>
      <c r="AJ75" s="31" t="n"/>
      <c r="AK75" s="32" t="n"/>
      <c r="AL75" s="30">
        <f>IFERROR(AJ75*AK75, 0)</f>
        <v/>
      </c>
      <c r="AM75" s="31" t="n"/>
      <c r="AN75" s="32" t="n"/>
      <c r="AO75" s="30">
        <f>IFERROR(AM75*AN75, 0)</f>
        <v/>
      </c>
      <c r="AP75" s="31" t="n"/>
      <c r="AQ75" s="32" t="n"/>
      <c r="AR75" s="30">
        <f>IFERROR(AP75*AQ75, 0)</f>
        <v/>
      </c>
      <c r="AS75" s="31" t="n"/>
      <c r="AT75" s="32" t="n"/>
      <c r="AU75" s="30">
        <f>IFERROR(AS75*AT75, 0)</f>
        <v/>
      </c>
      <c r="AV75" s="31" t="n"/>
      <c r="AW75" s="32" t="n"/>
      <c r="AX75" s="30">
        <f>IFERROR(AV75*AW75, 0)</f>
        <v/>
      </c>
      <c r="AY75" s="31" t="n"/>
      <c r="AZ75" s="32" t="n"/>
      <c r="BA75" s="30">
        <f>IFERROR(AY75*AZ75, 0)</f>
        <v/>
      </c>
      <c r="BB75" s="31" t="n"/>
      <c r="BC75" s="32" t="n"/>
      <c r="BD75" s="30">
        <f>IFERROR(BB75*BC75, 0)</f>
        <v/>
      </c>
      <c r="BE75" s="31" t="n"/>
      <c r="BF75" s="32" t="n"/>
      <c r="BG75" s="30">
        <f>IFERROR(BE75*BF75, 0)</f>
        <v/>
      </c>
      <c r="BH75" s="31" t="n"/>
      <c r="BI75" s="32" t="n"/>
      <c r="BJ75" s="30">
        <f>IFERROR(BH75*BI75, 0)</f>
        <v/>
      </c>
      <c r="BK75" s="31" t="n">
        <v>1</v>
      </c>
      <c r="BL75" s="32" t="n">
        <v>2311</v>
      </c>
      <c r="BM75" s="30" t="n">
        <v>2311</v>
      </c>
      <c r="BN75" s="31" t="n"/>
      <c r="BO75" s="32" t="n"/>
      <c r="BP75" s="30">
        <f>IFERROR(BN75*BO75, 0)</f>
        <v/>
      </c>
      <c r="BQ75" s="31" t="n"/>
      <c r="BR75" s="32" t="n"/>
      <c r="BS75" s="30">
        <f>IFERROR(BQ75*BR75, 0)</f>
        <v/>
      </c>
      <c r="BT75" s="31" t="n"/>
      <c r="BU75" s="32" t="n"/>
      <c r="BV75" s="30">
        <f>IFERROR(BT75*BU75, 0)</f>
        <v/>
      </c>
      <c r="BW75" s="31" t="n"/>
      <c r="BX75" s="32" t="n"/>
      <c r="BY75" s="30">
        <f>IFERROR(BW75*BX75, 0)</f>
        <v/>
      </c>
      <c r="BZ75" s="31" t="n"/>
      <c r="CA75" s="32" t="n"/>
      <c r="CB75" s="30">
        <f>IFERROR(BZ75*CA75, 0)</f>
        <v/>
      </c>
      <c r="CC75" s="31" t="n"/>
      <c r="CD75" s="32" t="n"/>
      <c r="CE75" s="30">
        <f>IFERROR(CC75*CD75, 0)</f>
        <v/>
      </c>
      <c r="CF75" s="31" t="n"/>
      <c r="CG75" s="32" t="n"/>
      <c r="CH75" s="30">
        <f>IFERROR(CF75*CG75, 0)</f>
        <v/>
      </c>
      <c r="CI75" s="31" t="n"/>
      <c r="CJ75" s="32" t="n"/>
      <c r="CK75" s="30">
        <f>IFERROR(CI75*CJ75, 0)</f>
        <v/>
      </c>
      <c r="CL75" s="31" t="n"/>
      <c r="CM75" s="32" t="n"/>
      <c r="CN75" s="30">
        <f>IFERROR(CL75*CM75, 0)</f>
        <v/>
      </c>
      <c r="CO75" s="31" t="n"/>
      <c r="CP75" s="32" t="n"/>
      <c r="CQ75" s="30">
        <f>IFERROR(CO75*CP75, 0)</f>
        <v/>
      </c>
      <c r="CR75" s="31" t="n"/>
      <c r="CS75" s="32" t="n"/>
      <c r="CT75" s="30">
        <f>IFERROR(CR75*CS75, 0)</f>
        <v/>
      </c>
      <c r="CU75" s="33">
        <f>IFERROR(SUM(F75,I75,L75,O75,R75,U75,X75,AA75,AD75,AG75,AJ75,AM75,AP75,AS75,AV75,AY75,BB75,BE75,BH75,BK75,BN75,BQ75,BT75,BW75,BZ75,CC75,CF75,CI75,CL75,CO75,CR75), 0)</f>
        <v/>
      </c>
      <c r="CV75" s="30">
        <f>IFERROR(AVERAGE(G75,J75,M75,P75,S75,V75,Y75,AB75,AE75,AH75,AK75,AN75,AQ75,AT75,AW75,AZ75,BC75,BF75,BI75,BL75,BO75,BR75,BU75,BX75,CA75,CD75,CG75,CJ75,CM75,CP75,CS75), 0)</f>
        <v/>
      </c>
      <c r="CW75" s="30">
        <f>CU75*CV75</f>
        <v/>
      </c>
    </row>
    <row r="76" ht="15.75" customHeight="1">
      <c r="A76" s="35" t="inlineStr">
        <is>
          <t>Cebolla Larga Atado</t>
        </is>
      </c>
      <c r="B76" s="28" t="inlineStr">
        <is>
          <t>Kg</t>
        </is>
      </c>
      <c r="C76" s="34" t="n"/>
      <c r="D76" s="32" t="n"/>
      <c r="E76" s="32" t="n"/>
      <c r="F76" s="31" t="n"/>
      <c r="G76" s="32" t="n"/>
      <c r="H76" s="30">
        <f>IFERROR(F76*G76, 0)</f>
        <v/>
      </c>
      <c r="I76" s="31" t="n"/>
      <c r="J76" s="32" t="n"/>
      <c r="K76" s="30">
        <f>IFERROR(I76*J76, 0)</f>
        <v/>
      </c>
      <c r="L76" s="31" t="n"/>
      <c r="M76" s="32" t="n"/>
      <c r="N76" s="30">
        <f>IFERROR(L76*M76, 0)</f>
        <v/>
      </c>
      <c r="O76" s="31" t="n"/>
      <c r="P76" s="32" t="n"/>
      <c r="Q76" s="30">
        <f>IFERROR(O76*P76, 0)</f>
        <v/>
      </c>
      <c r="R76" s="31" t="n"/>
      <c r="S76" s="32" t="n"/>
      <c r="T76" s="30">
        <f>IFERROR(R76*S76, 0)</f>
        <v/>
      </c>
      <c r="U76" s="31" t="n"/>
      <c r="V76" s="32" t="n"/>
      <c r="W76" s="30">
        <f>IFERROR(U76*V76, 0)</f>
        <v/>
      </c>
      <c r="X76" s="31" t="n"/>
      <c r="Y76" s="32" t="n"/>
      <c r="Z76" s="30">
        <f>IFERROR(X76*Y76, 0)</f>
        <v/>
      </c>
      <c r="AA76" s="31" t="n"/>
      <c r="AB76" s="32" t="n"/>
      <c r="AC76" s="30">
        <f>IFERROR(AA76*AB76, 0)</f>
        <v/>
      </c>
      <c r="AD76" s="31" t="n"/>
      <c r="AE76" s="32" t="n"/>
      <c r="AF76" s="30">
        <f>IFERROR(AD76*AE76, 0)</f>
        <v/>
      </c>
      <c r="AG76" s="31" t="n"/>
      <c r="AH76" s="32" t="n"/>
      <c r="AI76" s="30">
        <f>IFERROR(AG76*AH76, 0)</f>
        <v/>
      </c>
      <c r="AJ76" s="31" t="n"/>
      <c r="AK76" s="32" t="n"/>
      <c r="AL76" s="30">
        <f>IFERROR(AJ76*AK76, 0)</f>
        <v/>
      </c>
      <c r="AM76" s="31" t="n"/>
      <c r="AN76" s="32" t="n"/>
      <c r="AO76" s="30">
        <f>IFERROR(AM76*AN76, 0)</f>
        <v/>
      </c>
      <c r="AP76" s="31" t="n">
        <v>2</v>
      </c>
      <c r="AQ76" s="32" t="n">
        <v>100000</v>
      </c>
      <c r="AR76" s="30" t="n">
        <v>190000</v>
      </c>
      <c r="AS76" s="31" t="n">
        <v>1</v>
      </c>
      <c r="AT76" s="32" t="n">
        <v>90000</v>
      </c>
      <c r="AU76" s="30" t="n">
        <v>90000</v>
      </c>
      <c r="AV76" s="31" t="n"/>
      <c r="AW76" s="32" t="n"/>
      <c r="AX76" s="30">
        <f>IFERROR(AV76*AW76, 0)</f>
        <v/>
      </c>
      <c r="AY76" s="31" t="n"/>
      <c r="AZ76" s="32" t="n"/>
      <c r="BA76" s="30">
        <f>IFERROR(AY76*AZ76, 0)</f>
        <v/>
      </c>
      <c r="BB76" s="31" t="n"/>
      <c r="BC76" s="32" t="n"/>
      <c r="BD76" s="30">
        <f>IFERROR(BB76*BC76, 0)</f>
        <v/>
      </c>
      <c r="BE76" s="31" t="n"/>
      <c r="BF76" s="32" t="n"/>
      <c r="BG76" s="30">
        <f>IFERROR(BE76*BF76, 0)</f>
        <v/>
      </c>
      <c r="BH76" s="31" t="n"/>
      <c r="BI76" s="32" t="n"/>
      <c r="BJ76" s="30">
        <f>IFERROR(BH76*BI76, 0)</f>
        <v/>
      </c>
      <c r="BK76" s="31" t="n"/>
      <c r="BL76" s="32" t="n"/>
      <c r="BM76" s="30">
        <f>IFERROR(BK76*BL76, 0)</f>
        <v/>
      </c>
      <c r="BN76" s="31" t="n">
        <v>1.5</v>
      </c>
      <c r="BO76" s="32" t="n">
        <v>90000</v>
      </c>
      <c r="BP76" s="30" t="n">
        <v>105000</v>
      </c>
      <c r="BQ76" s="31" t="n"/>
      <c r="BR76" s="32" t="n"/>
      <c r="BS76" s="30">
        <f>IFERROR(BQ76*BR76, 0)</f>
        <v/>
      </c>
      <c r="BT76" s="31" t="n"/>
      <c r="BU76" s="32" t="n"/>
      <c r="BV76" s="30">
        <f>IFERROR(BT76*BU76, 0)</f>
        <v/>
      </c>
      <c r="BW76" s="31" t="n"/>
      <c r="BX76" s="32" t="n"/>
      <c r="BY76" s="30">
        <f>IFERROR(BW76*BX76, 0)</f>
        <v/>
      </c>
      <c r="BZ76" s="31" t="n"/>
      <c r="CA76" s="32" t="n"/>
      <c r="CB76" s="30">
        <f>IFERROR(BZ76*CA76, 0)</f>
        <v/>
      </c>
      <c r="CC76" s="31" t="n"/>
      <c r="CD76" s="32" t="n"/>
      <c r="CE76" s="30">
        <f>IFERROR(CC76*CD76, 0)</f>
        <v/>
      </c>
      <c r="CF76" s="31" t="n"/>
      <c r="CG76" s="32" t="n"/>
      <c r="CH76" s="30">
        <f>IFERROR(CF76*CG76, 0)</f>
        <v/>
      </c>
      <c r="CI76" s="31" t="n"/>
      <c r="CJ76" s="32" t="n"/>
      <c r="CK76" s="30">
        <f>IFERROR(CI76*CJ76, 0)</f>
        <v/>
      </c>
      <c r="CL76" s="31" t="n"/>
      <c r="CM76" s="32" t="n"/>
      <c r="CN76" s="30">
        <f>IFERROR(CL76*CM76, 0)</f>
        <v/>
      </c>
      <c r="CO76" s="31" t="n"/>
      <c r="CP76" s="32" t="n"/>
      <c r="CQ76" s="30">
        <f>IFERROR(CO76*CP76, 0)</f>
        <v/>
      </c>
      <c r="CR76" s="31" t="n"/>
      <c r="CS76" s="32" t="n"/>
      <c r="CT76" s="30">
        <f>IFERROR(CR76*CS76, 0)</f>
        <v/>
      </c>
      <c r="CU76" s="33">
        <f>IFERROR(SUM(F76,I76,L76,O76,R76,U76,X76,AA76,AD76,AG76,AJ76,AM76,AP76,AS76,AV76,AY76,BB76,BE76,BH76,BK76,BN76,BQ76,BT76,BW76,BZ76,CC76,CF76,CI76,CL76,CO76,CR76), 0)</f>
        <v/>
      </c>
      <c r="CV76" s="30">
        <f>IFERROR(AVERAGE(G76,J76,M76,P76,S76,V76,Y76,AB76,AE76,AH76,AK76,AN76,AQ76,AT76,AW76,AZ76,BC76,BF76,BI76,BL76,BO76,BR76,BU76,BX76,CA76,CD76,CG76,CJ76,CM76,CP76,CS76), 0)</f>
        <v/>
      </c>
      <c r="CW76" s="30">
        <f>CU76*CV76</f>
        <v/>
      </c>
    </row>
    <row r="77" ht="15.75" customHeight="1">
      <c r="A77" s="21" t="inlineStr">
        <is>
          <t>Arveja propapas</t>
        </is>
      </c>
      <c r="B77" s="21" t="inlineStr">
        <is>
          <t>Und</t>
        </is>
      </c>
      <c r="C77" s="34" t="n"/>
      <c r="D77" s="32" t="n"/>
      <c r="E77" s="32" t="n"/>
      <c r="F77" s="31" t="n"/>
      <c r="G77" s="32" t="n"/>
      <c r="H77" s="30">
        <f>IFERROR(F77*G77, 0)</f>
        <v/>
      </c>
      <c r="I77" s="31" t="n"/>
      <c r="J77" s="32" t="n"/>
      <c r="K77" s="30">
        <f>IFERROR(I77*J77, 0)</f>
        <v/>
      </c>
      <c r="L77" s="31" t="n"/>
      <c r="M77" s="32" t="n"/>
      <c r="N77" s="30">
        <f>IFERROR(L77*M77, 0)</f>
        <v/>
      </c>
      <c r="O77" s="31" t="n"/>
      <c r="P77" s="32" t="n"/>
      <c r="Q77" s="30">
        <f>IFERROR(O77*P77, 0)</f>
        <v/>
      </c>
      <c r="R77" s="31" t="n"/>
      <c r="S77" s="32" t="n"/>
      <c r="T77" s="30">
        <f>IFERROR(R77*S77, 0)</f>
        <v/>
      </c>
      <c r="U77" s="31" t="n"/>
      <c r="V77" s="32" t="n"/>
      <c r="W77" s="30">
        <f>IFERROR(U77*V77, 0)</f>
        <v/>
      </c>
      <c r="X77" s="31" t="n"/>
      <c r="Y77" s="32" t="n"/>
      <c r="Z77" s="30">
        <f>IFERROR(X77*Y77, 0)</f>
        <v/>
      </c>
      <c r="AA77" s="31" t="n"/>
      <c r="AB77" s="32" t="n"/>
      <c r="AC77" s="30">
        <f>IFERROR(AA77*AB77, 0)</f>
        <v/>
      </c>
      <c r="AD77" s="31" t="n"/>
      <c r="AE77" s="32" t="n"/>
      <c r="AF77" s="30">
        <f>IFERROR(AD77*AE77, 0)</f>
        <v/>
      </c>
      <c r="AG77" s="31" t="n"/>
      <c r="AH77" s="32" t="n"/>
      <c r="AI77" s="30">
        <f>IFERROR(AG77*AH77, 0)</f>
        <v/>
      </c>
      <c r="AJ77" s="31" t="n"/>
      <c r="AK77" s="32" t="n"/>
      <c r="AL77" s="30">
        <f>IFERROR(AJ77*AK77, 0)</f>
        <v/>
      </c>
      <c r="AM77" s="31" t="n"/>
      <c r="AN77" s="32" t="n"/>
      <c r="AO77" s="30">
        <f>IFERROR(AM77*AN77, 0)</f>
        <v/>
      </c>
      <c r="AP77" s="31" t="n"/>
      <c r="AQ77" s="32" t="n"/>
      <c r="AR77" s="30">
        <f>IFERROR(AP77*AQ77, 0)</f>
        <v/>
      </c>
      <c r="AS77" s="31" t="n"/>
      <c r="AT77" s="32" t="n"/>
      <c r="AU77" s="30">
        <f>IFERROR(AS77*AT77, 0)</f>
        <v/>
      </c>
      <c r="AV77" s="31" t="n"/>
      <c r="AW77" s="32" t="n"/>
      <c r="AX77" s="30">
        <f>IFERROR(AV77*AW77, 0)</f>
        <v/>
      </c>
      <c r="AY77" s="31" t="n"/>
      <c r="AZ77" s="32" t="n"/>
      <c r="BA77" s="30">
        <f>IFERROR(AY77*AZ77, 0)</f>
        <v/>
      </c>
      <c r="BB77" s="31" t="n"/>
      <c r="BC77" s="32" t="n"/>
      <c r="BD77" s="30">
        <f>IFERROR(BB77*BC77, 0)</f>
        <v/>
      </c>
      <c r="BE77" s="31" t="n"/>
      <c r="BF77" s="32" t="n"/>
      <c r="BG77" s="30">
        <f>IFERROR(BE77*BF77, 0)</f>
        <v/>
      </c>
      <c r="BH77" s="31" t="n"/>
      <c r="BI77" s="32" t="n"/>
      <c r="BJ77" s="30">
        <f>IFERROR(BH77*BI77, 0)</f>
        <v/>
      </c>
      <c r="BK77" s="31" t="n"/>
      <c r="BL77" s="32" t="n"/>
      <c r="BM77" s="30">
        <f>IFERROR(BK77*BL77, 0)</f>
        <v/>
      </c>
      <c r="BN77" s="31" t="n"/>
      <c r="BO77" s="32" t="n"/>
      <c r="BP77" s="30">
        <f>IFERROR(BN77*BO77, 0)</f>
        <v/>
      </c>
      <c r="BQ77" s="31" t="n"/>
      <c r="BR77" s="32" t="n"/>
      <c r="BS77" s="30">
        <f>IFERROR(BQ77*BR77, 0)</f>
        <v/>
      </c>
      <c r="BT77" s="31" t="n"/>
      <c r="BU77" s="32" t="n"/>
      <c r="BV77" s="30">
        <f>IFERROR(BT77*BU77, 0)</f>
        <v/>
      </c>
      <c r="BW77" s="31" t="n"/>
      <c r="BX77" s="32" t="n"/>
      <c r="BY77" s="30">
        <f>IFERROR(BW77*BX77, 0)</f>
        <v/>
      </c>
      <c r="BZ77" s="31" t="n"/>
      <c r="CA77" s="32" t="n"/>
      <c r="CB77" s="30">
        <f>IFERROR(BZ77*CA77, 0)</f>
        <v/>
      </c>
      <c r="CC77" s="31" t="n"/>
      <c r="CD77" s="32" t="n"/>
      <c r="CE77" s="30">
        <f>IFERROR(CC77*CD77, 0)</f>
        <v/>
      </c>
      <c r="CF77" s="31" t="n"/>
      <c r="CG77" s="32" t="n"/>
      <c r="CH77" s="30">
        <f>IFERROR(CF77*CG77, 0)</f>
        <v/>
      </c>
      <c r="CI77" s="31" t="n"/>
      <c r="CJ77" s="32" t="n"/>
      <c r="CK77" s="30">
        <f>IFERROR(CI77*CJ77, 0)</f>
        <v/>
      </c>
      <c r="CL77" s="31" t="n"/>
      <c r="CM77" s="32" t="n"/>
      <c r="CN77" s="30">
        <f>IFERROR(CL77*CM77, 0)</f>
        <v/>
      </c>
      <c r="CO77" s="31" t="n"/>
      <c r="CP77" s="32" t="n"/>
      <c r="CQ77" s="30">
        <f>IFERROR(CO77*CP77, 0)</f>
        <v/>
      </c>
      <c r="CR77" s="31" t="n"/>
      <c r="CS77" s="32" t="n"/>
      <c r="CT77" s="30">
        <f>IFERROR(CR77*CS77, 0)</f>
        <v/>
      </c>
      <c r="CU77" s="33">
        <f>IFERROR(SUM(F77,I77,L77,O77,R77,U77,X77,AA77,AD77,AG77,AJ77,AM77,AP77,AS77,AV77,AY77,BB77,BE77,BH77,BK77,BN77,BQ77,BT77,BW77,BZ77,CC77,CF77,CI77,CL77,CO77,CR77), 0)</f>
        <v/>
      </c>
      <c r="CV77" s="30">
        <f>IFERROR(AVERAGE(G77,J77,M77,P77,S77,V77,Y77,AB77,AE77,AH77,AK77,AN77,AQ77,AT77,AW77,AZ77,BC77,BF77,BI77,BL77,BO77,BR77,BU77,BX77,CA77,CD77,CG77,CJ77,CM77,CP77,CS77), 0)</f>
        <v/>
      </c>
      <c r="CW77" s="30">
        <f>CU77*CV77</f>
        <v/>
      </c>
    </row>
    <row r="78" ht="15.75" customHeight="1">
      <c r="A78" s="21" t="inlineStr">
        <is>
          <t>Atados hojas</t>
        </is>
      </c>
      <c r="B78" s="21" t="inlineStr">
        <is>
          <t>Und</t>
        </is>
      </c>
      <c r="C78" s="34" t="n"/>
      <c r="D78" s="32" t="n"/>
      <c r="E78" s="32" t="n"/>
      <c r="F78" s="31" t="n"/>
      <c r="G78" s="32" t="n"/>
      <c r="H78" s="30">
        <f>IFERROR(F78*G78, 0)</f>
        <v/>
      </c>
      <c r="I78" s="31" t="n"/>
      <c r="J78" s="32" t="n"/>
      <c r="K78" s="30">
        <f>IFERROR(I78*J78, 0)</f>
        <v/>
      </c>
      <c r="L78" s="31" t="n"/>
      <c r="M78" s="32" t="n"/>
      <c r="N78" s="30">
        <f>IFERROR(L78*M78, 0)</f>
        <v/>
      </c>
      <c r="O78" s="31" t="n"/>
      <c r="P78" s="32" t="n"/>
      <c r="Q78" s="30">
        <f>IFERROR(O78*P78, 0)</f>
        <v/>
      </c>
      <c r="R78" s="31" t="n"/>
      <c r="S78" s="32" t="n"/>
      <c r="T78" s="30">
        <f>IFERROR(R78*S78, 0)</f>
        <v/>
      </c>
      <c r="U78" s="31" t="n"/>
      <c r="V78" s="32" t="n"/>
      <c r="W78" s="30">
        <f>IFERROR(U78*V78, 0)</f>
        <v/>
      </c>
      <c r="X78" s="31" t="n"/>
      <c r="Y78" s="32" t="n"/>
      <c r="Z78" s="30">
        <f>IFERROR(X78*Y78, 0)</f>
        <v/>
      </c>
      <c r="AA78" s="31" t="n"/>
      <c r="AB78" s="32" t="n"/>
      <c r="AC78" s="30">
        <f>IFERROR(AA78*AB78, 0)</f>
        <v/>
      </c>
      <c r="AD78" s="31" t="n"/>
      <c r="AE78" s="32" t="n"/>
      <c r="AF78" s="30">
        <f>IFERROR(AD78*AE78, 0)</f>
        <v/>
      </c>
      <c r="AG78" s="31" t="n"/>
      <c r="AH78" s="32" t="n"/>
      <c r="AI78" s="30">
        <f>IFERROR(AG78*AH78, 0)</f>
        <v/>
      </c>
      <c r="AJ78" s="31" t="n"/>
      <c r="AK78" s="32" t="n"/>
      <c r="AL78" s="30">
        <f>IFERROR(AJ78*AK78, 0)</f>
        <v/>
      </c>
      <c r="AM78" s="31" t="n"/>
      <c r="AN78" s="32" t="n"/>
      <c r="AO78" s="30">
        <f>IFERROR(AM78*AN78, 0)</f>
        <v/>
      </c>
      <c r="AP78" s="31" t="n"/>
      <c r="AQ78" s="32" t="n"/>
      <c r="AR78" s="30">
        <f>IFERROR(AP78*AQ78, 0)</f>
        <v/>
      </c>
      <c r="AS78" s="31" t="n"/>
      <c r="AT78" s="32" t="n"/>
      <c r="AU78" s="30">
        <f>IFERROR(AS78*AT78, 0)</f>
        <v/>
      </c>
      <c r="AV78" s="31" t="n"/>
      <c r="AW78" s="32" t="n"/>
      <c r="AX78" s="30">
        <f>IFERROR(AV78*AW78, 0)</f>
        <v/>
      </c>
      <c r="AY78" s="31" t="n"/>
      <c r="AZ78" s="32" t="n"/>
      <c r="BA78" s="30">
        <f>IFERROR(AY78*AZ78, 0)</f>
        <v/>
      </c>
      <c r="BB78" s="31" t="n"/>
      <c r="BC78" s="32" t="n"/>
      <c r="BD78" s="30">
        <f>IFERROR(BB78*BC78, 0)</f>
        <v/>
      </c>
      <c r="BE78" s="31" t="n"/>
      <c r="BF78" s="32" t="n"/>
      <c r="BG78" s="30">
        <f>IFERROR(BE78*BF78, 0)</f>
        <v/>
      </c>
      <c r="BH78" s="31" t="n"/>
      <c r="BI78" s="32" t="n"/>
      <c r="BJ78" s="30">
        <f>IFERROR(BH78*BI78, 0)</f>
        <v/>
      </c>
      <c r="BK78" s="31" t="n"/>
      <c r="BL78" s="32" t="n"/>
      <c r="BM78" s="30">
        <f>IFERROR(BK78*BL78, 0)</f>
        <v/>
      </c>
      <c r="BN78" s="31" t="n"/>
      <c r="BO78" s="32" t="n"/>
      <c r="BP78" s="30">
        <f>IFERROR(BN78*BO78, 0)</f>
        <v/>
      </c>
      <c r="BQ78" s="31" t="n"/>
      <c r="BR78" s="32" t="n"/>
      <c r="BS78" s="30">
        <f>IFERROR(BQ78*BR78, 0)</f>
        <v/>
      </c>
      <c r="BT78" s="31" t="n"/>
      <c r="BU78" s="32" t="n"/>
      <c r="BV78" s="30">
        <f>IFERROR(BT78*BU78, 0)</f>
        <v/>
      </c>
      <c r="BW78" s="31" t="n"/>
      <c r="BX78" s="32" t="n"/>
      <c r="BY78" s="30">
        <f>IFERROR(BW78*BX78, 0)</f>
        <v/>
      </c>
      <c r="BZ78" s="31" t="n"/>
      <c r="CA78" s="32" t="n"/>
      <c r="CB78" s="30">
        <f>IFERROR(BZ78*CA78, 0)</f>
        <v/>
      </c>
      <c r="CC78" s="31" t="n"/>
      <c r="CD78" s="32" t="n"/>
      <c r="CE78" s="30">
        <f>IFERROR(CC78*CD78, 0)</f>
        <v/>
      </c>
      <c r="CF78" s="31" t="n"/>
      <c r="CG78" s="32" t="n"/>
      <c r="CH78" s="30">
        <f>IFERROR(CF78*CG78, 0)</f>
        <v/>
      </c>
      <c r="CI78" s="31" t="n"/>
      <c r="CJ78" s="32" t="n"/>
      <c r="CK78" s="30">
        <f>IFERROR(CI78*CJ78, 0)</f>
        <v/>
      </c>
      <c r="CL78" s="31" t="n"/>
      <c r="CM78" s="32" t="n"/>
      <c r="CN78" s="30">
        <f>IFERROR(CL78*CM78, 0)</f>
        <v/>
      </c>
      <c r="CO78" s="31" t="n"/>
      <c r="CP78" s="32" t="n"/>
      <c r="CQ78" s="30">
        <f>IFERROR(CO78*CP78, 0)</f>
        <v/>
      </c>
      <c r="CR78" s="31" t="n"/>
      <c r="CS78" s="32" t="n"/>
      <c r="CT78" s="30">
        <f>IFERROR(CR78*CS78, 0)</f>
        <v/>
      </c>
      <c r="CU78" s="33">
        <f>IFERROR(SUM(F78,I78,L78,O78,R78,U78,X78,AA78,AD78,AG78,AJ78,AM78,AP78,AS78,AV78,AY78,BB78,BE78,BH78,BK78,BN78,BQ78,BT78,BW78,BZ78,CC78,CF78,CI78,CL78,CO78,CR78), 0)</f>
        <v/>
      </c>
      <c r="CV78" s="30">
        <f>IFERROR(AVERAGE(G78,J78,M78,P78,S78,V78,Y78,AB78,AE78,AH78,AK78,AN78,AQ78,AT78,AW78,AZ78,BC78,BF78,BI78,BL78,BO78,BR78,BU78,BX78,CA78,CD78,CG78,CJ78,CM78,CP78,CS78), 0)</f>
        <v/>
      </c>
      <c r="CW78" s="30">
        <f>CU78*CV78</f>
        <v/>
      </c>
    </row>
    <row r="79" ht="15.75" customHeight="1">
      <c r="A79" s="21" t="inlineStr">
        <is>
          <t>Cocos</t>
        </is>
      </c>
      <c r="B79" s="21" t="inlineStr">
        <is>
          <t>Und</t>
        </is>
      </c>
      <c r="C79" s="34" t="n"/>
      <c r="D79" s="32" t="n"/>
      <c r="E79" s="32" t="n"/>
      <c r="F79" s="31" t="n"/>
      <c r="G79" s="32" t="n"/>
      <c r="H79" s="30">
        <f>IFERROR(F79*G79, 0)</f>
        <v/>
      </c>
      <c r="I79" s="31" t="n">
        <v>1</v>
      </c>
      <c r="J79" s="32" t="n">
        <v>40000</v>
      </c>
      <c r="K79" s="30" t="n">
        <v>40000</v>
      </c>
      <c r="L79" s="31" t="n"/>
      <c r="M79" s="32" t="n"/>
      <c r="N79" s="30">
        <f>IFERROR(L79*M79, 0)</f>
        <v/>
      </c>
      <c r="O79" s="31" t="n"/>
      <c r="P79" s="32" t="n"/>
      <c r="Q79" s="30">
        <f>IFERROR(O79*P79, 0)</f>
        <v/>
      </c>
      <c r="R79" s="31" t="n"/>
      <c r="S79" s="32" t="n"/>
      <c r="T79" s="30">
        <f>IFERROR(R79*S79, 0)</f>
        <v/>
      </c>
      <c r="U79" s="31" t="n"/>
      <c r="V79" s="32" t="n"/>
      <c r="W79" s="30">
        <f>IFERROR(U79*V79, 0)</f>
        <v/>
      </c>
      <c r="X79" s="31" t="n"/>
      <c r="Y79" s="32" t="n"/>
      <c r="Z79" s="30">
        <f>IFERROR(X79*Y79, 0)</f>
        <v/>
      </c>
      <c r="AA79" s="31" t="n"/>
      <c r="AB79" s="32" t="n"/>
      <c r="AC79" s="30">
        <f>IFERROR(AA79*AB79, 0)</f>
        <v/>
      </c>
      <c r="AD79" s="31" t="n"/>
      <c r="AE79" s="32" t="n"/>
      <c r="AF79" s="30">
        <f>IFERROR(AD79*AE79, 0)</f>
        <v/>
      </c>
      <c r="AG79" s="31" t="n"/>
      <c r="AH79" s="32" t="n"/>
      <c r="AI79" s="30">
        <f>IFERROR(AG79*AH79, 0)</f>
        <v/>
      </c>
      <c r="AJ79" s="31" t="n"/>
      <c r="AK79" s="32" t="n"/>
      <c r="AL79" s="30">
        <f>IFERROR(AJ79*AK79, 0)</f>
        <v/>
      </c>
      <c r="AM79" s="31" t="n"/>
      <c r="AN79" s="32" t="n"/>
      <c r="AO79" s="30">
        <f>IFERROR(AM79*AN79, 0)</f>
        <v/>
      </c>
      <c r="AP79" s="31" t="n"/>
      <c r="AQ79" s="32" t="n"/>
      <c r="AR79" s="30">
        <f>IFERROR(AP79*AQ79, 0)</f>
        <v/>
      </c>
      <c r="AS79" s="31" t="n"/>
      <c r="AT79" s="32" t="n"/>
      <c r="AU79" s="30">
        <f>IFERROR(AS79*AT79, 0)</f>
        <v/>
      </c>
      <c r="AV79" s="31" t="n"/>
      <c r="AW79" s="32" t="n"/>
      <c r="AX79" s="30">
        <f>IFERROR(AV79*AW79, 0)</f>
        <v/>
      </c>
      <c r="AY79" s="31" t="n"/>
      <c r="AZ79" s="32" t="n"/>
      <c r="BA79" s="30">
        <f>IFERROR(AY79*AZ79, 0)</f>
        <v/>
      </c>
      <c r="BB79" s="31" t="n"/>
      <c r="BC79" s="32" t="n"/>
      <c r="BD79" s="30">
        <f>IFERROR(BB79*BC79, 0)</f>
        <v/>
      </c>
      <c r="BE79" s="31" t="n"/>
      <c r="BF79" s="32" t="n"/>
      <c r="BG79" s="30">
        <f>IFERROR(BE79*BF79, 0)</f>
        <v/>
      </c>
      <c r="BH79" s="31" t="n"/>
      <c r="BI79" s="32" t="n"/>
      <c r="BJ79" s="30">
        <f>IFERROR(BH79*BI79, 0)</f>
        <v/>
      </c>
      <c r="BK79" s="31" t="n"/>
      <c r="BL79" s="32" t="n"/>
      <c r="BM79" s="30">
        <f>IFERROR(BK79*BL79, 0)</f>
        <v/>
      </c>
      <c r="BN79" s="31" t="n"/>
      <c r="BO79" s="32" t="n"/>
      <c r="BP79" s="30">
        <f>IFERROR(BN79*BO79, 0)</f>
        <v/>
      </c>
      <c r="BQ79" s="31" t="n"/>
      <c r="BR79" s="32" t="n"/>
      <c r="BS79" s="30">
        <f>IFERROR(BQ79*BR79, 0)</f>
        <v/>
      </c>
      <c r="BT79" s="31" t="n"/>
      <c r="BU79" s="32" t="n"/>
      <c r="BV79" s="30">
        <f>IFERROR(BT79*BU79, 0)</f>
        <v/>
      </c>
      <c r="BW79" s="31" t="n">
        <v>5</v>
      </c>
      <c r="BX79" s="32" t="n">
        <v>8000</v>
      </c>
      <c r="BY79" s="30" t="n">
        <v>40000</v>
      </c>
      <c r="BZ79" s="31" t="n"/>
      <c r="CA79" s="32" t="n"/>
      <c r="CB79" s="30">
        <f>IFERROR(BZ79*CA79, 0)</f>
        <v/>
      </c>
      <c r="CC79" s="31" t="n"/>
      <c r="CD79" s="32" t="n"/>
      <c r="CE79" s="30">
        <f>IFERROR(CC79*CD79, 0)</f>
        <v/>
      </c>
      <c r="CF79" s="31" t="n"/>
      <c r="CG79" s="32" t="n"/>
      <c r="CH79" s="30">
        <f>IFERROR(CF79*CG79, 0)</f>
        <v/>
      </c>
      <c r="CI79" s="31" t="n"/>
      <c r="CJ79" s="32" t="n"/>
      <c r="CK79" s="30">
        <f>IFERROR(CI79*CJ79, 0)</f>
        <v/>
      </c>
      <c r="CL79" s="31" t="n"/>
      <c r="CM79" s="32" t="n"/>
      <c r="CN79" s="30">
        <f>IFERROR(CL79*CM79, 0)</f>
        <v/>
      </c>
      <c r="CO79" s="31" t="n"/>
      <c r="CP79" s="32" t="n"/>
      <c r="CQ79" s="30">
        <f>IFERROR(CO79*CP79, 0)</f>
        <v/>
      </c>
      <c r="CR79" s="31" t="n"/>
      <c r="CS79" s="32" t="n"/>
      <c r="CT79" s="30">
        <f>IFERROR(CR79*CS79, 0)</f>
        <v/>
      </c>
      <c r="CU79" s="33">
        <f>IFERROR(SUM(F79,I79,L79,O79,R79,U79,X79,AA79,AD79,AG79,AJ79,AM79,AP79,AS79,AV79,AY79,BB79,BE79,BH79,BK79,BN79,BQ79,BT79,BW79,BZ79,CC79,CF79,CI79,CL79,CO79,CR79), 0)</f>
        <v/>
      </c>
      <c r="CV79" s="30">
        <f>IFERROR(AVERAGE(G79,J79,M79,P79,S79,V79,Y79,AB79,AE79,AH79,AK79,AN79,AQ79,AT79,AW79,AZ79,BC79,BF79,BI79,BL79,BO79,BR79,BU79,BX79,CA79,CD79,CG79,CJ79,CM79,CP79,CS79), 0)</f>
        <v/>
      </c>
      <c r="CW79" s="30">
        <f>CU79*CV79</f>
        <v/>
      </c>
    </row>
    <row r="80" ht="15.75" customHeight="1">
      <c r="A80" s="21" t="inlineStr">
        <is>
          <t>Masa t</t>
        </is>
      </c>
      <c r="B80" s="21" t="inlineStr">
        <is>
          <t>Und</t>
        </is>
      </c>
      <c r="C80" s="34" t="n"/>
      <c r="D80" s="32" t="n"/>
      <c r="E80" s="32" t="n"/>
      <c r="F80" s="31" t="n"/>
      <c r="G80" s="32" t="n"/>
      <c r="H80" s="30">
        <f>IFERROR(F80*G80, 0)</f>
        <v/>
      </c>
      <c r="I80" s="31" t="n"/>
      <c r="J80" s="32" t="n"/>
      <c r="K80" s="30">
        <f>IFERROR(I80*J80, 0)</f>
        <v/>
      </c>
      <c r="L80" s="31" t="n"/>
      <c r="M80" s="32" t="n"/>
      <c r="N80" s="30">
        <f>IFERROR(L80*M80, 0)</f>
        <v/>
      </c>
      <c r="O80" s="31" t="n"/>
      <c r="P80" s="32" t="n"/>
      <c r="Q80" s="30">
        <f>IFERROR(O80*P80, 0)</f>
        <v/>
      </c>
      <c r="R80" s="31" t="n"/>
      <c r="S80" s="32" t="n"/>
      <c r="T80" s="30">
        <f>IFERROR(R80*S80, 0)</f>
        <v/>
      </c>
      <c r="U80" s="31" t="n"/>
      <c r="V80" s="32" t="n"/>
      <c r="W80" s="30">
        <f>IFERROR(U80*V80, 0)</f>
        <v/>
      </c>
      <c r="X80" s="31" t="n"/>
      <c r="Y80" s="32" t="n"/>
      <c r="Z80" s="30">
        <f>IFERROR(X80*Y80, 0)</f>
        <v/>
      </c>
      <c r="AA80" s="31" t="n"/>
      <c r="AB80" s="32" t="n"/>
      <c r="AC80" s="30">
        <f>IFERROR(AA80*AB80, 0)</f>
        <v/>
      </c>
      <c r="AD80" s="31" t="n"/>
      <c r="AE80" s="32" t="n"/>
      <c r="AF80" s="30">
        <f>IFERROR(AD80*AE80, 0)</f>
        <v/>
      </c>
      <c r="AG80" s="31" t="n"/>
      <c r="AH80" s="32" t="n"/>
      <c r="AI80" s="30">
        <f>IFERROR(AG80*AH80, 0)</f>
        <v/>
      </c>
      <c r="AJ80" s="31" t="n"/>
      <c r="AK80" s="32" t="n"/>
      <c r="AL80" s="30">
        <f>IFERROR(AJ80*AK80, 0)</f>
        <v/>
      </c>
      <c r="AM80" s="31" t="n"/>
      <c r="AN80" s="32" t="n"/>
      <c r="AO80" s="30">
        <f>IFERROR(AM80*AN80, 0)</f>
        <v/>
      </c>
      <c r="AP80" s="31" t="n"/>
      <c r="AQ80" s="32" t="n"/>
      <c r="AR80" s="30">
        <f>IFERROR(AP80*AQ80, 0)</f>
        <v/>
      </c>
      <c r="AS80" s="31" t="n"/>
      <c r="AT80" s="32" t="n"/>
      <c r="AU80" s="30">
        <f>IFERROR(AS80*AT80, 0)</f>
        <v/>
      </c>
      <c r="AV80" s="31" t="n"/>
      <c r="AW80" s="32" t="n"/>
      <c r="AX80" s="30">
        <f>IFERROR(AV80*AW80, 0)</f>
        <v/>
      </c>
      <c r="AY80" s="31" t="n"/>
      <c r="AZ80" s="32" t="n"/>
      <c r="BA80" s="30">
        <f>IFERROR(AY80*AZ80, 0)</f>
        <v/>
      </c>
      <c r="BB80" s="31" t="n"/>
      <c r="BC80" s="32" t="n"/>
      <c r="BD80" s="30">
        <f>IFERROR(BB80*BC80, 0)</f>
        <v/>
      </c>
      <c r="BE80" s="31" t="n"/>
      <c r="BF80" s="32" t="n"/>
      <c r="BG80" s="30">
        <f>IFERROR(BE80*BF80, 0)</f>
        <v/>
      </c>
      <c r="BH80" s="31" t="n"/>
      <c r="BI80" s="32" t="n"/>
      <c r="BJ80" s="30">
        <f>IFERROR(BH80*BI80, 0)</f>
        <v/>
      </c>
      <c r="BK80" s="31" t="n"/>
      <c r="BL80" s="32" t="n"/>
      <c r="BM80" s="30">
        <f>IFERROR(BK80*BL80, 0)</f>
        <v/>
      </c>
      <c r="BN80" s="31" t="n"/>
      <c r="BO80" s="32" t="n"/>
      <c r="BP80" s="30">
        <f>IFERROR(BN80*BO80, 0)</f>
        <v/>
      </c>
      <c r="BQ80" s="31" t="n"/>
      <c r="BR80" s="32" t="n"/>
      <c r="BS80" s="30">
        <f>IFERROR(BQ80*BR80, 0)</f>
        <v/>
      </c>
      <c r="BT80" s="31" t="n"/>
      <c r="BU80" s="32" t="n"/>
      <c r="BV80" s="30">
        <f>IFERROR(BT80*BU80, 0)</f>
        <v/>
      </c>
      <c r="BW80" s="31" t="n"/>
      <c r="BX80" s="32" t="n"/>
      <c r="BY80" s="30">
        <f>IFERROR(BW80*BX80, 0)</f>
        <v/>
      </c>
      <c r="BZ80" s="31" t="n"/>
      <c r="CA80" s="32" t="n"/>
      <c r="CB80" s="30">
        <f>IFERROR(BZ80*CA80, 0)</f>
        <v/>
      </c>
      <c r="CC80" s="31" t="n"/>
      <c r="CD80" s="32" t="n"/>
      <c r="CE80" s="30">
        <f>IFERROR(CC80*CD80, 0)</f>
        <v/>
      </c>
      <c r="CF80" s="31" t="n"/>
      <c r="CG80" s="32" t="n"/>
      <c r="CH80" s="30">
        <f>IFERROR(CF80*CG80, 0)</f>
        <v/>
      </c>
      <c r="CI80" s="31" t="n"/>
      <c r="CJ80" s="32" t="n"/>
      <c r="CK80" s="30">
        <f>IFERROR(CI80*CJ80, 0)</f>
        <v/>
      </c>
      <c r="CL80" s="31" t="n"/>
      <c r="CM80" s="32" t="n"/>
      <c r="CN80" s="30">
        <f>IFERROR(CL80*CM80, 0)</f>
        <v/>
      </c>
      <c r="CO80" s="31" t="n"/>
      <c r="CP80" s="32" t="n"/>
      <c r="CQ80" s="30">
        <f>IFERROR(CO80*CP80, 0)</f>
        <v/>
      </c>
      <c r="CR80" s="31" t="n"/>
      <c r="CS80" s="32" t="n"/>
      <c r="CT80" s="30">
        <f>IFERROR(CR80*CS80, 0)</f>
        <v/>
      </c>
      <c r="CU80" s="33">
        <f>IFERROR(SUM(F80,I80,L80,O80,R80,U80,X80,AA80,AD80,AG80,AJ80,AM80,AP80,AS80,AV80,AY80,BB80,BE80,BH80,BK80,BN80,BQ80,BT80,BW80,BZ80,CC80,CF80,CI80,CL80,CO80,CR80), 0)</f>
        <v/>
      </c>
      <c r="CV80" s="30">
        <f>IFERROR(AVERAGE(G80,J80,M80,P80,S80,V80,Y80,AB80,AE80,AH80,AK80,AN80,AQ80,AT80,AW80,AZ80,BC80,BF80,BI80,BL80,BO80,BR80,BU80,BX80,CA80,CD80,CG80,CJ80,CM80,CP80,CS80), 0)</f>
        <v/>
      </c>
      <c r="CW80" s="30">
        <f>CU80*CV80</f>
        <v/>
      </c>
    </row>
    <row r="81" ht="15.75" customHeight="1">
      <c r="A81" s="21" t="inlineStr">
        <is>
          <t>Arveja</t>
        </is>
      </c>
      <c r="B81" s="21" t="inlineStr">
        <is>
          <t>Und</t>
        </is>
      </c>
      <c r="C81" s="34" t="n"/>
      <c r="D81" s="32" t="n"/>
      <c r="E81" s="32" t="n"/>
      <c r="F81" s="31" t="n"/>
      <c r="G81" s="32" t="n"/>
      <c r="H81" s="30">
        <f>IFERROR(F81*G81, 0)</f>
        <v/>
      </c>
      <c r="I81" s="31" t="n"/>
      <c r="J81" s="32" t="n"/>
      <c r="K81" s="30">
        <f>IFERROR(I81*J81, 0)</f>
        <v/>
      </c>
      <c r="L81" s="31" t="n"/>
      <c r="M81" s="32" t="n"/>
      <c r="N81" s="30">
        <f>IFERROR(L81*M81, 0)</f>
        <v/>
      </c>
      <c r="O81" s="31" t="n"/>
      <c r="P81" s="32" t="n"/>
      <c r="Q81" s="30">
        <f>IFERROR(O81*P81, 0)</f>
        <v/>
      </c>
      <c r="R81" s="31" t="n"/>
      <c r="S81" s="32" t="n"/>
      <c r="T81" s="30">
        <f>IFERROR(R81*S81, 0)</f>
        <v/>
      </c>
      <c r="U81" s="31" t="n"/>
      <c r="V81" s="32" t="n"/>
      <c r="W81" s="30">
        <f>IFERROR(U81*V81, 0)</f>
        <v/>
      </c>
      <c r="X81" s="31" t="n"/>
      <c r="Y81" s="32" t="n"/>
      <c r="Z81" s="30">
        <f>IFERROR(X81*Y81, 0)</f>
        <v/>
      </c>
      <c r="AA81" s="31" t="n"/>
      <c r="AB81" s="32" t="n"/>
      <c r="AC81" s="30">
        <f>IFERROR(AA81*AB81, 0)</f>
        <v/>
      </c>
      <c r="AD81" s="31" t="n"/>
      <c r="AE81" s="32" t="n"/>
      <c r="AF81" s="30">
        <f>IFERROR(AD81*AE81, 0)</f>
        <v/>
      </c>
      <c r="AG81" s="31" t="n"/>
      <c r="AH81" s="32" t="n"/>
      <c r="AI81" s="30">
        <f>IFERROR(AG81*AH81, 0)</f>
        <v/>
      </c>
      <c r="AJ81" s="31" t="n"/>
      <c r="AK81" s="32" t="n"/>
      <c r="AL81" s="30">
        <f>IFERROR(AJ81*AK81, 0)</f>
        <v/>
      </c>
      <c r="AM81" s="31" t="n"/>
      <c r="AN81" s="32" t="n"/>
      <c r="AO81" s="30">
        <f>IFERROR(AM81*AN81, 0)</f>
        <v/>
      </c>
      <c r="AP81" s="31" t="n">
        <v>2.8</v>
      </c>
      <c r="AQ81" s="32" t="n">
        <v>14000</v>
      </c>
      <c r="AR81" s="30" t="n">
        <v>39200</v>
      </c>
      <c r="AS81" s="31" t="n"/>
      <c r="AT81" s="32" t="n"/>
      <c r="AU81" s="30">
        <f>IFERROR(AS81*AT81, 0)</f>
        <v/>
      </c>
      <c r="AV81" s="31" t="n"/>
      <c r="AW81" s="32" t="n"/>
      <c r="AX81" s="30">
        <f>IFERROR(AV81*AW81, 0)</f>
        <v/>
      </c>
      <c r="AY81" s="31" t="n"/>
      <c r="AZ81" s="32" t="n"/>
      <c r="BA81" s="30">
        <f>IFERROR(AY81*AZ81, 0)</f>
        <v/>
      </c>
      <c r="BB81" s="31" t="n"/>
      <c r="BC81" s="32" t="n"/>
      <c r="BD81" s="30">
        <f>IFERROR(BB81*BC81, 0)</f>
        <v/>
      </c>
      <c r="BE81" s="31" t="n"/>
      <c r="BF81" s="32" t="n"/>
      <c r="BG81" s="30">
        <f>IFERROR(BE81*BF81, 0)</f>
        <v/>
      </c>
      <c r="BH81" s="31" t="n"/>
      <c r="BI81" s="32" t="n"/>
      <c r="BJ81" s="30">
        <f>IFERROR(BH81*BI81, 0)</f>
        <v/>
      </c>
      <c r="BK81" s="31" t="n"/>
      <c r="BL81" s="32" t="n"/>
      <c r="BM81" s="30">
        <f>IFERROR(BK81*BL81, 0)</f>
        <v/>
      </c>
      <c r="BN81" s="31" t="n">
        <v>3.4</v>
      </c>
      <c r="BO81" s="32" t="n">
        <v>15000</v>
      </c>
      <c r="BP81" s="30" t="n">
        <v>51000</v>
      </c>
      <c r="BQ81" s="31" t="n"/>
      <c r="BR81" s="32" t="n"/>
      <c r="BS81" s="30">
        <f>IFERROR(BQ81*BR81, 0)</f>
        <v/>
      </c>
      <c r="BT81" s="31" t="n"/>
      <c r="BU81" s="32" t="n"/>
      <c r="BV81" s="30">
        <f>IFERROR(BT81*BU81, 0)</f>
        <v/>
      </c>
      <c r="BW81" s="31" t="n"/>
      <c r="BX81" s="32" t="n"/>
      <c r="BY81" s="30">
        <f>IFERROR(BW81*BX81, 0)</f>
        <v/>
      </c>
      <c r="BZ81" s="31" t="n"/>
      <c r="CA81" s="32" t="n"/>
      <c r="CB81" s="30">
        <f>IFERROR(BZ81*CA81, 0)</f>
        <v/>
      </c>
      <c r="CC81" s="31" t="n"/>
      <c r="CD81" s="32" t="n"/>
      <c r="CE81" s="30">
        <f>IFERROR(CC81*CD81, 0)</f>
        <v/>
      </c>
      <c r="CF81" s="31" t="n"/>
      <c r="CG81" s="32" t="n"/>
      <c r="CH81" s="30">
        <f>IFERROR(CF81*CG81, 0)</f>
        <v/>
      </c>
      <c r="CI81" s="31" t="n"/>
      <c r="CJ81" s="32" t="n"/>
      <c r="CK81" s="30">
        <f>IFERROR(CI81*CJ81, 0)</f>
        <v/>
      </c>
      <c r="CL81" s="31" t="n"/>
      <c r="CM81" s="32" t="n"/>
      <c r="CN81" s="30">
        <f>IFERROR(CL81*CM81, 0)</f>
        <v/>
      </c>
      <c r="CO81" s="31" t="n"/>
      <c r="CP81" s="32" t="n"/>
      <c r="CQ81" s="30">
        <f>IFERROR(CO81*CP81, 0)</f>
        <v/>
      </c>
      <c r="CR81" s="31" t="n"/>
      <c r="CS81" s="32" t="n"/>
      <c r="CT81" s="30">
        <f>IFERROR(CR81*CS81, 0)</f>
        <v/>
      </c>
      <c r="CU81" s="33">
        <f>IFERROR(SUM(F81,I81,L81,O81,R81,U81,X81,AA81,AD81,AG81,AJ81,AM81,AP81,AS81,AV81,AY81,BB81,BE81,BH81,BK81,BN81,BQ81,BT81,BW81,BZ81,CC81,CF81,CI81,CL81,CO81,CR81), 0)</f>
        <v/>
      </c>
      <c r="CV81" s="30">
        <f>IFERROR(AVERAGE(G81,J81,M81,P81,S81,V81,Y81,AB81,AE81,AH81,AK81,AN81,AQ81,AT81,AW81,AZ81,BC81,BF81,BI81,BL81,BO81,BR81,BU81,BX81,CA81,CD81,CG81,CJ81,CM81,CP81,CS81), 0)</f>
        <v/>
      </c>
      <c r="CW81" s="30">
        <f>CU81*CV81</f>
        <v/>
      </c>
    </row>
    <row r="82" ht="15.75" customHeight="1">
      <c r="A82" s="21" t="inlineStr">
        <is>
          <t>Arveja doña lupe</t>
        </is>
      </c>
      <c r="B82" s="21" t="inlineStr">
        <is>
          <t>Und</t>
        </is>
      </c>
      <c r="C82" s="34" t="n"/>
      <c r="D82" s="32" t="n"/>
      <c r="E82" s="32" t="n"/>
      <c r="F82" s="31" t="n"/>
      <c r="G82" s="32" t="n"/>
      <c r="H82" s="30">
        <f>IFERROR(F82*G82, 0)</f>
        <v/>
      </c>
      <c r="I82" s="31" t="n"/>
      <c r="J82" s="32" t="n"/>
      <c r="K82" s="30">
        <f>IFERROR(I82*J82, 0)</f>
        <v/>
      </c>
      <c r="L82" s="31" t="n"/>
      <c r="M82" s="32" t="n"/>
      <c r="N82" s="30">
        <f>IFERROR(L82*M82, 0)</f>
        <v/>
      </c>
      <c r="O82" s="31" t="n"/>
      <c r="P82" s="32" t="n"/>
      <c r="Q82" s="30">
        <f>IFERROR(O82*P82, 0)</f>
        <v/>
      </c>
      <c r="R82" s="31" t="n"/>
      <c r="S82" s="32" t="n"/>
      <c r="T82" s="30">
        <f>IFERROR(R82*S82, 0)</f>
        <v/>
      </c>
      <c r="U82" s="31" t="n"/>
      <c r="V82" s="32" t="n"/>
      <c r="W82" s="30">
        <f>IFERROR(U82*V82, 0)</f>
        <v/>
      </c>
      <c r="X82" s="31" t="n"/>
      <c r="Y82" s="32" t="n"/>
      <c r="Z82" s="30">
        <f>IFERROR(X82*Y82, 0)</f>
        <v/>
      </c>
      <c r="AA82" s="31" t="n"/>
      <c r="AB82" s="32" t="n"/>
      <c r="AC82" s="30">
        <f>IFERROR(AA82*AB82, 0)</f>
        <v/>
      </c>
      <c r="AD82" s="31" t="n"/>
      <c r="AE82" s="32" t="n"/>
      <c r="AF82" s="30">
        <f>IFERROR(AD82*AE82, 0)</f>
        <v/>
      </c>
      <c r="AG82" s="31" t="n"/>
      <c r="AH82" s="32" t="n"/>
      <c r="AI82" s="30">
        <f>IFERROR(AG82*AH82, 0)</f>
        <v/>
      </c>
      <c r="AJ82" s="31" t="n"/>
      <c r="AK82" s="32" t="n"/>
      <c r="AL82" s="30">
        <f>IFERROR(AJ82*AK82, 0)</f>
        <v/>
      </c>
      <c r="AM82" s="31" t="n"/>
      <c r="AN82" s="32" t="n"/>
      <c r="AO82" s="30">
        <f>IFERROR(AM82*AN82, 0)</f>
        <v/>
      </c>
      <c r="AP82" s="31" t="n"/>
      <c r="AQ82" s="32" t="n"/>
      <c r="AR82" s="30">
        <f>IFERROR(AP82*AQ82, 0)</f>
        <v/>
      </c>
      <c r="AS82" s="31" t="n"/>
      <c r="AT82" s="32" t="n"/>
      <c r="AU82" s="30">
        <f>IFERROR(AS82*AT82, 0)</f>
        <v/>
      </c>
      <c r="AV82" s="31" t="n"/>
      <c r="AW82" s="32" t="n"/>
      <c r="AX82" s="30">
        <f>IFERROR(AV82*AW82, 0)</f>
        <v/>
      </c>
      <c r="AY82" s="31" t="n"/>
      <c r="AZ82" s="32" t="n"/>
      <c r="BA82" s="30">
        <f>IFERROR(AY82*AZ82, 0)</f>
        <v/>
      </c>
      <c r="BB82" s="31" t="n"/>
      <c r="BC82" s="32" t="n"/>
      <c r="BD82" s="30">
        <f>IFERROR(BB82*BC82, 0)</f>
        <v/>
      </c>
      <c r="BE82" s="31" t="n"/>
      <c r="BF82" s="32" t="n"/>
      <c r="BG82" s="30">
        <f>IFERROR(BE82*BF82, 0)</f>
        <v/>
      </c>
      <c r="BH82" s="31" t="n"/>
      <c r="BI82" s="32" t="n"/>
      <c r="BJ82" s="30">
        <f>IFERROR(BH82*BI82, 0)</f>
        <v/>
      </c>
      <c r="BK82" s="31" t="n"/>
      <c r="BL82" s="32" t="n"/>
      <c r="BM82" s="30">
        <f>IFERROR(BK82*BL82, 0)</f>
        <v/>
      </c>
      <c r="BN82" s="31" t="n"/>
      <c r="BO82" s="32" t="n"/>
      <c r="BP82" s="30">
        <f>IFERROR(BN82*BO82, 0)</f>
        <v/>
      </c>
      <c r="BQ82" s="31" t="n"/>
      <c r="BR82" s="32" t="n"/>
      <c r="BS82" s="30">
        <f>IFERROR(BQ82*BR82, 0)</f>
        <v/>
      </c>
      <c r="BT82" s="31" t="n"/>
      <c r="BU82" s="32" t="n"/>
      <c r="BV82" s="30">
        <f>IFERROR(BT82*BU82, 0)</f>
        <v/>
      </c>
      <c r="BW82" s="31" t="n"/>
      <c r="BX82" s="32" t="n"/>
      <c r="BY82" s="30">
        <f>IFERROR(BW82*BX82, 0)</f>
        <v/>
      </c>
      <c r="BZ82" s="31" t="n"/>
      <c r="CA82" s="32" t="n"/>
      <c r="CB82" s="30">
        <f>IFERROR(BZ82*CA82, 0)</f>
        <v/>
      </c>
      <c r="CC82" s="31" t="n"/>
      <c r="CD82" s="32" t="n"/>
      <c r="CE82" s="30">
        <f>IFERROR(CC82*CD82, 0)</f>
        <v/>
      </c>
      <c r="CF82" s="31" t="n"/>
      <c r="CG82" s="32" t="n"/>
      <c r="CH82" s="30">
        <f>IFERROR(CF82*CG82, 0)</f>
        <v/>
      </c>
      <c r="CI82" s="31" t="n"/>
      <c r="CJ82" s="32" t="n"/>
      <c r="CK82" s="30">
        <f>IFERROR(CI82*CJ82, 0)</f>
        <v/>
      </c>
      <c r="CL82" s="31" t="n"/>
      <c r="CM82" s="32" t="n"/>
      <c r="CN82" s="30">
        <f>IFERROR(CL82*CM82, 0)</f>
        <v/>
      </c>
      <c r="CO82" s="31" t="n"/>
      <c r="CP82" s="32" t="n"/>
      <c r="CQ82" s="30">
        <f>IFERROR(CO82*CP82, 0)</f>
        <v/>
      </c>
      <c r="CR82" s="31" t="n"/>
      <c r="CS82" s="32" t="n"/>
      <c r="CT82" s="30">
        <f>IFERROR(CR82*CS82, 0)</f>
        <v/>
      </c>
      <c r="CU82" s="33">
        <f>IFERROR(SUM(F82,I82,L82,O82,R82,U82,X82,AA82,AD82,AG82,AJ82,AM82,AP82,AS82,AV82,AY82,BB82,BE82,BH82,BK82,BN82,BQ82,BT82,BW82,BZ82,CC82,CF82,CI82,CL82,CO82,CR82), 0)</f>
        <v/>
      </c>
      <c r="CV82" s="30">
        <f>IFERROR(AVERAGE(G82,J82,M82,P82,S82,V82,Y82,AB82,AE82,AH82,AK82,AN82,AQ82,AT82,AW82,AZ82,BC82,BF82,BI82,BL82,BO82,BR82,BU82,BX82,CA82,CD82,CG82,CJ82,CM82,CP82,CS82), 0)</f>
        <v/>
      </c>
      <c r="CW82" s="30">
        <f>CU82*CV82</f>
        <v/>
      </c>
    </row>
    <row r="83" ht="15.75" customHeight="1">
      <c r="A83" s="21" t="inlineStr">
        <is>
          <t>Mezcla liquida de limon</t>
        </is>
      </c>
      <c r="B83" s="21" t="inlineStr">
        <is>
          <t>Und</t>
        </is>
      </c>
      <c r="C83" s="34" t="n"/>
      <c r="D83" s="32" t="n"/>
      <c r="E83" s="32" t="n"/>
      <c r="F83" s="31" t="n"/>
      <c r="G83" s="32" t="n"/>
      <c r="H83" s="30">
        <f>IFERROR(F83*G83, 0)</f>
        <v/>
      </c>
      <c r="I83" s="31" t="n"/>
      <c r="J83" s="32" t="n"/>
      <c r="K83" s="30">
        <f>IFERROR(I83*J83, 0)</f>
        <v/>
      </c>
      <c r="L83" s="31" t="n"/>
      <c r="M83" s="32" t="n"/>
      <c r="N83" s="30">
        <f>IFERROR(L83*M83, 0)</f>
        <v/>
      </c>
      <c r="O83" s="31" t="n"/>
      <c r="P83" s="32" t="n"/>
      <c r="Q83" s="30">
        <f>IFERROR(O83*P83, 0)</f>
        <v/>
      </c>
      <c r="R83" s="31" t="n">
        <v>3</v>
      </c>
      <c r="S83" s="32" t="n">
        <v>19100</v>
      </c>
      <c r="T83" s="30" t="n">
        <v>57300</v>
      </c>
      <c r="U83" s="31" t="n"/>
      <c r="V83" s="32" t="n"/>
      <c r="W83" s="30">
        <f>IFERROR(U83*V83, 0)</f>
        <v/>
      </c>
      <c r="X83" s="31" t="n"/>
      <c r="Y83" s="32" t="n"/>
      <c r="Z83" s="30">
        <f>IFERROR(X83*Y83, 0)</f>
        <v/>
      </c>
      <c r="AA83" s="31" t="n"/>
      <c r="AB83" s="32" t="n"/>
      <c r="AC83" s="30">
        <f>IFERROR(AA83*AB83, 0)</f>
        <v/>
      </c>
      <c r="AD83" s="31" t="n"/>
      <c r="AE83" s="32" t="n"/>
      <c r="AF83" s="30">
        <f>IFERROR(AD83*AE83, 0)</f>
        <v/>
      </c>
      <c r="AG83" s="31" t="n"/>
      <c r="AH83" s="32" t="n"/>
      <c r="AI83" s="30">
        <f>IFERROR(AG83*AH83, 0)</f>
        <v/>
      </c>
      <c r="AJ83" s="31" t="n"/>
      <c r="AK83" s="32" t="n"/>
      <c r="AL83" s="30">
        <f>IFERROR(AJ83*AK83, 0)</f>
        <v/>
      </c>
      <c r="AM83" s="31" t="n"/>
      <c r="AN83" s="32" t="n"/>
      <c r="AO83" s="30">
        <f>IFERROR(AM83*AN83, 0)</f>
        <v/>
      </c>
      <c r="AP83" s="31" t="n"/>
      <c r="AQ83" s="32" t="n"/>
      <c r="AR83" s="30">
        <f>IFERROR(AP83*AQ83, 0)</f>
        <v/>
      </c>
      <c r="AS83" s="31" t="n"/>
      <c r="AT83" s="32" t="n"/>
      <c r="AU83" s="30">
        <f>IFERROR(AS83*AT83, 0)</f>
        <v/>
      </c>
      <c r="AV83" s="31" t="n"/>
      <c r="AW83" s="32" t="n"/>
      <c r="AX83" s="30">
        <f>IFERROR(AV83*AW83, 0)</f>
        <v/>
      </c>
      <c r="AY83" s="31" t="n"/>
      <c r="AZ83" s="32" t="n"/>
      <c r="BA83" s="30">
        <f>IFERROR(AY83*AZ83, 0)</f>
        <v/>
      </c>
      <c r="BB83" s="31" t="n"/>
      <c r="BC83" s="32" t="n"/>
      <c r="BD83" s="30">
        <f>IFERROR(BB83*BC83, 0)</f>
        <v/>
      </c>
      <c r="BE83" s="31" t="n"/>
      <c r="BF83" s="32" t="n"/>
      <c r="BG83" s="30">
        <f>IFERROR(BE83*BF83, 0)</f>
        <v/>
      </c>
      <c r="BH83" s="31" t="n"/>
      <c r="BI83" s="32" t="n"/>
      <c r="BJ83" s="30">
        <f>IFERROR(BH83*BI83, 0)</f>
        <v/>
      </c>
      <c r="BK83" s="31" t="n"/>
      <c r="BL83" s="32" t="n"/>
      <c r="BM83" s="30">
        <f>IFERROR(BK83*BL83, 0)</f>
        <v/>
      </c>
      <c r="BN83" s="31" t="n"/>
      <c r="BO83" s="32" t="n"/>
      <c r="BP83" s="30">
        <f>IFERROR(BN83*BO83, 0)</f>
        <v/>
      </c>
      <c r="BQ83" s="31" t="n">
        <v>12</v>
      </c>
      <c r="BR83" s="32" t="n">
        <v>12000</v>
      </c>
      <c r="BS83" s="30" t="n">
        <v>144000</v>
      </c>
      <c r="BT83" s="31" t="n"/>
      <c r="BU83" s="32" t="n"/>
      <c r="BV83" s="30">
        <f>IFERROR(BT83*BU83, 0)</f>
        <v/>
      </c>
      <c r="BW83" s="31" t="n">
        <v>3</v>
      </c>
      <c r="BX83" s="32" t="n">
        <v>19100</v>
      </c>
      <c r="BY83" s="30" t="n">
        <v>57300</v>
      </c>
      <c r="BZ83" s="31" t="n"/>
      <c r="CA83" s="32" t="n"/>
      <c r="CB83" s="30">
        <f>IFERROR(BZ83*CA83, 0)</f>
        <v/>
      </c>
      <c r="CC83" s="31" t="n"/>
      <c r="CD83" s="32" t="n"/>
      <c r="CE83" s="30">
        <f>IFERROR(CC83*CD83, 0)</f>
        <v/>
      </c>
      <c r="CF83" s="31" t="n"/>
      <c r="CG83" s="32" t="n"/>
      <c r="CH83" s="30">
        <f>IFERROR(CF83*CG83, 0)</f>
        <v/>
      </c>
      <c r="CI83" s="31" t="n"/>
      <c r="CJ83" s="32" t="n"/>
      <c r="CK83" s="30">
        <f>IFERROR(CI83*CJ83, 0)</f>
        <v/>
      </c>
      <c r="CL83" s="31" t="n"/>
      <c r="CM83" s="32" t="n"/>
      <c r="CN83" s="30">
        <f>IFERROR(CL83*CM83, 0)</f>
        <v/>
      </c>
      <c r="CO83" s="31" t="n"/>
      <c r="CP83" s="32" t="n"/>
      <c r="CQ83" s="30">
        <f>IFERROR(CO83*CP83, 0)</f>
        <v/>
      </c>
      <c r="CR83" s="31" t="n"/>
      <c r="CS83" s="32" t="n"/>
      <c r="CT83" s="30">
        <f>IFERROR(CR83*CS83, 0)</f>
        <v/>
      </c>
      <c r="CU83" s="33">
        <f>IFERROR(SUM(F83,I83,L83,O83,R83,U83,X83,AA83,AD83,AG83,AJ83,AM83,AP83,AS83,AV83,AY83,BB83,BE83,BH83,BK83,BN83,BQ83,BT83,BW83,BZ83,CC83,CF83,CI83,CL83,CO83,CR83), 0)</f>
        <v/>
      </c>
      <c r="CV83" s="30">
        <f>IFERROR(AVERAGE(G83,J83,M83,P83,S83,V83,Y83,AB83,AE83,AH83,AK83,AN83,AQ83,AT83,AW83,AZ83,BC83,BF83,BI83,BL83,BO83,BR83,BU83,BX83,CA83,CD83,CG83,CJ83,CM83,CP83,CS83), 0)</f>
        <v/>
      </c>
      <c r="CW83" s="30">
        <f>CU83*CV83</f>
        <v/>
      </c>
    </row>
    <row r="84" ht="15.75" customHeight="1">
      <c r="A84" s="21" t="inlineStr">
        <is>
          <t>Pulpas de frutas</t>
        </is>
      </c>
      <c r="B84" s="21" t="inlineStr">
        <is>
          <t>Und</t>
        </is>
      </c>
      <c r="C84" s="34" t="n"/>
      <c r="D84" s="32" t="n"/>
      <c r="E84" s="32" t="n"/>
      <c r="F84" s="31" t="n"/>
      <c r="G84" s="32" t="n"/>
      <c r="H84" s="30">
        <f>IFERROR(F84*G84, 0)</f>
        <v/>
      </c>
      <c r="I84" s="31" t="n"/>
      <c r="J84" s="32" t="n"/>
      <c r="K84" s="30">
        <f>IFERROR(I84*J84, 0)</f>
        <v/>
      </c>
      <c r="L84" s="31" t="n"/>
      <c r="M84" s="32" t="n"/>
      <c r="N84" s="30">
        <f>IFERROR(L84*M84, 0)</f>
        <v/>
      </c>
      <c r="O84" s="31" t="n"/>
      <c r="P84" s="32" t="n"/>
      <c r="Q84" s="30">
        <f>IFERROR(O84*P84, 0)</f>
        <v/>
      </c>
      <c r="R84" s="31" t="n"/>
      <c r="S84" s="32" t="n"/>
      <c r="T84" s="30">
        <f>IFERROR(R84*S84, 0)</f>
        <v/>
      </c>
      <c r="U84" s="31" t="n"/>
      <c r="V84" s="32" t="n"/>
      <c r="W84" s="30">
        <f>IFERROR(U84*V84, 0)</f>
        <v/>
      </c>
      <c r="X84" s="31" t="n"/>
      <c r="Y84" s="32" t="n"/>
      <c r="Z84" s="30">
        <f>IFERROR(X84*Y84, 0)</f>
        <v/>
      </c>
      <c r="AA84" s="31" t="n"/>
      <c r="AB84" s="32" t="n"/>
      <c r="AC84" s="30">
        <f>IFERROR(AA84*AB84, 0)</f>
        <v/>
      </c>
      <c r="AD84" s="31" t="n"/>
      <c r="AE84" s="32" t="n"/>
      <c r="AF84" s="30">
        <f>IFERROR(AD84*AE84, 0)</f>
        <v/>
      </c>
      <c r="AG84" s="31" t="n"/>
      <c r="AH84" s="32" t="n"/>
      <c r="AI84" s="30">
        <f>IFERROR(AG84*AH84, 0)</f>
        <v/>
      </c>
      <c r="AJ84" s="31" t="n"/>
      <c r="AK84" s="32" t="n"/>
      <c r="AL84" s="30">
        <f>IFERROR(AJ84*AK84, 0)</f>
        <v/>
      </c>
      <c r="AM84" s="31" t="n"/>
      <c r="AN84" s="32" t="n"/>
      <c r="AO84" s="30">
        <f>IFERROR(AM84*AN84, 0)</f>
        <v/>
      </c>
      <c r="AP84" s="31" t="n"/>
      <c r="AQ84" s="32" t="n"/>
      <c r="AR84" s="30">
        <f>IFERROR(AP84*AQ84, 0)</f>
        <v/>
      </c>
      <c r="AS84" s="31" t="n"/>
      <c r="AT84" s="32" t="n"/>
      <c r="AU84" s="30">
        <f>IFERROR(AS84*AT84, 0)</f>
        <v/>
      </c>
      <c r="AV84" s="31" t="n"/>
      <c r="AW84" s="32" t="n"/>
      <c r="AX84" s="30">
        <f>IFERROR(AV84*AW84, 0)</f>
        <v/>
      </c>
      <c r="AY84" s="31" t="n"/>
      <c r="AZ84" s="32" t="n"/>
      <c r="BA84" s="30">
        <f>IFERROR(AY84*AZ84, 0)</f>
        <v/>
      </c>
      <c r="BB84" s="31" t="n"/>
      <c r="BC84" s="32" t="n"/>
      <c r="BD84" s="30">
        <f>IFERROR(BB84*BC84, 0)</f>
        <v/>
      </c>
      <c r="BE84" s="31" t="n"/>
      <c r="BF84" s="32" t="n"/>
      <c r="BG84" s="30">
        <f>IFERROR(BE84*BF84, 0)</f>
        <v/>
      </c>
      <c r="BH84" s="31" t="n"/>
      <c r="BI84" s="32" t="n"/>
      <c r="BJ84" s="30">
        <f>IFERROR(BH84*BI84, 0)</f>
        <v/>
      </c>
      <c r="BK84" s="31" t="n"/>
      <c r="BL84" s="32" t="n"/>
      <c r="BM84" s="30">
        <f>IFERROR(BK84*BL84, 0)</f>
        <v/>
      </c>
      <c r="BN84" s="31" t="n"/>
      <c r="BO84" s="32" t="n"/>
      <c r="BP84" s="30">
        <f>IFERROR(BN84*BO84, 0)</f>
        <v/>
      </c>
      <c r="BQ84" s="31" t="n"/>
      <c r="BR84" s="32" t="n"/>
      <c r="BS84" s="30">
        <f>IFERROR(BQ84*BR84, 0)</f>
        <v/>
      </c>
      <c r="BT84" s="31" t="n"/>
      <c r="BU84" s="32" t="n"/>
      <c r="BV84" s="30">
        <f>IFERROR(BT84*BU84, 0)</f>
        <v/>
      </c>
      <c r="BW84" s="31" t="n"/>
      <c r="BX84" s="32" t="n"/>
      <c r="BY84" s="30">
        <f>IFERROR(BW84*BX84, 0)</f>
        <v/>
      </c>
      <c r="BZ84" s="31" t="n"/>
      <c r="CA84" s="32" t="n"/>
      <c r="CB84" s="30">
        <f>IFERROR(BZ84*CA84, 0)</f>
        <v/>
      </c>
      <c r="CC84" s="31" t="n"/>
      <c r="CD84" s="32" t="n"/>
      <c r="CE84" s="30">
        <f>IFERROR(CC84*CD84, 0)</f>
        <v/>
      </c>
      <c r="CF84" s="31" t="n"/>
      <c r="CG84" s="32" t="n"/>
      <c r="CH84" s="30">
        <f>IFERROR(CF84*CG84, 0)</f>
        <v/>
      </c>
      <c r="CI84" s="31" t="n"/>
      <c r="CJ84" s="32" t="n"/>
      <c r="CK84" s="30">
        <f>IFERROR(CI84*CJ84, 0)</f>
        <v/>
      </c>
      <c r="CL84" s="31" t="n"/>
      <c r="CM84" s="32" t="n"/>
      <c r="CN84" s="30">
        <f>IFERROR(CL84*CM84, 0)</f>
        <v/>
      </c>
      <c r="CO84" s="31" t="n"/>
      <c r="CP84" s="32" t="n"/>
      <c r="CQ84" s="30">
        <f>IFERROR(CO84*CP84, 0)</f>
        <v/>
      </c>
      <c r="CR84" s="31" t="n"/>
      <c r="CS84" s="32" t="n"/>
      <c r="CT84" s="30">
        <f>IFERROR(CR84*CS84, 0)</f>
        <v/>
      </c>
      <c r="CU84" s="33">
        <f>IFERROR(SUM(F84,I84,L84,O84,R84,U84,X84,AA84,AD84,AG84,AJ84,AM84,AP84,AS84,AV84,AY84,BB84,BE84,BH84,BK84,BN84,BQ84,BT84,BW84,BZ84,CC84,CF84,CI84,CL84,CO84,CR84), 0)</f>
        <v/>
      </c>
      <c r="CV84" s="30">
        <f>IFERROR(AVERAGE(G84,J84,M84,P84,S84,V84,Y84,AB84,AE84,AH84,AK84,AN84,AQ84,AT84,AW84,AZ84,BC84,BF84,BI84,BL84,BO84,BR84,BU84,BX84,CA84,CD84,CG84,CJ84,CM84,CP84,CS84), 0)</f>
        <v/>
      </c>
      <c r="CW84" s="30">
        <f>CU84*CV84</f>
        <v/>
      </c>
    </row>
    <row r="85" ht="15.75" customHeight="1">
      <c r="A85" s="21" t="inlineStr">
        <is>
          <t>Color isabel</t>
        </is>
      </c>
      <c r="B85" s="21" t="inlineStr">
        <is>
          <t>Und</t>
        </is>
      </c>
      <c r="C85" s="34" t="n"/>
      <c r="D85" s="32" t="n"/>
      <c r="E85" s="32" t="n"/>
      <c r="F85" s="31" t="n"/>
      <c r="G85" s="32" t="n"/>
      <c r="H85" s="30">
        <f>IFERROR(F85*G85, 0)</f>
        <v/>
      </c>
      <c r="I85" s="31" t="n"/>
      <c r="J85" s="32" t="n"/>
      <c r="K85" s="30">
        <f>IFERROR(I85*J85, 0)</f>
        <v/>
      </c>
      <c r="L85" s="31" t="n"/>
      <c r="M85" s="32" t="n"/>
      <c r="N85" s="30">
        <f>IFERROR(L85*M85, 0)</f>
        <v/>
      </c>
      <c r="O85" s="31" t="n"/>
      <c r="P85" s="32" t="n"/>
      <c r="Q85" s="30">
        <f>IFERROR(O85*P85, 0)</f>
        <v/>
      </c>
      <c r="R85" s="31" t="n"/>
      <c r="S85" s="32" t="n"/>
      <c r="T85" s="30">
        <f>IFERROR(R85*S85, 0)</f>
        <v/>
      </c>
      <c r="U85" s="31" t="n"/>
      <c r="V85" s="32" t="n"/>
      <c r="W85" s="30">
        <f>IFERROR(U85*V85, 0)</f>
        <v/>
      </c>
      <c r="X85" s="31" t="n"/>
      <c r="Y85" s="32" t="n"/>
      <c r="Z85" s="30">
        <f>IFERROR(X85*Y85, 0)</f>
        <v/>
      </c>
      <c r="AA85" s="31" t="n"/>
      <c r="AB85" s="32" t="n"/>
      <c r="AC85" s="30">
        <f>IFERROR(AA85*AB85, 0)</f>
        <v/>
      </c>
      <c r="AD85" s="31" t="n"/>
      <c r="AE85" s="32" t="n"/>
      <c r="AF85" s="30">
        <f>IFERROR(AD85*AE85, 0)</f>
        <v/>
      </c>
      <c r="AG85" s="31" t="n"/>
      <c r="AH85" s="32" t="n"/>
      <c r="AI85" s="30">
        <f>IFERROR(AG85*AH85, 0)</f>
        <v/>
      </c>
      <c r="AJ85" s="31" t="n"/>
      <c r="AK85" s="32" t="n"/>
      <c r="AL85" s="30">
        <f>IFERROR(AJ85*AK85, 0)</f>
        <v/>
      </c>
      <c r="AM85" s="31" t="n"/>
      <c r="AN85" s="32" t="n"/>
      <c r="AO85" s="30">
        <f>IFERROR(AM85*AN85, 0)</f>
        <v/>
      </c>
      <c r="AP85" s="31" t="n"/>
      <c r="AQ85" s="32" t="n"/>
      <c r="AR85" s="30">
        <f>IFERROR(AP85*AQ85, 0)</f>
        <v/>
      </c>
      <c r="AS85" s="31" t="n"/>
      <c r="AT85" s="32" t="n"/>
      <c r="AU85" s="30">
        <f>IFERROR(AS85*AT85, 0)</f>
        <v/>
      </c>
      <c r="AV85" s="31" t="n"/>
      <c r="AW85" s="32" t="n"/>
      <c r="AX85" s="30">
        <f>IFERROR(AV85*AW85, 0)</f>
        <v/>
      </c>
      <c r="AY85" s="31" t="n"/>
      <c r="AZ85" s="32" t="n"/>
      <c r="BA85" s="30">
        <f>IFERROR(AY85*AZ85, 0)</f>
        <v/>
      </c>
      <c r="BB85" s="31" t="n"/>
      <c r="BC85" s="32" t="n"/>
      <c r="BD85" s="30">
        <f>IFERROR(BB85*BC85, 0)</f>
        <v/>
      </c>
      <c r="BE85" s="31" t="n"/>
      <c r="BF85" s="32" t="n"/>
      <c r="BG85" s="30">
        <f>IFERROR(BE85*BF85, 0)</f>
        <v/>
      </c>
      <c r="BH85" s="31" t="n"/>
      <c r="BI85" s="32" t="n"/>
      <c r="BJ85" s="30">
        <f>IFERROR(BH85*BI85, 0)</f>
        <v/>
      </c>
      <c r="BK85" s="31" t="n"/>
      <c r="BL85" s="32" t="n"/>
      <c r="BM85" s="30">
        <f>IFERROR(BK85*BL85, 0)</f>
        <v/>
      </c>
      <c r="BN85" s="31" t="n"/>
      <c r="BO85" s="32" t="n"/>
      <c r="BP85" s="30">
        <f>IFERROR(BN85*BO85, 0)</f>
        <v/>
      </c>
      <c r="BQ85" s="31" t="n"/>
      <c r="BR85" s="32" t="n"/>
      <c r="BS85" s="30">
        <f>IFERROR(BQ85*BR85, 0)</f>
        <v/>
      </c>
      <c r="BT85" s="31" t="n"/>
      <c r="BU85" s="32" t="n"/>
      <c r="BV85" s="30">
        <f>IFERROR(BT85*BU85, 0)</f>
        <v/>
      </c>
      <c r="BW85" s="31" t="n"/>
      <c r="BX85" s="32" t="n"/>
      <c r="BY85" s="30">
        <f>IFERROR(BW85*BX85, 0)</f>
        <v/>
      </c>
      <c r="BZ85" s="31" t="n"/>
      <c r="CA85" s="32" t="n"/>
      <c r="CB85" s="30">
        <f>IFERROR(BZ85*CA85, 0)</f>
        <v/>
      </c>
      <c r="CC85" s="31" t="n"/>
      <c r="CD85" s="32" t="n"/>
      <c r="CE85" s="30">
        <f>IFERROR(CC85*CD85, 0)</f>
        <v/>
      </c>
      <c r="CF85" s="31" t="n"/>
      <c r="CG85" s="32" t="n"/>
      <c r="CH85" s="30">
        <f>IFERROR(CF85*CG85, 0)</f>
        <v/>
      </c>
      <c r="CI85" s="31" t="n"/>
      <c r="CJ85" s="32" t="n"/>
      <c r="CK85" s="30">
        <f>IFERROR(CI85*CJ85, 0)</f>
        <v/>
      </c>
      <c r="CL85" s="31" t="n"/>
      <c r="CM85" s="32" t="n"/>
      <c r="CN85" s="30">
        <f>IFERROR(CL85*CM85, 0)</f>
        <v/>
      </c>
      <c r="CO85" s="31" t="n"/>
      <c r="CP85" s="32" t="n"/>
      <c r="CQ85" s="30">
        <f>IFERROR(CO85*CP85, 0)</f>
        <v/>
      </c>
      <c r="CR85" s="31" t="n"/>
      <c r="CS85" s="32" t="n"/>
      <c r="CT85" s="30">
        <f>IFERROR(CR85*CS85, 0)</f>
        <v/>
      </c>
      <c r="CU85" s="33">
        <f>IFERROR(SUM(F85,I85,L85,O85,R85,U85,X85,AA85,AD85,AG85,AJ85,AM85,AP85,AS85,AV85,AY85,BB85,BE85,BH85,BK85,BN85,BQ85,BT85,BW85,BZ85,CC85,CF85,CI85,CL85,CO85,CR85), 0)</f>
        <v/>
      </c>
      <c r="CV85" s="30">
        <f>IFERROR(AVERAGE(G85,J85,M85,P85,S85,V85,Y85,AB85,AE85,AH85,AK85,AN85,AQ85,AT85,AW85,AZ85,BC85,BF85,BI85,BL85,BO85,BR85,BU85,BX85,CA85,CD85,CG85,CJ85,CM85,CP85,CS85), 0)</f>
        <v/>
      </c>
      <c r="CW85" s="30">
        <f>CU85*CV85</f>
        <v/>
      </c>
    </row>
    <row r="86" ht="15.75" customHeight="1">
      <c r="A86" s="21" t="inlineStr">
        <is>
          <t>Frijol propapas 200 g</t>
        </is>
      </c>
      <c r="B86" s="21" t="inlineStr">
        <is>
          <t>Und</t>
        </is>
      </c>
      <c r="C86" s="34" t="n"/>
      <c r="D86" s="32" t="n"/>
      <c r="E86" s="32" t="n"/>
      <c r="F86" s="31" t="n"/>
      <c r="G86" s="32" t="n"/>
      <c r="H86" s="30">
        <f>IFERROR(F86*G86, 0)</f>
        <v/>
      </c>
      <c r="I86" s="31" t="n"/>
      <c r="J86" s="32" t="n"/>
      <c r="K86" s="30">
        <f>IFERROR(I86*J86, 0)</f>
        <v/>
      </c>
      <c r="L86" s="31" t="n"/>
      <c r="M86" s="32" t="n"/>
      <c r="N86" s="30">
        <f>IFERROR(L86*M86, 0)</f>
        <v/>
      </c>
      <c r="O86" s="31" t="n"/>
      <c r="P86" s="32" t="n"/>
      <c r="Q86" s="30">
        <f>IFERROR(O86*P86, 0)</f>
        <v/>
      </c>
      <c r="R86" s="31" t="n"/>
      <c r="S86" s="32" t="n"/>
      <c r="T86" s="30">
        <f>IFERROR(R86*S86, 0)</f>
        <v/>
      </c>
      <c r="U86" s="31" t="n"/>
      <c r="V86" s="32" t="n"/>
      <c r="W86" s="30">
        <f>IFERROR(U86*V86, 0)</f>
        <v/>
      </c>
      <c r="X86" s="31" t="n"/>
      <c r="Y86" s="32" t="n"/>
      <c r="Z86" s="30">
        <f>IFERROR(X86*Y86, 0)</f>
        <v/>
      </c>
      <c r="AA86" s="31" t="n"/>
      <c r="AB86" s="32" t="n"/>
      <c r="AC86" s="30">
        <f>IFERROR(AA86*AB86, 0)</f>
        <v/>
      </c>
      <c r="AD86" s="31" t="n"/>
      <c r="AE86" s="32" t="n"/>
      <c r="AF86" s="30">
        <f>IFERROR(AD86*AE86, 0)</f>
        <v/>
      </c>
      <c r="AG86" s="31" t="n"/>
      <c r="AH86" s="32" t="n"/>
      <c r="AI86" s="30">
        <f>IFERROR(AG86*AH86, 0)</f>
        <v/>
      </c>
      <c r="AJ86" s="31" t="n"/>
      <c r="AK86" s="32" t="n"/>
      <c r="AL86" s="30">
        <f>IFERROR(AJ86*AK86, 0)</f>
        <v/>
      </c>
      <c r="AM86" s="31" t="n"/>
      <c r="AN86" s="32" t="n"/>
      <c r="AO86" s="30">
        <f>IFERROR(AM86*AN86, 0)</f>
        <v/>
      </c>
      <c r="AP86" s="31" t="n"/>
      <c r="AQ86" s="32" t="n"/>
      <c r="AR86" s="30">
        <f>IFERROR(AP86*AQ86, 0)</f>
        <v/>
      </c>
      <c r="AS86" s="31" t="n"/>
      <c r="AT86" s="32" t="n"/>
      <c r="AU86" s="30">
        <f>IFERROR(AS86*AT86, 0)</f>
        <v/>
      </c>
      <c r="AV86" s="31" t="n"/>
      <c r="AW86" s="32" t="n"/>
      <c r="AX86" s="30">
        <f>IFERROR(AV86*AW86, 0)</f>
        <v/>
      </c>
      <c r="AY86" s="31" t="n"/>
      <c r="AZ86" s="32" t="n"/>
      <c r="BA86" s="30">
        <f>IFERROR(AY86*AZ86, 0)</f>
        <v/>
      </c>
      <c r="BB86" s="31" t="n"/>
      <c r="BC86" s="32" t="n"/>
      <c r="BD86" s="30">
        <f>IFERROR(BB86*BC86, 0)</f>
        <v/>
      </c>
      <c r="BE86" s="31" t="n"/>
      <c r="BF86" s="32" t="n"/>
      <c r="BG86" s="30">
        <f>IFERROR(BE86*BF86, 0)</f>
        <v/>
      </c>
      <c r="BH86" s="31" t="n"/>
      <c r="BI86" s="32" t="n"/>
      <c r="BJ86" s="30">
        <f>IFERROR(BH86*BI86, 0)</f>
        <v/>
      </c>
      <c r="BK86" s="31" t="n"/>
      <c r="BL86" s="32" t="n"/>
      <c r="BM86" s="30">
        <f>IFERROR(BK86*BL86, 0)</f>
        <v/>
      </c>
      <c r="BN86" s="31" t="n"/>
      <c r="BO86" s="32" t="n"/>
      <c r="BP86" s="30">
        <f>IFERROR(BN86*BO86, 0)</f>
        <v/>
      </c>
      <c r="BQ86" s="31" t="n"/>
      <c r="BR86" s="32" t="n"/>
      <c r="BS86" s="30">
        <f>IFERROR(BQ86*BR86, 0)</f>
        <v/>
      </c>
      <c r="BT86" s="31" t="n"/>
      <c r="BU86" s="32" t="n"/>
      <c r="BV86" s="30">
        <f>IFERROR(BT86*BU86, 0)</f>
        <v/>
      </c>
      <c r="BW86" s="31" t="n"/>
      <c r="BX86" s="32" t="n"/>
      <c r="BY86" s="30">
        <f>IFERROR(BW86*BX86, 0)</f>
        <v/>
      </c>
      <c r="BZ86" s="31" t="n"/>
      <c r="CA86" s="32" t="n"/>
      <c r="CB86" s="30">
        <f>IFERROR(BZ86*CA86, 0)</f>
        <v/>
      </c>
      <c r="CC86" s="31" t="n"/>
      <c r="CD86" s="32" t="n"/>
      <c r="CE86" s="30">
        <f>IFERROR(CC86*CD86, 0)</f>
        <v/>
      </c>
      <c r="CF86" s="31" t="n"/>
      <c r="CG86" s="32" t="n"/>
      <c r="CH86" s="30">
        <f>IFERROR(CF86*CG86, 0)</f>
        <v/>
      </c>
      <c r="CI86" s="31" t="n"/>
      <c r="CJ86" s="32" t="n"/>
      <c r="CK86" s="30">
        <f>IFERROR(CI86*CJ86, 0)</f>
        <v/>
      </c>
      <c r="CL86" s="31" t="n"/>
      <c r="CM86" s="32" t="n"/>
      <c r="CN86" s="30">
        <f>IFERROR(CL86*CM86, 0)</f>
        <v/>
      </c>
      <c r="CO86" s="31" t="n"/>
      <c r="CP86" s="32" t="n"/>
      <c r="CQ86" s="30">
        <f>IFERROR(CO86*CP86, 0)</f>
        <v/>
      </c>
      <c r="CR86" s="31" t="n"/>
      <c r="CS86" s="32" t="n"/>
      <c r="CT86" s="30">
        <f>IFERROR(CR86*CS86, 0)</f>
        <v/>
      </c>
      <c r="CU86" s="33">
        <f>IFERROR(SUM(F86,I86,L86,O86,R86,U86,X86,AA86,AD86,AG86,AJ86,AM86,AP86,AS86,AV86,AY86,BB86,BE86,BH86,BK86,BN86,BQ86,BT86,BW86,BZ86,CC86,CF86,CI86,CL86,CO86,CR86), 0)</f>
        <v/>
      </c>
      <c r="CV86" s="30">
        <f>IFERROR(AVERAGE(G86,J86,M86,P86,S86,V86,Y86,AB86,AE86,AH86,AK86,AN86,AQ86,AT86,AW86,AZ86,BC86,BF86,BI86,BL86,BO86,BR86,BU86,BX86,CA86,CD86,CG86,CJ86,CM86,CP86,CS86), 0)</f>
        <v/>
      </c>
      <c r="CW86" s="30">
        <f>CU86*CV86</f>
        <v/>
      </c>
    </row>
    <row r="87" ht="15.75" customHeight="1">
      <c r="A87" s="21" t="inlineStr">
        <is>
          <t>Limonada de coco</t>
        </is>
      </c>
      <c r="B87" s="21" t="inlineStr">
        <is>
          <t>Und</t>
        </is>
      </c>
      <c r="C87" s="34" t="n"/>
      <c r="D87" s="32" t="n"/>
      <c r="E87" s="32" t="n"/>
      <c r="F87" s="31" t="n"/>
      <c r="G87" s="32" t="n"/>
      <c r="H87" s="30">
        <f>IFERROR(F87*G87, 0)</f>
        <v/>
      </c>
      <c r="I87" s="31" t="n"/>
      <c r="J87" s="32" t="n"/>
      <c r="K87" s="30">
        <f>IFERROR(I87*J87, 0)</f>
        <v/>
      </c>
      <c r="L87" s="31" t="n"/>
      <c r="M87" s="32" t="n"/>
      <c r="N87" s="30">
        <f>IFERROR(L87*M87, 0)</f>
        <v/>
      </c>
      <c r="O87" s="31" t="n"/>
      <c r="P87" s="32" t="n"/>
      <c r="Q87" s="30">
        <f>IFERROR(O87*P87, 0)</f>
        <v/>
      </c>
      <c r="R87" s="31" t="n"/>
      <c r="S87" s="32" t="n"/>
      <c r="T87" s="30">
        <f>IFERROR(R87*S87, 0)</f>
        <v/>
      </c>
      <c r="U87" s="31" t="n"/>
      <c r="V87" s="32" t="n"/>
      <c r="W87" s="30">
        <f>IFERROR(U87*V87, 0)</f>
        <v/>
      </c>
      <c r="X87" s="31" t="n"/>
      <c r="Y87" s="32" t="n"/>
      <c r="Z87" s="30">
        <f>IFERROR(X87*Y87, 0)</f>
        <v/>
      </c>
      <c r="AA87" s="31" t="n"/>
      <c r="AB87" s="32" t="n"/>
      <c r="AC87" s="30">
        <f>IFERROR(AA87*AB87, 0)</f>
        <v/>
      </c>
      <c r="AD87" s="31" t="n"/>
      <c r="AE87" s="32" t="n"/>
      <c r="AF87" s="30">
        <f>IFERROR(AD87*AE87, 0)</f>
        <v/>
      </c>
      <c r="AG87" s="31" t="n"/>
      <c r="AH87" s="32" t="n"/>
      <c r="AI87" s="30">
        <f>IFERROR(AG87*AH87, 0)</f>
        <v/>
      </c>
      <c r="AJ87" s="31" t="n"/>
      <c r="AK87" s="32" t="n"/>
      <c r="AL87" s="30">
        <f>IFERROR(AJ87*AK87, 0)</f>
        <v/>
      </c>
      <c r="AM87" s="31" t="n"/>
      <c r="AN87" s="32" t="n"/>
      <c r="AO87" s="30">
        <f>IFERROR(AM87*AN87, 0)</f>
        <v/>
      </c>
      <c r="AP87" s="31" t="n"/>
      <c r="AQ87" s="32" t="n"/>
      <c r="AR87" s="30">
        <f>IFERROR(AP87*AQ87, 0)</f>
        <v/>
      </c>
      <c r="AS87" s="31" t="n"/>
      <c r="AT87" s="32" t="n"/>
      <c r="AU87" s="30">
        <f>IFERROR(AS87*AT87, 0)</f>
        <v/>
      </c>
      <c r="AV87" s="31" t="n"/>
      <c r="AW87" s="32" t="n"/>
      <c r="AX87" s="30">
        <f>IFERROR(AV87*AW87, 0)</f>
        <v/>
      </c>
      <c r="AY87" s="31" t="n"/>
      <c r="AZ87" s="32" t="n"/>
      <c r="BA87" s="30">
        <f>IFERROR(AY87*AZ87, 0)</f>
        <v/>
      </c>
      <c r="BB87" s="31" t="n"/>
      <c r="BC87" s="32" t="n"/>
      <c r="BD87" s="30">
        <f>IFERROR(BB87*BC87, 0)</f>
        <v/>
      </c>
      <c r="BE87" s="31" t="n"/>
      <c r="BF87" s="32" t="n"/>
      <c r="BG87" s="30">
        <f>IFERROR(BE87*BF87, 0)</f>
        <v/>
      </c>
      <c r="BH87" s="31" t="n"/>
      <c r="BI87" s="32" t="n"/>
      <c r="BJ87" s="30">
        <f>IFERROR(BH87*BI87, 0)</f>
        <v/>
      </c>
      <c r="BK87" s="31" t="n"/>
      <c r="BL87" s="32" t="n"/>
      <c r="BM87" s="30">
        <f>IFERROR(BK87*BL87, 0)</f>
        <v/>
      </c>
      <c r="BN87" s="31" t="n"/>
      <c r="BO87" s="32" t="n"/>
      <c r="BP87" s="30">
        <f>IFERROR(BN87*BO87, 0)</f>
        <v/>
      </c>
      <c r="BQ87" s="31" t="n"/>
      <c r="BR87" s="32" t="n"/>
      <c r="BS87" s="30">
        <f>IFERROR(BQ87*BR87, 0)</f>
        <v/>
      </c>
      <c r="BT87" s="31" t="n"/>
      <c r="BU87" s="32" t="n"/>
      <c r="BV87" s="30">
        <f>IFERROR(BT87*BU87, 0)</f>
        <v/>
      </c>
      <c r="BW87" s="31" t="n"/>
      <c r="BX87" s="32" t="n"/>
      <c r="BY87" s="30">
        <f>IFERROR(BW87*BX87, 0)</f>
        <v/>
      </c>
      <c r="BZ87" s="31" t="n"/>
      <c r="CA87" s="32" t="n"/>
      <c r="CB87" s="30">
        <f>IFERROR(BZ87*CA87, 0)</f>
        <v/>
      </c>
      <c r="CC87" s="31" t="n"/>
      <c r="CD87" s="32" t="n"/>
      <c r="CE87" s="30">
        <f>IFERROR(CC87*CD87, 0)</f>
        <v/>
      </c>
      <c r="CF87" s="31" t="n"/>
      <c r="CG87" s="32" t="n"/>
      <c r="CH87" s="30">
        <f>IFERROR(CF87*CG87, 0)</f>
        <v/>
      </c>
      <c r="CI87" s="31" t="n"/>
      <c r="CJ87" s="32" t="n"/>
      <c r="CK87" s="30">
        <f>IFERROR(CI87*CJ87, 0)</f>
        <v/>
      </c>
      <c r="CL87" s="31" t="n"/>
      <c r="CM87" s="32" t="n"/>
      <c r="CN87" s="30">
        <f>IFERROR(CL87*CM87, 0)</f>
        <v/>
      </c>
      <c r="CO87" s="31" t="n"/>
      <c r="CP87" s="32" t="n"/>
      <c r="CQ87" s="30">
        <f>IFERROR(CO87*CP87, 0)</f>
        <v/>
      </c>
      <c r="CR87" s="31" t="n"/>
      <c r="CS87" s="32" t="n"/>
      <c r="CT87" s="30">
        <f>IFERROR(CR87*CS87, 0)</f>
        <v/>
      </c>
      <c r="CU87" s="33">
        <f>IFERROR(SUM(F87,I87,L87,O87,R87,U87,X87,AA87,AD87,AG87,AJ87,AM87,AP87,AS87,AV87,AY87,BB87,BE87,BH87,BK87,BN87,BQ87,BT87,BW87,BZ87,CC87,CF87,CI87,CL87,CO87,CR87), 0)</f>
        <v/>
      </c>
      <c r="CV87" s="30">
        <f>IFERROR(AVERAGE(G87,J87,M87,P87,S87,V87,Y87,AB87,AE87,AH87,AK87,AN87,AQ87,AT87,AW87,AZ87,BC87,BF87,BI87,BL87,BO87,BR87,BU87,BX87,CA87,CD87,CG87,CJ87,CM87,CP87,CS87), 0)</f>
        <v/>
      </c>
      <c r="CW87" s="30">
        <f>CU87*CV87</f>
        <v/>
      </c>
    </row>
    <row r="88" ht="15.75" customHeight="1">
      <c r="A88" s="21" t="inlineStr">
        <is>
          <t>Mombara</t>
        </is>
      </c>
      <c r="B88" s="21" t="inlineStr">
        <is>
          <t>Und</t>
        </is>
      </c>
      <c r="C88" s="34" t="n"/>
      <c r="D88" s="32" t="n"/>
      <c r="E88" s="32" t="n"/>
      <c r="F88" s="31" t="n"/>
      <c r="G88" s="32" t="n"/>
      <c r="H88" s="30">
        <f>IFERROR(F88*G88, 0)</f>
        <v/>
      </c>
      <c r="I88" s="31" t="n">
        <v>1</v>
      </c>
      <c r="J88" s="32" t="n">
        <v>36400</v>
      </c>
      <c r="K88" s="30" t="n">
        <v>36400</v>
      </c>
      <c r="L88" s="31" t="n"/>
      <c r="M88" s="32" t="n"/>
      <c r="N88" s="30">
        <f>IFERROR(L88*M88, 0)</f>
        <v/>
      </c>
      <c r="O88" s="31" t="n"/>
      <c r="P88" s="32" t="n"/>
      <c r="Q88" s="30">
        <f>IFERROR(O88*P88, 0)</f>
        <v/>
      </c>
      <c r="R88" s="31" t="n"/>
      <c r="S88" s="32" t="n"/>
      <c r="T88" s="30">
        <f>IFERROR(R88*S88, 0)</f>
        <v/>
      </c>
      <c r="U88" s="31" t="n"/>
      <c r="V88" s="32" t="n"/>
      <c r="W88" s="30">
        <f>IFERROR(U88*V88, 0)</f>
        <v/>
      </c>
      <c r="X88" s="31" t="n"/>
      <c r="Y88" s="32" t="n"/>
      <c r="Z88" s="30">
        <f>IFERROR(X88*Y88, 0)</f>
        <v/>
      </c>
      <c r="AA88" s="31" t="n"/>
      <c r="AB88" s="32" t="n"/>
      <c r="AC88" s="30">
        <f>IFERROR(AA88*AB88, 0)</f>
        <v/>
      </c>
      <c r="AD88" s="31" t="n"/>
      <c r="AE88" s="32" t="n"/>
      <c r="AF88" s="30">
        <f>IFERROR(AD88*AE88, 0)</f>
        <v/>
      </c>
      <c r="AG88" s="31" t="n"/>
      <c r="AH88" s="32" t="n"/>
      <c r="AI88" s="30">
        <f>IFERROR(AG88*AH88, 0)</f>
        <v/>
      </c>
      <c r="AJ88" s="31" t="n"/>
      <c r="AK88" s="32" t="n"/>
      <c r="AL88" s="30">
        <f>IFERROR(AJ88*AK88, 0)</f>
        <v/>
      </c>
      <c r="AM88" s="31" t="n"/>
      <c r="AN88" s="32" t="n"/>
      <c r="AO88" s="30">
        <f>IFERROR(AM88*AN88, 0)</f>
        <v/>
      </c>
      <c r="AP88" s="31" t="n"/>
      <c r="AQ88" s="32" t="n"/>
      <c r="AR88" s="30">
        <f>IFERROR(AP88*AQ88, 0)</f>
        <v/>
      </c>
      <c r="AS88" s="31" t="n"/>
      <c r="AT88" s="32" t="n"/>
      <c r="AU88" s="30">
        <f>IFERROR(AS88*AT88, 0)</f>
        <v/>
      </c>
      <c r="AV88" s="31" t="n"/>
      <c r="AW88" s="32" t="n"/>
      <c r="AX88" s="30">
        <f>IFERROR(AV88*AW88, 0)</f>
        <v/>
      </c>
      <c r="AY88" s="31" t="n"/>
      <c r="AZ88" s="32" t="n"/>
      <c r="BA88" s="30">
        <f>IFERROR(AY88*AZ88, 0)</f>
        <v/>
      </c>
      <c r="BB88" s="31" t="n"/>
      <c r="BC88" s="32" t="n"/>
      <c r="BD88" s="30">
        <f>IFERROR(BB88*BC88, 0)</f>
        <v/>
      </c>
      <c r="BE88" s="31" t="n"/>
      <c r="BF88" s="32" t="n"/>
      <c r="BG88" s="30">
        <f>IFERROR(BE88*BF88, 0)</f>
        <v/>
      </c>
      <c r="BH88" s="31" t="n"/>
      <c r="BI88" s="32" t="n"/>
      <c r="BJ88" s="30">
        <f>IFERROR(BH88*BI88, 0)</f>
        <v/>
      </c>
      <c r="BK88" s="31" t="n"/>
      <c r="BL88" s="32" t="n"/>
      <c r="BM88" s="30">
        <f>IFERROR(BK88*BL88, 0)</f>
        <v/>
      </c>
      <c r="BN88" s="31" t="n"/>
      <c r="BO88" s="32" t="n"/>
      <c r="BP88" s="30">
        <f>IFERROR(BN88*BO88, 0)</f>
        <v/>
      </c>
      <c r="BQ88" s="31" t="n"/>
      <c r="BR88" s="32" t="n"/>
      <c r="BS88" s="30">
        <f>IFERROR(BQ88*BR88, 0)</f>
        <v/>
      </c>
      <c r="BT88" s="31" t="n"/>
      <c r="BU88" s="32" t="n"/>
      <c r="BV88" s="30">
        <f>IFERROR(BT88*BU88, 0)</f>
        <v/>
      </c>
      <c r="BW88" s="31" t="n">
        <v>15</v>
      </c>
      <c r="BX88" s="32" t="n">
        <v>6666.67</v>
      </c>
      <c r="BY88" s="30" t="n">
        <v>100000</v>
      </c>
      <c r="BZ88" s="31" t="n"/>
      <c r="CA88" s="32" t="n"/>
      <c r="CB88" s="30">
        <f>IFERROR(BZ88*CA88, 0)</f>
        <v/>
      </c>
      <c r="CC88" s="31" t="n"/>
      <c r="CD88" s="32" t="n"/>
      <c r="CE88" s="30">
        <f>IFERROR(CC88*CD88, 0)</f>
        <v/>
      </c>
      <c r="CF88" s="31" t="n"/>
      <c r="CG88" s="32" t="n"/>
      <c r="CH88" s="30">
        <f>IFERROR(CF88*CG88, 0)</f>
        <v/>
      </c>
      <c r="CI88" s="31" t="n"/>
      <c r="CJ88" s="32" t="n"/>
      <c r="CK88" s="30">
        <f>IFERROR(CI88*CJ88, 0)</f>
        <v/>
      </c>
      <c r="CL88" s="31" t="n"/>
      <c r="CM88" s="32" t="n"/>
      <c r="CN88" s="30">
        <f>IFERROR(CL88*CM88, 0)</f>
        <v/>
      </c>
      <c r="CO88" s="31" t="n"/>
      <c r="CP88" s="32" t="n"/>
      <c r="CQ88" s="30">
        <f>IFERROR(CO88*CP88, 0)</f>
        <v/>
      </c>
      <c r="CR88" s="31" t="n"/>
      <c r="CS88" s="32" t="n"/>
      <c r="CT88" s="30">
        <f>IFERROR(CR88*CS88, 0)</f>
        <v/>
      </c>
      <c r="CU88" s="33">
        <f>IFERROR(SUM(F88,I88,L88,O88,R88,U88,X88,AA88,AD88,AG88,AJ88,AM88,AP88,AS88,AV88,AY88,BB88,BE88,BH88,BK88,BN88,BQ88,BT88,BW88,BZ88,CC88,CF88,CI88,CL88,CO88,CR88), 0)</f>
        <v/>
      </c>
      <c r="CV88" s="30">
        <f>IFERROR(AVERAGE(G88,J88,M88,P88,S88,V88,Y88,AB88,AE88,AH88,AK88,AN88,AQ88,AT88,AW88,AZ88,BC88,BF88,BI88,BL88,BO88,BR88,BU88,BX88,CA88,CD88,CG88,CJ88,CM88,CP88,CS88), 0)</f>
        <v/>
      </c>
      <c r="CW88" s="30">
        <f>CU88*CV88</f>
        <v/>
      </c>
    </row>
    <row r="89" ht="15.75" customHeight="1">
      <c r="A89" s="21" t="inlineStr">
        <is>
          <t>Comino santafereno</t>
        </is>
      </c>
      <c r="B89" s="21" t="inlineStr">
        <is>
          <t>Und</t>
        </is>
      </c>
      <c r="C89" s="34" t="n"/>
      <c r="D89" s="32" t="n"/>
      <c r="E89" s="32" t="n"/>
      <c r="F89" s="31" t="n"/>
      <c r="G89" s="32" t="n"/>
      <c r="H89" s="30">
        <f>IFERROR(F89*G89, 0)</f>
        <v/>
      </c>
      <c r="I89" s="31" t="n"/>
      <c r="J89" s="32" t="n"/>
      <c r="K89" s="30">
        <f>IFERROR(I89*J89, 0)</f>
        <v/>
      </c>
      <c r="L89" s="31" t="n"/>
      <c r="M89" s="32" t="n"/>
      <c r="N89" s="30">
        <f>IFERROR(L89*M89, 0)</f>
        <v/>
      </c>
      <c r="O89" s="31" t="n"/>
      <c r="P89" s="32" t="n"/>
      <c r="Q89" s="30">
        <f>IFERROR(O89*P89, 0)</f>
        <v/>
      </c>
      <c r="R89" s="31" t="n"/>
      <c r="S89" s="32" t="n"/>
      <c r="T89" s="30">
        <f>IFERROR(R89*S89, 0)</f>
        <v/>
      </c>
      <c r="U89" s="31" t="n"/>
      <c r="V89" s="32" t="n"/>
      <c r="W89" s="30">
        <f>IFERROR(U89*V89, 0)</f>
        <v/>
      </c>
      <c r="X89" s="31" t="n"/>
      <c r="Y89" s="32" t="n"/>
      <c r="Z89" s="30">
        <f>IFERROR(X89*Y89, 0)</f>
        <v/>
      </c>
      <c r="AA89" s="31" t="n"/>
      <c r="AB89" s="32" t="n"/>
      <c r="AC89" s="30">
        <f>IFERROR(AA89*AB89, 0)</f>
        <v/>
      </c>
      <c r="AD89" s="31" t="n"/>
      <c r="AE89" s="32" t="n"/>
      <c r="AF89" s="30">
        <f>IFERROR(AD89*AE89, 0)</f>
        <v/>
      </c>
      <c r="AG89" s="31" t="n"/>
      <c r="AH89" s="32" t="n"/>
      <c r="AI89" s="30">
        <f>IFERROR(AG89*AH89, 0)</f>
        <v/>
      </c>
      <c r="AJ89" s="31" t="n"/>
      <c r="AK89" s="32" t="n"/>
      <c r="AL89" s="30">
        <f>IFERROR(AJ89*AK89, 0)</f>
        <v/>
      </c>
      <c r="AM89" s="31" t="n"/>
      <c r="AN89" s="32" t="n"/>
      <c r="AO89" s="30">
        <f>IFERROR(AM89*AN89, 0)</f>
        <v/>
      </c>
      <c r="AP89" s="31" t="n"/>
      <c r="AQ89" s="32" t="n"/>
      <c r="AR89" s="30">
        <f>IFERROR(AP89*AQ89, 0)</f>
        <v/>
      </c>
      <c r="AS89" s="31" t="n"/>
      <c r="AT89" s="32" t="n"/>
      <c r="AU89" s="30">
        <f>IFERROR(AS89*AT89, 0)</f>
        <v/>
      </c>
      <c r="AV89" s="31" t="n"/>
      <c r="AW89" s="32" t="n"/>
      <c r="AX89" s="30">
        <f>IFERROR(AV89*AW89, 0)</f>
        <v/>
      </c>
      <c r="AY89" s="31" t="n"/>
      <c r="AZ89" s="32" t="n"/>
      <c r="BA89" s="30">
        <f>IFERROR(AY89*AZ89, 0)</f>
        <v/>
      </c>
      <c r="BB89" s="31" t="n"/>
      <c r="BC89" s="32" t="n"/>
      <c r="BD89" s="30">
        <f>IFERROR(BB89*BC89, 0)</f>
        <v/>
      </c>
      <c r="BE89" s="31" t="n"/>
      <c r="BF89" s="32" t="n"/>
      <c r="BG89" s="30">
        <f>IFERROR(BE89*BF89, 0)</f>
        <v/>
      </c>
      <c r="BH89" s="31" t="n"/>
      <c r="BI89" s="32" t="n"/>
      <c r="BJ89" s="30">
        <f>IFERROR(BH89*BI89, 0)</f>
        <v/>
      </c>
      <c r="BK89" s="31" t="n"/>
      <c r="BL89" s="32" t="n"/>
      <c r="BM89" s="30">
        <f>IFERROR(BK89*BL89, 0)</f>
        <v/>
      </c>
      <c r="BN89" s="31" t="n"/>
      <c r="BO89" s="32" t="n"/>
      <c r="BP89" s="30">
        <f>IFERROR(BN89*BO89, 0)</f>
        <v/>
      </c>
      <c r="BQ89" s="31" t="n"/>
      <c r="BR89" s="32" t="n"/>
      <c r="BS89" s="30">
        <f>IFERROR(BQ89*BR89, 0)</f>
        <v/>
      </c>
      <c r="BT89" s="31" t="n"/>
      <c r="BU89" s="32" t="n"/>
      <c r="BV89" s="30">
        <f>IFERROR(BT89*BU89, 0)</f>
        <v/>
      </c>
      <c r="BW89" s="31" t="n"/>
      <c r="BX89" s="32" t="n"/>
      <c r="BY89" s="30">
        <f>IFERROR(BW89*BX89, 0)</f>
        <v/>
      </c>
      <c r="BZ89" s="31" t="n"/>
      <c r="CA89" s="32" t="n"/>
      <c r="CB89" s="30">
        <f>IFERROR(BZ89*CA89, 0)</f>
        <v/>
      </c>
      <c r="CC89" s="31" t="n"/>
      <c r="CD89" s="32" t="n"/>
      <c r="CE89" s="30">
        <f>IFERROR(CC89*CD89, 0)</f>
        <v/>
      </c>
      <c r="CF89" s="31" t="n"/>
      <c r="CG89" s="32" t="n"/>
      <c r="CH89" s="30">
        <f>IFERROR(CF89*CG89, 0)</f>
        <v/>
      </c>
      <c r="CI89" s="31" t="n"/>
      <c r="CJ89" s="32" t="n"/>
      <c r="CK89" s="30">
        <f>IFERROR(CI89*CJ89, 0)</f>
        <v/>
      </c>
      <c r="CL89" s="31" t="n"/>
      <c r="CM89" s="32" t="n"/>
      <c r="CN89" s="30">
        <f>IFERROR(CL89*CM89, 0)</f>
        <v/>
      </c>
      <c r="CO89" s="31" t="n"/>
      <c r="CP89" s="32" t="n"/>
      <c r="CQ89" s="30">
        <f>IFERROR(CO89*CP89, 0)</f>
        <v/>
      </c>
      <c r="CR89" s="31" t="n"/>
      <c r="CS89" s="32" t="n"/>
      <c r="CT89" s="30">
        <f>IFERROR(CR89*CS89, 0)</f>
        <v/>
      </c>
      <c r="CU89" s="33">
        <f>IFERROR(SUM(F89,I89,L89,O89,R89,U89,X89,AA89,AD89,AG89,AJ89,AM89,AP89,AS89,AV89,AY89,BB89,BE89,BH89,BK89,BN89,BQ89,BT89,BW89,BZ89,CC89,CF89,CI89,CL89,CO89,CR89), 0)</f>
        <v/>
      </c>
      <c r="CV89" s="30">
        <f>IFERROR(AVERAGE(G89,J89,M89,P89,S89,V89,Y89,AB89,AE89,AH89,AK89,AN89,AQ89,AT89,AW89,AZ89,BC89,BF89,BI89,BL89,BO89,BR89,BU89,BX89,CA89,CD89,CG89,CJ89,CM89,CP89,CS89), 0)</f>
        <v/>
      </c>
      <c r="CW89" s="30">
        <f>CU89*CV89</f>
        <v/>
      </c>
    </row>
    <row r="90" ht="15.75" customHeight="1">
      <c r="A90" s="21" t="inlineStr">
        <is>
          <t>Yuca pelada</t>
        </is>
      </c>
      <c r="B90" s="21" t="inlineStr">
        <is>
          <t>Und</t>
        </is>
      </c>
      <c r="C90" s="34" t="n"/>
      <c r="D90" s="32" t="n"/>
      <c r="E90" s="32" t="n"/>
      <c r="F90" s="31" t="n"/>
      <c r="G90" s="32" t="n"/>
      <c r="H90" s="30">
        <f>IFERROR(F90*G90, 0)</f>
        <v/>
      </c>
      <c r="I90" s="31" t="n"/>
      <c r="J90" s="32" t="n"/>
      <c r="K90" s="30">
        <f>IFERROR(I90*J90, 0)</f>
        <v/>
      </c>
      <c r="L90" s="31" t="n"/>
      <c r="M90" s="32" t="n"/>
      <c r="N90" s="30">
        <f>IFERROR(L90*M90, 0)</f>
        <v/>
      </c>
      <c r="O90" s="31" t="n">
        <v>10</v>
      </c>
      <c r="P90" s="32" t="n">
        <v>45000</v>
      </c>
      <c r="Q90" s="30" t="n">
        <v>45000</v>
      </c>
      <c r="R90" s="31" t="n"/>
      <c r="S90" s="32" t="n"/>
      <c r="T90" s="30">
        <f>IFERROR(R90*S90, 0)</f>
        <v/>
      </c>
      <c r="U90" s="31" t="n"/>
      <c r="V90" s="32" t="n"/>
      <c r="W90" s="30">
        <f>IFERROR(U90*V90, 0)</f>
        <v/>
      </c>
      <c r="X90" s="31" t="n"/>
      <c r="Y90" s="32" t="n"/>
      <c r="Z90" s="30">
        <f>IFERROR(X90*Y90, 0)</f>
        <v/>
      </c>
      <c r="AA90" s="31" t="n"/>
      <c r="AB90" s="32" t="n"/>
      <c r="AC90" s="30">
        <f>IFERROR(AA90*AB90, 0)</f>
        <v/>
      </c>
      <c r="AD90" s="31" t="n"/>
      <c r="AE90" s="32" t="n"/>
      <c r="AF90" s="30">
        <f>IFERROR(AD90*AE90, 0)</f>
        <v/>
      </c>
      <c r="AG90" s="31" t="n"/>
      <c r="AH90" s="32" t="n"/>
      <c r="AI90" s="30">
        <f>IFERROR(AG90*AH90, 0)</f>
        <v/>
      </c>
      <c r="AJ90" s="31" t="n"/>
      <c r="AK90" s="32" t="n"/>
      <c r="AL90" s="30">
        <f>IFERROR(AJ90*AK90, 0)</f>
        <v/>
      </c>
      <c r="AM90" s="31" t="n"/>
      <c r="AN90" s="32" t="n"/>
      <c r="AO90" s="30">
        <f>IFERROR(AM90*AN90, 0)</f>
        <v/>
      </c>
      <c r="AP90" s="31" t="n">
        <v>10</v>
      </c>
      <c r="AQ90" s="32" t="n">
        <v>4500</v>
      </c>
      <c r="AR90" s="30" t="n">
        <v>45000</v>
      </c>
      <c r="AS90" s="31" t="n"/>
      <c r="AT90" s="32" t="n"/>
      <c r="AU90" s="30">
        <f>IFERROR(AS90*AT90, 0)</f>
        <v/>
      </c>
      <c r="AV90" s="31" t="n"/>
      <c r="AW90" s="32" t="n"/>
      <c r="AX90" s="30">
        <f>IFERROR(AV90*AW90, 0)</f>
        <v/>
      </c>
      <c r="AY90" s="31" t="n">
        <v>42</v>
      </c>
      <c r="AZ90" s="32" t="n">
        <v>4500</v>
      </c>
      <c r="BA90" s="30" t="n">
        <v>189000</v>
      </c>
      <c r="BB90" s="31" t="n"/>
      <c r="BC90" s="32" t="n"/>
      <c r="BD90" s="30">
        <f>IFERROR(BB90*BC90, 0)</f>
        <v/>
      </c>
      <c r="BE90" s="31" t="n">
        <v>5.065</v>
      </c>
      <c r="BF90" s="32" t="n">
        <v>3700</v>
      </c>
      <c r="BG90" s="30" t="n">
        <v>18741</v>
      </c>
      <c r="BH90" s="31" t="n"/>
      <c r="BI90" s="32" t="n"/>
      <c r="BJ90" s="30">
        <f>IFERROR(BH90*BI90, 0)</f>
        <v/>
      </c>
      <c r="BK90" s="31" t="n"/>
      <c r="BL90" s="32" t="n"/>
      <c r="BM90" s="30">
        <f>IFERROR(BK90*BL90, 0)</f>
        <v/>
      </c>
      <c r="BN90" s="31" t="n"/>
      <c r="BO90" s="32" t="n"/>
      <c r="BP90" s="30">
        <f>IFERROR(BN90*BO90, 0)</f>
        <v/>
      </c>
      <c r="BQ90" s="31" t="n"/>
      <c r="BR90" s="32" t="n"/>
      <c r="BS90" s="30">
        <f>IFERROR(BQ90*BR90, 0)</f>
        <v/>
      </c>
      <c r="BT90" s="31" t="n"/>
      <c r="BU90" s="32" t="n"/>
      <c r="BV90" s="30">
        <f>IFERROR(BT90*BU90, 0)</f>
        <v/>
      </c>
      <c r="BW90" s="31" t="n"/>
      <c r="BX90" s="32" t="n"/>
      <c r="BY90" s="30">
        <f>IFERROR(BW90*BX90, 0)</f>
        <v/>
      </c>
      <c r="BZ90" s="31" t="n"/>
      <c r="CA90" s="32" t="n"/>
      <c r="CB90" s="30">
        <f>IFERROR(BZ90*CA90, 0)</f>
        <v/>
      </c>
      <c r="CC90" s="31" t="n"/>
      <c r="CD90" s="32" t="n"/>
      <c r="CE90" s="30">
        <f>IFERROR(CC90*CD90, 0)</f>
        <v/>
      </c>
      <c r="CF90" s="31" t="n"/>
      <c r="CG90" s="32" t="n"/>
      <c r="CH90" s="30">
        <f>IFERROR(CF90*CG90, 0)</f>
        <v/>
      </c>
      <c r="CI90" s="31" t="n"/>
      <c r="CJ90" s="32" t="n"/>
      <c r="CK90" s="30">
        <f>IFERROR(CI90*CJ90, 0)</f>
        <v/>
      </c>
      <c r="CL90" s="31" t="n"/>
      <c r="CM90" s="32" t="n"/>
      <c r="CN90" s="30">
        <f>IFERROR(CL90*CM90, 0)</f>
        <v/>
      </c>
      <c r="CO90" s="31" t="n"/>
      <c r="CP90" s="32" t="n"/>
      <c r="CQ90" s="30">
        <f>IFERROR(CO90*CP90, 0)</f>
        <v/>
      </c>
      <c r="CR90" s="31" t="n"/>
      <c r="CS90" s="32" t="n"/>
      <c r="CT90" s="30">
        <f>IFERROR(CR90*CS90, 0)</f>
        <v/>
      </c>
      <c r="CU90" s="33">
        <f>IFERROR(SUM(F90,I90,L90,O90,R90,U90,X90,AA90,AD90,AG90,AJ90,AM90,AP90,AS90,AV90,AY90,BB90,BE90,BH90,BK90,BN90,BQ90,BT90,BW90,BZ90,CC90,CF90,CI90,CL90,CO90,CR90), 0)</f>
        <v/>
      </c>
      <c r="CV90" s="30">
        <f>IFERROR(AVERAGE(G90,J90,M90,P90,S90,V90,Y90,AB90,AE90,AH90,AK90,AN90,AQ90,AT90,AW90,AZ90,BC90,BF90,BI90,BL90,BO90,BR90,BU90,BX90,CA90,CD90,CG90,CJ90,CM90,CP90,CS90), 0)</f>
        <v/>
      </c>
      <c r="CW90" s="30">
        <f>CU90*CV90</f>
        <v/>
      </c>
    </row>
    <row r="91" ht="15.75" customHeight="1">
      <c r="A91" s="21" t="inlineStr">
        <is>
          <t>Tarro de maiz</t>
        </is>
      </c>
      <c r="B91" s="21" t="inlineStr">
        <is>
          <t>Und</t>
        </is>
      </c>
      <c r="C91" s="34" t="n"/>
      <c r="D91" s="32" t="n"/>
      <c r="E91" s="32" t="n"/>
      <c r="F91" s="31" t="n"/>
      <c r="G91" s="32" t="n"/>
      <c r="H91" s="30">
        <f>IFERROR(F91*G91, 0)</f>
        <v/>
      </c>
      <c r="I91" s="31" t="n"/>
      <c r="J91" s="32" t="n"/>
      <c r="K91" s="30">
        <f>IFERROR(I91*J91, 0)</f>
        <v/>
      </c>
      <c r="L91" s="31" t="n"/>
      <c r="M91" s="32" t="n"/>
      <c r="N91" s="30">
        <f>IFERROR(L91*M91, 0)</f>
        <v/>
      </c>
      <c r="O91" s="31" t="n"/>
      <c r="P91" s="32" t="n"/>
      <c r="Q91" s="30">
        <f>IFERROR(O91*P91, 0)</f>
        <v/>
      </c>
      <c r="R91" s="31" t="n"/>
      <c r="S91" s="32" t="n"/>
      <c r="T91" s="30">
        <f>IFERROR(R91*S91, 0)</f>
        <v/>
      </c>
      <c r="U91" s="31" t="n"/>
      <c r="V91" s="32" t="n"/>
      <c r="W91" s="30">
        <f>IFERROR(U91*V91, 0)</f>
        <v/>
      </c>
      <c r="X91" s="31" t="n"/>
      <c r="Y91" s="32" t="n"/>
      <c r="Z91" s="30">
        <f>IFERROR(X91*Y91, 0)</f>
        <v/>
      </c>
      <c r="AA91" s="31" t="n"/>
      <c r="AB91" s="32" t="n"/>
      <c r="AC91" s="30">
        <f>IFERROR(AA91*AB91, 0)</f>
        <v/>
      </c>
      <c r="AD91" s="31" t="n"/>
      <c r="AE91" s="32" t="n"/>
      <c r="AF91" s="30">
        <f>IFERROR(AD91*AE91, 0)</f>
        <v/>
      </c>
      <c r="AG91" s="31" t="n"/>
      <c r="AH91" s="32" t="n"/>
      <c r="AI91" s="30">
        <f>IFERROR(AG91*AH91, 0)</f>
        <v/>
      </c>
      <c r="AJ91" s="31" t="n"/>
      <c r="AK91" s="32" t="n"/>
      <c r="AL91" s="30">
        <f>IFERROR(AJ91*AK91, 0)</f>
        <v/>
      </c>
      <c r="AM91" s="31" t="n"/>
      <c r="AN91" s="32" t="n"/>
      <c r="AO91" s="30">
        <f>IFERROR(AM91*AN91, 0)</f>
        <v/>
      </c>
      <c r="AP91" s="31" t="n"/>
      <c r="AQ91" s="32" t="n"/>
      <c r="AR91" s="30">
        <f>IFERROR(AP91*AQ91, 0)</f>
        <v/>
      </c>
      <c r="AS91" s="31" t="n"/>
      <c r="AT91" s="32" t="n"/>
      <c r="AU91" s="30">
        <f>IFERROR(AS91*AT91, 0)</f>
        <v/>
      </c>
      <c r="AV91" s="31" t="n"/>
      <c r="AW91" s="32" t="n"/>
      <c r="AX91" s="30">
        <f>IFERROR(AV91*AW91, 0)</f>
        <v/>
      </c>
      <c r="AY91" s="31" t="n"/>
      <c r="AZ91" s="32" t="n"/>
      <c r="BA91" s="30">
        <f>IFERROR(AY91*AZ91, 0)</f>
        <v/>
      </c>
      <c r="BB91" s="31" t="n"/>
      <c r="BC91" s="32" t="n"/>
      <c r="BD91" s="30">
        <f>IFERROR(BB91*BC91, 0)</f>
        <v/>
      </c>
      <c r="BE91" s="31" t="n"/>
      <c r="BF91" s="32" t="n"/>
      <c r="BG91" s="30">
        <f>IFERROR(BE91*BF91, 0)</f>
        <v/>
      </c>
      <c r="BH91" s="31" t="n"/>
      <c r="BI91" s="32" t="n"/>
      <c r="BJ91" s="30">
        <f>IFERROR(BH91*BI91, 0)</f>
        <v/>
      </c>
      <c r="BK91" s="31" t="n"/>
      <c r="BL91" s="32" t="n"/>
      <c r="BM91" s="30">
        <f>IFERROR(BK91*BL91, 0)</f>
        <v/>
      </c>
      <c r="BN91" s="31" t="n"/>
      <c r="BO91" s="32" t="n"/>
      <c r="BP91" s="30">
        <f>IFERROR(BN91*BO91, 0)</f>
        <v/>
      </c>
      <c r="BQ91" s="31" t="n"/>
      <c r="BR91" s="32" t="n"/>
      <c r="BS91" s="30">
        <f>IFERROR(BQ91*BR91, 0)</f>
        <v/>
      </c>
      <c r="BT91" s="31" t="n"/>
      <c r="BU91" s="32" t="n"/>
      <c r="BV91" s="30">
        <f>IFERROR(BT91*BU91, 0)</f>
        <v/>
      </c>
      <c r="BW91" s="31" t="n"/>
      <c r="BX91" s="32" t="n"/>
      <c r="BY91" s="30">
        <f>IFERROR(BW91*BX91, 0)</f>
        <v/>
      </c>
      <c r="BZ91" s="31" t="n"/>
      <c r="CA91" s="32" t="n"/>
      <c r="CB91" s="30">
        <f>IFERROR(BZ91*CA91, 0)</f>
        <v/>
      </c>
      <c r="CC91" s="31" t="n"/>
      <c r="CD91" s="32" t="n"/>
      <c r="CE91" s="30">
        <f>IFERROR(CC91*CD91, 0)</f>
        <v/>
      </c>
      <c r="CF91" s="31" t="n"/>
      <c r="CG91" s="32" t="n"/>
      <c r="CH91" s="30">
        <f>IFERROR(CF91*CG91, 0)</f>
        <v/>
      </c>
      <c r="CI91" s="31" t="n"/>
      <c r="CJ91" s="32" t="n"/>
      <c r="CK91" s="30">
        <f>IFERROR(CI91*CJ91, 0)</f>
        <v/>
      </c>
      <c r="CL91" s="31" t="n"/>
      <c r="CM91" s="32" t="n"/>
      <c r="CN91" s="30">
        <f>IFERROR(CL91*CM91, 0)</f>
        <v/>
      </c>
      <c r="CO91" s="31" t="n"/>
      <c r="CP91" s="32" t="n"/>
      <c r="CQ91" s="30">
        <f>IFERROR(CO91*CP91, 0)</f>
        <v/>
      </c>
      <c r="CR91" s="31" t="n"/>
      <c r="CS91" s="32" t="n"/>
      <c r="CT91" s="30">
        <f>IFERROR(CR91*CS91, 0)</f>
        <v/>
      </c>
      <c r="CU91" s="33">
        <f>IFERROR(SUM(F91,I91,L91,O91,R91,U91,X91,AA91,AD91,AG91,AJ91,AM91,AP91,AS91,AV91,AY91,BB91,BE91,BH91,BK91,BN91,BQ91,BT91,BW91,BZ91,CC91,CF91,CI91,CL91,CO91,CR91), 0)</f>
        <v/>
      </c>
      <c r="CV91" s="30">
        <f>IFERROR(AVERAGE(G91,J91,M91,P91,S91,V91,Y91,AB91,AE91,AH91,AK91,AN91,AQ91,AT91,AW91,AZ91,BC91,BF91,BI91,BL91,BO91,BR91,BU91,BX91,CA91,CD91,CG91,CJ91,CM91,CP91,CS91), 0)</f>
        <v/>
      </c>
      <c r="CW91" s="30">
        <f>CU91*CV91</f>
        <v/>
      </c>
    </row>
    <row r="92" ht="15.75" customHeight="1">
      <c r="A92" s="21" t="inlineStr">
        <is>
          <t>Maiz tierno</t>
        </is>
      </c>
      <c r="B92" s="21" t="inlineStr">
        <is>
          <t>Und</t>
        </is>
      </c>
      <c r="C92" s="34" t="n"/>
      <c r="D92" s="32" t="n"/>
      <c r="E92" s="32" t="n"/>
      <c r="F92" s="31" t="n"/>
      <c r="G92" s="32" t="n"/>
      <c r="H92" s="30">
        <f>IFERROR(F92*G92, 0)</f>
        <v/>
      </c>
      <c r="I92" s="31" t="n"/>
      <c r="J92" s="32" t="n"/>
      <c r="K92" s="30">
        <f>IFERROR(I92*J92, 0)</f>
        <v/>
      </c>
      <c r="L92" s="31" t="n"/>
      <c r="M92" s="32" t="n"/>
      <c r="N92" s="30">
        <f>IFERROR(L92*M92, 0)</f>
        <v/>
      </c>
      <c r="O92" s="31" t="n"/>
      <c r="P92" s="32" t="n"/>
      <c r="Q92" s="30">
        <f>IFERROR(O92*P92, 0)</f>
        <v/>
      </c>
      <c r="R92" s="31" t="n"/>
      <c r="S92" s="32" t="n"/>
      <c r="T92" s="30">
        <f>IFERROR(R92*S92, 0)</f>
        <v/>
      </c>
      <c r="U92" s="31" t="n"/>
      <c r="V92" s="32" t="n"/>
      <c r="W92" s="30">
        <f>IFERROR(U92*V92, 0)</f>
        <v/>
      </c>
      <c r="X92" s="31" t="n"/>
      <c r="Y92" s="32" t="n"/>
      <c r="Z92" s="30">
        <f>IFERROR(X92*Y92, 0)</f>
        <v/>
      </c>
      <c r="AA92" s="31" t="n"/>
      <c r="AB92" s="32" t="n"/>
      <c r="AC92" s="30">
        <f>IFERROR(AA92*AB92, 0)</f>
        <v/>
      </c>
      <c r="AD92" s="31" t="n">
        <v>35</v>
      </c>
      <c r="AE92" s="32" t="n">
        <v>1600</v>
      </c>
      <c r="AF92" s="30" t="n">
        <v>56000</v>
      </c>
      <c r="AG92" s="31" t="n"/>
      <c r="AH92" s="32" t="n"/>
      <c r="AI92" s="30">
        <f>IFERROR(AG92*AH92, 0)</f>
        <v/>
      </c>
      <c r="AJ92" s="31" t="n"/>
      <c r="AK92" s="32" t="n"/>
      <c r="AL92" s="30">
        <f>IFERROR(AJ92*AK92, 0)</f>
        <v/>
      </c>
      <c r="AM92" s="31" t="n"/>
      <c r="AN92" s="32" t="n"/>
      <c r="AO92" s="30">
        <f>IFERROR(AM92*AN92, 0)</f>
        <v/>
      </c>
      <c r="AP92" s="31" t="n"/>
      <c r="AQ92" s="32" t="n"/>
      <c r="AR92" s="30">
        <f>IFERROR(AP92*AQ92, 0)</f>
        <v/>
      </c>
      <c r="AS92" s="31" t="n"/>
      <c r="AT92" s="32" t="n"/>
      <c r="AU92" s="30">
        <f>IFERROR(AS92*AT92, 0)</f>
        <v/>
      </c>
      <c r="AV92" s="31" t="n"/>
      <c r="AW92" s="32" t="n"/>
      <c r="AX92" s="30">
        <f>IFERROR(AV92*AW92, 0)</f>
        <v/>
      </c>
      <c r="AY92" s="31" t="n"/>
      <c r="AZ92" s="32" t="n"/>
      <c r="BA92" s="30">
        <f>IFERROR(AY92*AZ92, 0)</f>
        <v/>
      </c>
      <c r="BB92" s="31" t="n"/>
      <c r="BC92" s="32" t="n"/>
      <c r="BD92" s="30">
        <f>IFERROR(BB92*BC92, 0)</f>
        <v/>
      </c>
      <c r="BE92" s="31" t="n"/>
      <c r="BF92" s="32" t="n"/>
      <c r="BG92" s="30">
        <f>IFERROR(BE92*BF92, 0)</f>
        <v/>
      </c>
      <c r="BH92" s="31" t="n"/>
      <c r="BI92" s="32" t="n"/>
      <c r="BJ92" s="30">
        <f>IFERROR(BH92*BI92, 0)</f>
        <v/>
      </c>
      <c r="BK92" s="31" t="n"/>
      <c r="BL92" s="32" t="n"/>
      <c r="BM92" s="30">
        <f>IFERROR(BK92*BL92, 0)</f>
        <v/>
      </c>
      <c r="BN92" s="31" t="n"/>
      <c r="BO92" s="32" t="n"/>
      <c r="BP92" s="30">
        <f>IFERROR(BN92*BO92, 0)</f>
        <v/>
      </c>
      <c r="BQ92" s="31" t="n"/>
      <c r="BR92" s="32" t="n"/>
      <c r="BS92" s="30">
        <f>IFERROR(BQ92*BR92, 0)</f>
        <v/>
      </c>
      <c r="BT92" s="31" t="n"/>
      <c r="BU92" s="32" t="n"/>
      <c r="BV92" s="30">
        <f>IFERROR(BT92*BU92, 0)</f>
        <v/>
      </c>
      <c r="BW92" s="31" t="n"/>
      <c r="BX92" s="32" t="n"/>
      <c r="BY92" s="30">
        <f>IFERROR(BW92*BX92, 0)</f>
        <v/>
      </c>
      <c r="BZ92" s="31" t="n"/>
      <c r="CA92" s="32" t="n"/>
      <c r="CB92" s="30">
        <f>IFERROR(BZ92*CA92, 0)</f>
        <v/>
      </c>
      <c r="CC92" s="31" t="n"/>
      <c r="CD92" s="32" t="n"/>
      <c r="CE92" s="30">
        <f>IFERROR(CC92*CD92, 0)</f>
        <v/>
      </c>
      <c r="CF92" s="31" t="n"/>
      <c r="CG92" s="32" t="n"/>
      <c r="CH92" s="30">
        <f>IFERROR(CF92*CG92, 0)</f>
        <v/>
      </c>
      <c r="CI92" s="31" t="n"/>
      <c r="CJ92" s="32" t="n"/>
      <c r="CK92" s="30">
        <f>IFERROR(CI92*CJ92, 0)</f>
        <v/>
      </c>
      <c r="CL92" s="31" t="n"/>
      <c r="CM92" s="32" t="n"/>
      <c r="CN92" s="30">
        <f>IFERROR(CL92*CM92, 0)</f>
        <v/>
      </c>
      <c r="CO92" s="31" t="n"/>
      <c r="CP92" s="32" t="n"/>
      <c r="CQ92" s="30">
        <f>IFERROR(CO92*CP92, 0)</f>
        <v/>
      </c>
      <c r="CR92" s="31" t="n"/>
      <c r="CS92" s="32" t="n"/>
      <c r="CT92" s="30">
        <f>IFERROR(CR92*CS92, 0)</f>
        <v/>
      </c>
      <c r="CU92" s="33">
        <f>IFERROR(SUM(F92,I92,L92,O92,R92,U92,X92,AA92,AD92,AG92,AJ92,AM92,AP92,AS92,AV92,AY92,BB92,BE92,BH92,BK92,BN92,BQ92,BT92,BW92,BZ92,CC92,CF92,CI92,CL92,CO92,CR92), 0)</f>
        <v/>
      </c>
      <c r="CV92" s="30">
        <f>IFERROR(AVERAGE(G92,J92,M92,P92,S92,V92,Y92,AB92,AE92,AH92,AK92,AN92,AQ92,AT92,AW92,AZ92,BC92,BF92,BI92,BL92,BO92,BR92,BU92,BX92,CA92,CD92,CG92,CJ92,CM92,CP92,CS92), 0)</f>
        <v/>
      </c>
      <c r="CW92" s="30">
        <f>CU92*CV92</f>
        <v/>
      </c>
    </row>
    <row r="93" ht="15.75" customHeight="1">
      <c r="A93" s="21" t="inlineStr">
        <is>
          <t>Maracuya</t>
        </is>
      </c>
      <c r="B93" s="21" t="inlineStr">
        <is>
          <t>Und</t>
        </is>
      </c>
      <c r="C93" s="34" t="n"/>
      <c r="D93" s="32" t="n"/>
      <c r="E93" s="32" t="n"/>
      <c r="F93" s="31" t="n"/>
      <c r="G93" s="32" t="n"/>
      <c r="H93" s="30">
        <f>IFERROR(F93*G93, 0)</f>
        <v/>
      </c>
      <c r="I93" s="31" t="n"/>
      <c r="J93" s="32" t="n"/>
      <c r="K93" s="30">
        <f>IFERROR(I93*J93, 0)</f>
        <v/>
      </c>
      <c r="L93" s="31" t="n"/>
      <c r="M93" s="32" t="n"/>
      <c r="N93" s="30">
        <f>IFERROR(L93*M93, 0)</f>
        <v/>
      </c>
      <c r="O93" s="31" t="n"/>
      <c r="P93" s="32" t="n"/>
      <c r="Q93" s="30">
        <f>IFERROR(O93*P93, 0)</f>
        <v/>
      </c>
      <c r="R93" s="31" t="n"/>
      <c r="S93" s="32" t="n"/>
      <c r="T93" s="30">
        <f>IFERROR(R93*S93, 0)</f>
        <v/>
      </c>
      <c r="U93" s="31" t="n"/>
      <c r="V93" s="32" t="n"/>
      <c r="W93" s="30">
        <f>IFERROR(U93*V93, 0)</f>
        <v/>
      </c>
      <c r="X93" s="31" t="n"/>
      <c r="Y93" s="32" t="n"/>
      <c r="Z93" s="30">
        <f>IFERROR(X93*Y93, 0)</f>
        <v/>
      </c>
      <c r="AA93" s="31" t="n"/>
      <c r="AB93" s="32" t="n"/>
      <c r="AC93" s="30">
        <f>IFERROR(AA93*AB93, 0)</f>
        <v/>
      </c>
      <c r="AD93" s="31" t="n"/>
      <c r="AE93" s="32" t="n"/>
      <c r="AF93" s="30">
        <f>IFERROR(AD93*AE93, 0)</f>
        <v/>
      </c>
      <c r="AG93" s="31" t="n"/>
      <c r="AH93" s="32" t="n"/>
      <c r="AI93" s="30">
        <f>IFERROR(AG93*AH93, 0)</f>
        <v/>
      </c>
      <c r="AJ93" s="31" t="n"/>
      <c r="AK93" s="32" t="n"/>
      <c r="AL93" s="30">
        <f>IFERROR(AJ93*AK93, 0)</f>
        <v/>
      </c>
      <c r="AM93" s="31" t="n"/>
      <c r="AN93" s="32" t="n"/>
      <c r="AO93" s="30">
        <f>IFERROR(AM93*AN93, 0)</f>
        <v/>
      </c>
      <c r="AP93" s="31" t="n"/>
      <c r="AQ93" s="32" t="n"/>
      <c r="AR93" s="30">
        <f>IFERROR(AP93*AQ93, 0)</f>
        <v/>
      </c>
      <c r="AS93" s="31" t="n"/>
      <c r="AT93" s="32" t="n"/>
      <c r="AU93" s="30">
        <f>IFERROR(AS93*AT93, 0)</f>
        <v/>
      </c>
      <c r="AV93" s="31" t="n"/>
      <c r="AW93" s="32" t="n"/>
      <c r="AX93" s="30">
        <f>IFERROR(AV93*AW93, 0)</f>
        <v/>
      </c>
      <c r="AY93" s="31" t="n"/>
      <c r="AZ93" s="32" t="n"/>
      <c r="BA93" s="30">
        <f>IFERROR(AY93*AZ93, 0)</f>
        <v/>
      </c>
      <c r="BB93" s="31" t="n"/>
      <c r="BC93" s="32" t="n"/>
      <c r="BD93" s="30">
        <f>IFERROR(BB93*BC93, 0)</f>
        <v/>
      </c>
      <c r="BE93" s="31" t="n"/>
      <c r="BF93" s="32" t="n"/>
      <c r="BG93" s="30">
        <f>IFERROR(BE93*BF93, 0)</f>
        <v/>
      </c>
      <c r="BH93" s="31" t="n"/>
      <c r="BI93" s="32" t="n"/>
      <c r="BJ93" s="30">
        <f>IFERROR(BH93*BI93, 0)</f>
        <v/>
      </c>
      <c r="BK93" s="31" t="n"/>
      <c r="BL93" s="32" t="n"/>
      <c r="BM93" s="30">
        <f>IFERROR(BK93*BL93, 0)</f>
        <v/>
      </c>
      <c r="BN93" s="31" t="n"/>
      <c r="BO93" s="32" t="n"/>
      <c r="BP93" s="30">
        <f>IFERROR(BN93*BO93, 0)</f>
        <v/>
      </c>
      <c r="BQ93" s="31" t="n"/>
      <c r="BR93" s="32" t="n"/>
      <c r="BS93" s="30">
        <f>IFERROR(BQ93*BR93, 0)</f>
        <v/>
      </c>
      <c r="BT93" s="31" t="n"/>
      <c r="BU93" s="32" t="n"/>
      <c r="BV93" s="30">
        <f>IFERROR(BT93*BU93, 0)</f>
        <v/>
      </c>
      <c r="BW93" s="31" t="n"/>
      <c r="BX93" s="32" t="n"/>
      <c r="BY93" s="30">
        <f>IFERROR(BW93*BX93, 0)</f>
        <v/>
      </c>
      <c r="BZ93" s="31" t="n"/>
      <c r="CA93" s="32" t="n"/>
      <c r="CB93" s="30">
        <f>IFERROR(BZ93*CA93, 0)</f>
        <v/>
      </c>
      <c r="CC93" s="31" t="n"/>
      <c r="CD93" s="32" t="n"/>
      <c r="CE93" s="30">
        <f>IFERROR(CC93*CD93, 0)</f>
        <v/>
      </c>
      <c r="CF93" s="31" t="n"/>
      <c r="CG93" s="32" t="n"/>
      <c r="CH93" s="30">
        <f>IFERROR(CF93*CG93, 0)</f>
        <v/>
      </c>
      <c r="CI93" s="31" t="n"/>
      <c r="CJ93" s="32" t="n"/>
      <c r="CK93" s="30">
        <f>IFERROR(CI93*CJ93, 0)</f>
        <v/>
      </c>
      <c r="CL93" s="31" t="n"/>
      <c r="CM93" s="32" t="n"/>
      <c r="CN93" s="30">
        <f>IFERROR(CL93*CM93, 0)</f>
        <v/>
      </c>
      <c r="CO93" s="31" t="n"/>
      <c r="CP93" s="32" t="n"/>
      <c r="CQ93" s="30">
        <f>IFERROR(CO93*CP93, 0)</f>
        <v/>
      </c>
      <c r="CR93" s="31" t="n"/>
      <c r="CS93" s="32" t="n"/>
      <c r="CT93" s="30">
        <f>IFERROR(CR93*CS93, 0)</f>
        <v/>
      </c>
      <c r="CU93" s="33">
        <f>IFERROR(SUM(F93,I93,L93,O93,R93,U93,X93,AA93,AD93,AG93,AJ93,AM93,AP93,AS93,AV93,AY93,BB93,BE93,BH93,BK93,BN93,BQ93,BT93,BW93,BZ93,CC93,CF93,CI93,CL93,CO93,CR93), 0)</f>
        <v/>
      </c>
      <c r="CV93" s="30">
        <f>IFERROR(AVERAGE(G93,J93,M93,P93,S93,V93,Y93,AB93,AE93,AH93,AK93,AN93,AQ93,AT93,AW93,AZ93,BC93,BF93,BI93,BL93,BO93,BR93,BU93,BX93,CA93,CD93,CG93,CJ93,CM93,CP93,CS93), 0)</f>
        <v/>
      </c>
      <c r="CW93" s="30">
        <f>CU93*CV93</f>
        <v/>
      </c>
    </row>
    <row r="94" ht="15.75" customHeight="1">
      <c r="A94" s="21" t="inlineStr">
        <is>
          <t>Aguacate común</t>
        </is>
      </c>
      <c r="B94" s="21" t="inlineStr">
        <is>
          <t>Und</t>
        </is>
      </c>
      <c r="C94" s="34" t="n"/>
      <c r="D94" s="32" t="n"/>
      <c r="E94" s="32" t="n"/>
      <c r="F94" s="31" t="n">
        <v>1</v>
      </c>
      <c r="G94" s="32" t="n">
        <v>57200</v>
      </c>
      <c r="H94" s="30" t="n">
        <v>57200</v>
      </c>
      <c r="I94" s="31" t="n">
        <v>1</v>
      </c>
      <c r="J94" s="32" t="n">
        <v>60000</v>
      </c>
      <c r="K94" s="30" t="n">
        <v>60000</v>
      </c>
      <c r="L94" s="31" t="n">
        <v>7</v>
      </c>
      <c r="M94" s="32" t="n">
        <v>6800</v>
      </c>
      <c r="N94" s="30" t="n">
        <v>58000</v>
      </c>
      <c r="O94" s="31" t="n">
        <v>23</v>
      </c>
      <c r="P94" s="32" t="n">
        <v>6000</v>
      </c>
      <c r="Q94" s="30" t="n">
        <v>264000</v>
      </c>
      <c r="R94" s="31" t="n">
        <v>20</v>
      </c>
      <c r="S94" s="32" t="n">
        <v>7000</v>
      </c>
      <c r="T94" s="30" t="n">
        <v>140000</v>
      </c>
      <c r="U94" s="31" t="n"/>
      <c r="V94" s="32" t="n"/>
      <c r="W94" s="30">
        <f>IFERROR(U94*V94, 0)</f>
        <v/>
      </c>
      <c r="X94" s="31" t="n">
        <v>1.03</v>
      </c>
      <c r="Y94" s="32" t="n">
        <v>8365</v>
      </c>
      <c r="Z94" s="30" t="n">
        <v>8616</v>
      </c>
      <c r="AA94" s="31" t="n"/>
      <c r="AB94" s="32" t="n"/>
      <c r="AC94" s="30">
        <f>IFERROR(AA94*AB94, 0)</f>
        <v/>
      </c>
      <c r="AD94" s="31" t="n">
        <v>15</v>
      </c>
      <c r="AE94" s="32" t="n">
        <v>6666.67</v>
      </c>
      <c r="AF94" s="30" t="n">
        <v>100000</v>
      </c>
      <c r="AG94" s="31" t="n">
        <v>2</v>
      </c>
      <c r="AH94" s="32" t="n">
        <v>6800</v>
      </c>
      <c r="AI94" s="30" t="n">
        <v>13600</v>
      </c>
      <c r="AJ94" s="31" t="n">
        <v>13</v>
      </c>
      <c r="AK94" s="32" t="n">
        <v>6800</v>
      </c>
      <c r="AL94" s="30" t="n">
        <v>88400</v>
      </c>
      <c r="AM94" s="31" t="n">
        <v>3</v>
      </c>
      <c r="AN94" s="32" t="n">
        <v>7950</v>
      </c>
      <c r="AO94" s="30" t="n">
        <v>175900</v>
      </c>
      <c r="AP94" s="31" t="n">
        <v>1</v>
      </c>
      <c r="AQ94" s="32" t="n">
        <v>160000</v>
      </c>
      <c r="AR94" s="30" t="n">
        <v>160000</v>
      </c>
      <c r="AS94" s="31" t="n"/>
      <c r="AT94" s="32" t="n"/>
      <c r="AU94" s="30">
        <f>IFERROR(AS94*AT94, 0)</f>
        <v/>
      </c>
      <c r="AV94" s="31" t="n"/>
      <c r="AW94" s="32" t="n"/>
      <c r="AX94" s="30">
        <f>IFERROR(AV94*AW94, 0)</f>
        <v/>
      </c>
      <c r="AY94" s="31" t="n">
        <v>20</v>
      </c>
      <c r="AZ94" s="32" t="n">
        <v>6000</v>
      </c>
      <c r="BA94" s="30" t="n">
        <v>120000</v>
      </c>
      <c r="BB94" s="31" t="n"/>
      <c r="BC94" s="32" t="n"/>
      <c r="BD94" s="30">
        <f>IFERROR(BB94*BC94, 0)</f>
        <v/>
      </c>
      <c r="BE94" s="31" t="n"/>
      <c r="BF94" s="32" t="n"/>
      <c r="BG94" s="30">
        <f>IFERROR(BE94*BF94, 0)</f>
        <v/>
      </c>
      <c r="BH94" s="31" t="n">
        <v>15</v>
      </c>
      <c r="BI94" s="32" t="n">
        <v>7000</v>
      </c>
      <c r="BJ94" s="30" t="n">
        <v>105000</v>
      </c>
      <c r="BK94" s="31" t="n">
        <v>24</v>
      </c>
      <c r="BL94" s="32" t="n">
        <v>6360</v>
      </c>
      <c r="BM94" s="30" t="n">
        <v>185440</v>
      </c>
      <c r="BN94" s="31" t="n"/>
      <c r="BO94" s="32" t="n"/>
      <c r="BP94" s="30">
        <f>IFERROR(BN94*BO94, 0)</f>
        <v/>
      </c>
      <c r="BQ94" s="31" t="n">
        <v>10</v>
      </c>
      <c r="BR94" s="32" t="n">
        <v>6000</v>
      </c>
      <c r="BS94" s="30" t="n">
        <v>60000</v>
      </c>
      <c r="BT94" s="31" t="n"/>
      <c r="BU94" s="32" t="n"/>
      <c r="BV94" s="30">
        <f>IFERROR(BT94*BU94, 0)</f>
        <v/>
      </c>
      <c r="BW94" s="31" t="n">
        <v>15</v>
      </c>
      <c r="BX94" s="32" t="n">
        <v>7000</v>
      </c>
      <c r="BY94" s="30" t="n">
        <v>105000</v>
      </c>
      <c r="BZ94" s="31" t="n"/>
      <c r="CA94" s="32" t="n"/>
      <c r="CB94" s="30">
        <f>IFERROR(BZ94*CA94, 0)</f>
        <v/>
      </c>
      <c r="CC94" s="31" t="n"/>
      <c r="CD94" s="32" t="n"/>
      <c r="CE94" s="30">
        <f>IFERROR(CC94*CD94, 0)</f>
        <v/>
      </c>
      <c r="CF94" s="31" t="n"/>
      <c r="CG94" s="32" t="n"/>
      <c r="CH94" s="30">
        <f>IFERROR(CF94*CG94, 0)</f>
        <v/>
      </c>
      <c r="CI94" s="31" t="n"/>
      <c r="CJ94" s="32" t="n"/>
      <c r="CK94" s="30">
        <f>IFERROR(CI94*CJ94, 0)</f>
        <v/>
      </c>
      <c r="CL94" s="31" t="n"/>
      <c r="CM94" s="32" t="n"/>
      <c r="CN94" s="30">
        <f>IFERROR(CL94*CM94, 0)</f>
        <v/>
      </c>
      <c r="CO94" s="31" t="n"/>
      <c r="CP94" s="32" t="n"/>
      <c r="CQ94" s="30">
        <f>IFERROR(CO94*CP94, 0)</f>
        <v/>
      </c>
      <c r="CR94" s="31" t="n"/>
      <c r="CS94" s="32" t="n"/>
      <c r="CT94" s="30">
        <f>IFERROR(CR94*CS94, 0)</f>
        <v/>
      </c>
      <c r="CU94" s="33">
        <f>IFERROR(SUM(F94,I94,L94,O94,R94,U94,X94,AA94,AD94,AG94,AJ94,AM94,AP94,AS94,AV94,AY94,BB94,BE94,BH94,BK94,BN94,BQ94,BT94,BW94,BZ94,CC94,CF94,CI94,CL94,CO94,CR94), 0)</f>
        <v/>
      </c>
      <c r="CV94" s="30">
        <f>IFERROR(AVERAGE(G94,J94,M94,P94,S94,V94,Y94,AB94,AE94,AH94,AK94,AN94,AQ94,AT94,AW94,AZ94,BC94,BF94,BI94,BL94,BO94,BR94,BU94,BX94,CA94,CD94,CG94,CJ94,CM94,CP94,CS94), 0)</f>
        <v/>
      </c>
      <c r="CW94" s="30">
        <f>CU94*CV94</f>
        <v/>
      </c>
    </row>
    <row r="95" ht="15.75" customHeight="1">
      <c r="A95" s="21" t="inlineStr">
        <is>
          <t>Naranjo</t>
        </is>
      </c>
      <c r="B95" s="21" t="inlineStr">
        <is>
          <t>Und</t>
        </is>
      </c>
      <c r="C95" s="34" t="n"/>
      <c r="D95" s="32" t="n"/>
      <c r="E95" s="32" t="n"/>
      <c r="F95" s="31" t="n"/>
      <c r="G95" s="32" t="n"/>
      <c r="H95" s="30">
        <f>IFERROR(F95*G95, 0)</f>
        <v/>
      </c>
      <c r="I95" s="31" t="n"/>
      <c r="J95" s="32" t="n"/>
      <c r="K95" s="30">
        <f>IFERROR(I95*J95, 0)</f>
        <v/>
      </c>
      <c r="L95" s="31" t="n"/>
      <c r="M95" s="32" t="n"/>
      <c r="N95" s="30">
        <f>IFERROR(L95*M95, 0)</f>
        <v/>
      </c>
      <c r="O95" s="31" t="n"/>
      <c r="P95" s="32" t="n"/>
      <c r="Q95" s="30">
        <f>IFERROR(O95*P95, 0)</f>
        <v/>
      </c>
      <c r="R95" s="31" t="n"/>
      <c r="S95" s="32" t="n"/>
      <c r="T95" s="30">
        <f>IFERROR(R95*S95, 0)</f>
        <v/>
      </c>
      <c r="U95" s="31" t="n"/>
      <c r="V95" s="32" t="n"/>
      <c r="W95" s="30">
        <f>IFERROR(U95*V95, 0)</f>
        <v/>
      </c>
      <c r="X95" s="31" t="n"/>
      <c r="Y95" s="32" t="n"/>
      <c r="Z95" s="30">
        <f>IFERROR(X95*Y95, 0)</f>
        <v/>
      </c>
      <c r="AA95" s="31" t="n"/>
      <c r="AB95" s="32" t="n"/>
      <c r="AC95" s="30">
        <f>IFERROR(AA95*AB95, 0)</f>
        <v/>
      </c>
      <c r="AD95" s="31" t="n"/>
      <c r="AE95" s="32" t="n"/>
      <c r="AF95" s="30">
        <f>IFERROR(AD95*AE95, 0)</f>
        <v/>
      </c>
      <c r="AG95" s="31" t="n"/>
      <c r="AH95" s="32" t="n"/>
      <c r="AI95" s="30">
        <f>IFERROR(AG95*AH95, 0)</f>
        <v/>
      </c>
      <c r="AJ95" s="31" t="n"/>
      <c r="AK95" s="32" t="n"/>
      <c r="AL95" s="30">
        <f>IFERROR(AJ95*AK95, 0)</f>
        <v/>
      </c>
      <c r="AM95" s="31" t="n"/>
      <c r="AN95" s="32" t="n"/>
      <c r="AO95" s="30">
        <f>IFERROR(AM95*AN95, 0)</f>
        <v/>
      </c>
      <c r="AP95" s="31" t="n"/>
      <c r="AQ95" s="32" t="n"/>
      <c r="AR95" s="30">
        <f>IFERROR(AP95*AQ95, 0)</f>
        <v/>
      </c>
      <c r="AS95" s="31" t="n"/>
      <c r="AT95" s="32" t="n"/>
      <c r="AU95" s="30">
        <f>IFERROR(AS95*AT95, 0)</f>
        <v/>
      </c>
      <c r="AV95" s="31" t="n"/>
      <c r="AW95" s="32" t="n"/>
      <c r="AX95" s="30">
        <f>IFERROR(AV95*AW95, 0)</f>
        <v/>
      </c>
      <c r="AY95" s="31" t="n"/>
      <c r="AZ95" s="32" t="n"/>
      <c r="BA95" s="30">
        <f>IFERROR(AY95*AZ95, 0)</f>
        <v/>
      </c>
      <c r="BB95" s="31" t="n"/>
      <c r="BC95" s="32" t="n"/>
      <c r="BD95" s="30">
        <f>IFERROR(BB95*BC95, 0)</f>
        <v/>
      </c>
      <c r="BE95" s="31" t="n"/>
      <c r="BF95" s="32" t="n"/>
      <c r="BG95" s="30">
        <f>IFERROR(BE95*BF95, 0)</f>
        <v/>
      </c>
      <c r="BH95" s="31" t="n"/>
      <c r="BI95" s="32" t="n"/>
      <c r="BJ95" s="30">
        <f>IFERROR(BH95*BI95, 0)</f>
        <v/>
      </c>
      <c r="BK95" s="31" t="n"/>
      <c r="BL95" s="32" t="n"/>
      <c r="BM95" s="30">
        <f>IFERROR(BK95*BL95, 0)</f>
        <v/>
      </c>
      <c r="BN95" s="31" t="n"/>
      <c r="BO95" s="32" t="n"/>
      <c r="BP95" s="30">
        <f>IFERROR(BN95*BO95, 0)</f>
        <v/>
      </c>
      <c r="BQ95" s="31" t="n"/>
      <c r="BR95" s="32" t="n"/>
      <c r="BS95" s="30">
        <f>IFERROR(BQ95*BR95, 0)</f>
        <v/>
      </c>
      <c r="BT95" s="31" t="n"/>
      <c r="BU95" s="32" t="n"/>
      <c r="BV95" s="30">
        <f>IFERROR(BT95*BU95, 0)</f>
        <v/>
      </c>
      <c r="BW95" s="31" t="n"/>
      <c r="BX95" s="32" t="n"/>
      <c r="BY95" s="30">
        <f>IFERROR(BW95*BX95, 0)</f>
        <v/>
      </c>
      <c r="BZ95" s="31" t="n"/>
      <c r="CA95" s="32" t="n"/>
      <c r="CB95" s="30">
        <f>IFERROR(BZ95*CA95, 0)</f>
        <v/>
      </c>
      <c r="CC95" s="31" t="n"/>
      <c r="CD95" s="32" t="n"/>
      <c r="CE95" s="30">
        <f>IFERROR(CC95*CD95, 0)</f>
        <v/>
      </c>
      <c r="CF95" s="31" t="n"/>
      <c r="CG95" s="32" t="n"/>
      <c r="CH95" s="30">
        <f>IFERROR(CF95*CG95, 0)</f>
        <v/>
      </c>
      <c r="CI95" s="31" t="n"/>
      <c r="CJ95" s="32" t="n"/>
      <c r="CK95" s="30">
        <f>IFERROR(CI95*CJ95, 0)</f>
        <v/>
      </c>
      <c r="CL95" s="31" t="n"/>
      <c r="CM95" s="32" t="n"/>
      <c r="CN95" s="30">
        <f>IFERROR(CL95*CM95, 0)</f>
        <v/>
      </c>
      <c r="CO95" s="31" t="n"/>
      <c r="CP95" s="32" t="n"/>
      <c r="CQ95" s="30">
        <f>IFERROR(CO95*CP95, 0)</f>
        <v/>
      </c>
      <c r="CR95" s="31" t="n"/>
      <c r="CS95" s="32" t="n"/>
      <c r="CT95" s="30">
        <f>IFERROR(CR95*CS95, 0)</f>
        <v/>
      </c>
      <c r="CU95" s="33">
        <f>IFERROR(SUM(F95,I95,L95,O95,R95,U95,X95,AA95,AD95,AG95,AJ95,AM95,AP95,AS95,AV95,AY95,BB95,BE95,BH95,BK95,BN95,BQ95,BT95,BW95,BZ95,CC95,CF95,CI95,CL95,CO95,CR95), 0)</f>
        <v/>
      </c>
      <c r="CV95" s="30">
        <f>IFERROR(AVERAGE(G95,J95,M95,P95,S95,V95,Y95,AB95,AE95,AH95,AK95,AN95,AQ95,AT95,AW95,AZ95,BC95,BF95,BI95,BL95,BO95,BR95,BU95,BX95,CA95,CD95,CG95,CJ95,CM95,CP95,CS95), 0)</f>
        <v/>
      </c>
      <c r="CW95" s="30">
        <f>CU95*CV95</f>
        <v/>
      </c>
    </row>
    <row r="96" ht="15.75" customHeight="1">
      <c r="A96" s="21" t="inlineStr">
        <is>
          <t>Mora x 100 gr</t>
        </is>
      </c>
      <c r="B96" s="21" t="inlineStr">
        <is>
          <t>Und</t>
        </is>
      </c>
      <c r="C96" s="34" t="n"/>
      <c r="D96" s="32" t="n"/>
      <c r="E96" s="32" t="n"/>
      <c r="F96" s="31" t="n"/>
      <c r="G96" s="32" t="n"/>
      <c r="H96" s="30">
        <f>IFERROR(F96*G96, 0)</f>
        <v/>
      </c>
      <c r="I96" s="31" t="n"/>
      <c r="J96" s="32" t="n"/>
      <c r="K96" s="30">
        <f>IFERROR(I96*J96, 0)</f>
        <v/>
      </c>
      <c r="L96" s="31" t="n"/>
      <c r="M96" s="32" t="n"/>
      <c r="N96" s="30">
        <f>IFERROR(L96*M96, 0)</f>
        <v/>
      </c>
      <c r="O96" s="31" t="n"/>
      <c r="P96" s="32" t="n"/>
      <c r="Q96" s="30">
        <f>IFERROR(O96*P96, 0)</f>
        <v/>
      </c>
      <c r="R96" s="31" t="n"/>
      <c r="S96" s="32" t="n"/>
      <c r="T96" s="30">
        <f>IFERROR(R96*S96, 0)</f>
        <v/>
      </c>
      <c r="U96" s="31" t="n"/>
      <c r="V96" s="32" t="n"/>
      <c r="W96" s="30">
        <f>IFERROR(U96*V96, 0)</f>
        <v/>
      </c>
      <c r="X96" s="31" t="n"/>
      <c r="Y96" s="32" t="n"/>
      <c r="Z96" s="30">
        <f>IFERROR(X96*Y96, 0)</f>
        <v/>
      </c>
      <c r="AA96" s="31" t="n"/>
      <c r="AB96" s="32" t="n"/>
      <c r="AC96" s="30">
        <f>IFERROR(AA96*AB96, 0)</f>
        <v/>
      </c>
      <c r="AD96" s="31" t="n"/>
      <c r="AE96" s="32" t="n"/>
      <c r="AF96" s="30">
        <f>IFERROR(AD96*AE96, 0)</f>
        <v/>
      </c>
      <c r="AG96" s="31" t="n"/>
      <c r="AH96" s="32" t="n"/>
      <c r="AI96" s="30">
        <f>IFERROR(AG96*AH96, 0)</f>
        <v/>
      </c>
      <c r="AJ96" s="31" t="n"/>
      <c r="AK96" s="32" t="n"/>
      <c r="AL96" s="30">
        <f>IFERROR(AJ96*AK96, 0)</f>
        <v/>
      </c>
      <c r="AM96" s="31" t="n"/>
      <c r="AN96" s="32" t="n"/>
      <c r="AO96" s="30">
        <f>IFERROR(AM96*AN96, 0)</f>
        <v/>
      </c>
      <c r="AP96" s="31" t="n"/>
      <c r="AQ96" s="32" t="n"/>
      <c r="AR96" s="30">
        <f>IFERROR(AP96*AQ96, 0)</f>
        <v/>
      </c>
      <c r="AS96" s="31" t="n"/>
      <c r="AT96" s="32" t="n"/>
      <c r="AU96" s="30">
        <f>IFERROR(AS96*AT96, 0)</f>
        <v/>
      </c>
      <c r="AV96" s="31" t="n"/>
      <c r="AW96" s="32" t="n"/>
      <c r="AX96" s="30">
        <f>IFERROR(AV96*AW96, 0)</f>
        <v/>
      </c>
      <c r="AY96" s="31" t="n"/>
      <c r="AZ96" s="32" t="n"/>
      <c r="BA96" s="30">
        <f>IFERROR(AY96*AZ96, 0)</f>
        <v/>
      </c>
      <c r="BB96" s="31" t="n"/>
      <c r="BC96" s="32" t="n"/>
      <c r="BD96" s="30">
        <f>IFERROR(BB96*BC96, 0)</f>
        <v/>
      </c>
      <c r="BE96" s="31" t="n"/>
      <c r="BF96" s="32" t="n"/>
      <c r="BG96" s="30">
        <f>IFERROR(BE96*BF96, 0)</f>
        <v/>
      </c>
      <c r="BH96" s="31" t="n"/>
      <c r="BI96" s="32" t="n"/>
      <c r="BJ96" s="30">
        <f>IFERROR(BH96*BI96, 0)</f>
        <v/>
      </c>
      <c r="BK96" s="31" t="n"/>
      <c r="BL96" s="32" t="n"/>
      <c r="BM96" s="30">
        <f>IFERROR(BK96*BL96, 0)</f>
        <v/>
      </c>
      <c r="BN96" s="31" t="n"/>
      <c r="BO96" s="32" t="n"/>
      <c r="BP96" s="30">
        <f>IFERROR(BN96*BO96, 0)</f>
        <v/>
      </c>
      <c r="BQ96" s="31" t="n"/>
      <c r="BR96" s="32" t="n"/>
      <c r="BS96" s="30">
        <f>IFERROR(BQ96*BR96, 0)</f>
        <v/>
      </c>
      <c r="BT96" s="31" t="n"/>
      <c r="BU96" s="32" t="n"/>
      <c r="BV96" s="30">
        <f>IFERROR(BT96*BU96, 0)</f>
        <v/>
      </c>
      <c r="BW96" s="31" t="n"/>
      <c r="BX96" s="32" t="n"/>
      <c r="BY96" s="30">
        <f>IFERROR(BW96*BX96, 0)</f>
        <v/>
      </c>
      <c r="BZ96" s="31" t="n"/>
      <c r="CA96" s="32" t="n"/>
      <c r="CB96" s="30">
        <f>IFERROR(BZ96*CA96, 0)</f>
        <v/>
      </c>
      <c r="CC96" s="31" t="n"/>
      <c r="CD96" s="32" t="n"/>
      <c r="CE96" s="30">
        <f>IFERROR(CC96*CD96, 0)</f>
        <v/>
      </c>
      <c r="CF96" s="31" t="n"/>
      <c r="CG96" s="32" t="n"/>
      <c r="CH96" s="30">
        <f>IFERROR(CF96*CG96, 0)</f>
        <v/>
      </c>
      <c r="CI96" s="31" t="n"/>
      <c r="CJ96" s="32" t="n"/>
      <c r="CK96" s="30">
        <f>IFERROR(CI96*CJ96, 0)</f>
        <v/>
      </c>
      <c r="CL96" s="31" t="n"/>
      <c r="CM96" s="32" t="n"/>
      <c r="CN96" s="30">
        <f>IFERROR(CL96*CM96, 0)</f>
        <v/>
      </c>
      <c r="CO96" s="31" t="n"/>
      <c r="CP96" s="32" t="n"/>
      <c r="CQ96" s="30">
        <f>IFERROR(CO96*CP96, 0)</f>
        <v/>
      </c>
      <c r="CR96" s="31" t="n"/>
      <c r="CS96" s="32" t="n"/>
      <c r="CT96" s="30">
        <f>IFERROR(CR96*CS96, 0)</f>
        <v/>
      </c>
      <c r="CU96" s="33">
        <f>IFERROR(SUM(F96,I96,L96,O96,R96,U96,X96,AA96,AD96,AG96,AJ96,AM96,AP96,AS96,AV96,AY96,BB96,BE96,BH96,BK96,BN96,BQ96,BT96,BW96,BZ96,CC96,CF96,CI96,CL96,CO96,CR96), 0)</f>
        <v/>
      </c>
      <c r="CV96" s="30">
        <f>IFERROR(AVERAGE(G96,J96,M96,P96,S96,V96,Y96,AB96,AE96,AH96,AK96,AN96,AQ96,AT96,AW96,AZ96,BC96,BF96,BI96,BL96,BO96,BR96,BU96,BX96,CA96,CD96,CG96,CJ96,CM96,CP96,CS96), 0)</f>
        <v/>
      </c>
      <c r="CW96" s="30">
        <f>CU96*CV96</f>
        <v/>
      </c>
    </row>
    <row r="97" ht="15.75" customHeight="1">
      <c r="A97" s="21" t="inlineStr">
        <is>
          <t>Guanabana x 100 gr</t>
        </is>
      </c>
      <c r="B97" s="21" t="inlineStr">
        <is>
          <t>Und</t>
        </is>
      </c>
      <c r="C97" s="34" t="n"/>
      <c r="D97" s="32" t="n"/>
      <c r="E97" s="32" t="n"/>
      <c r="F97" s="31" t="n"/>
      <c r="G97" s="32" t="n"/>
      <c r="H97" s="30">
        <f>IFERROR(F97*G97, 0)</f>
        <v/>
      </c>
      <c r="I97" s="31" t="n"/>
      <c r="J97" s="32" t="n"/>
      <c r="K97" s="30">
        <f>IFERROR(I97*J97, 0)</f>
        <v/>
      </c>
      <c r="L97" s="31" t="n"/>
      <c r="M97" s="32" t="n"/>
      <c r="N97" s="30">
        <f>IFERROR(L97*M97, 0)</f>
        <v/>
      </c>
      <c r="O97" s="31" t="n"/>
      <c r="P97" s="32" t="n"/>
      <c r="Q97" s="30">
        <f>IFERROR(O97*P97, 0)</f>
        <v/>
      </c>
      <c r="R97" s="31" t="n"/>
      <c r="S97" s="32" t="n"/>
      <c r="T97" s="30">
        <f>IFERROR(R97*S97, 0)</f>
        <v/>
      </c>
      <c r="U97" s="31" t="n"/>
      <c r="V97" s="32" t="n"/>
      <c r="W97" s="30">
        <f>IFERROR(U97*V97, 0)</f>
        <v/>
      </c>
      <c r="X97" s="31" t="n"/>
      <c r="Y97" s="32" t="n"/>
      <c r="Z97" s="30">
        <f>IFERROR(X97*Y97, 0)</f>
        <v/>
      </c>
      <c r="AA97" s="31" t="n"/>
      <c r="AB97" s="32" t="n"/>
      <c r="AC97" s="30">
        <f>IFERROR(AA97*AB97, 0)</f>
        <v/>
      </c>
      <c r="AD97" s="31" t="n"/>
      <c r="AE97" s="32" t="n"/>
      <c r="AF97" s="30">
        <f>IFERROR(AD97*AE97, 0)</f>
        <v/>
      </c>
      <c r="AG97" s="31" t="n"/>
      <c r="AH97" s="32" t="n"/>
      <c r="AI97" s="30">
        <f>IFERROR(AG97*AH97, 0)</f>
        <v/>
      </c>
      <c r="AJ97" s="31" t="n"/>
      <c r="AK97" s="32" t="n"/>
      <c r="AL97" s="30">
        <f>IFERROR(AJ97*AK97, 0)</f>
        <v/>
      </c>
      <c r="AM97" s="31" t="n"/>
      <c r="AN97" s="32" t="n"/>
      <c r="AO97" s="30">
        <f>IFERROR(AM97*AN97, 0)</f>
        <v/>
      </c>
      <c r="AP97" s="31" t="n"/>
      <c r="AQ97" s="32" t="n"/>
      <c r="AR97" s="30">
        <f>IFERROR(AP97*AQ97, 0)</f>
        <v/>
      </c>
      <c r="AS97" s="31" t="n"/>
      <c r="AT97" s="32" t="n"/>
      <c r="AU97" s="30">
        <f>IFERROR(AS97*AT97, 0)</f>
        <v/>
      </c>
      <c r="AV97" s="31" t="n"/>
      <c r="AW97" s="32" t="n"/>
      <c r="AX97" s="30">
        <f>IFERROR(AV97*AW97, 0)</f>
        <v/>
      </c>
      <c r="AY97" s="31" t="n"/>
      <c r="AZ97" s="32" t="n"/>
      <c r="BA97" s="30">
        <f>IFERROR(AY97*AZ97, 0)</f>
        <v/>
      </c>
      <c r="BB97" s="31" t="n"/>
      <c r="BC97" s="32" t="n"/>
      <c r="BD97" s="30">
        <f>IFERROR(BB97*BC97, 0)</f>
        <v/>
      </c>
      <c r="BE97" s="31" t="n"/>
      <c r="BF97" s="32" t="n"/>
      <c r="BG97" s="30">
        <f>IFERROR(BE97*BF97, 0)</f>
        <v/>
      </c>
      <c r="BH97" s="31" t="n"/>
      <c r="BI97" s="32" t="n"/>
      <c r="BJ97" s="30">
        <f>IFERROR(BH97*BI97, 0)</f>
        <v/>
      </c>
      <c r="BK97" s="31" t="n"/>
      <c r="BL97" s="32" t="n"/>
      <c r="BM97" s="30">
        <f>IFERROR(BK97*BL97, 0)</f>
        <v/>
      </c>
      <c r="BN97" s="31" t="n"/>
      <c r="BO97" s="32" t="n"/>
      <c r="BP97" s="30">
        <f>IFERROR(BN97*BO97, 0)</f>
        <v/>
      </c>
      <c r="BQ97" s="31" t="n"/>
      <c r="BR97" s="32" t="n"/>
      <c r="BS97" s="30">
        <f>IFERROR(BQ97*BR97, 0)</f>
        <v/>
      </c>
      <c r="BT97" s="31" t="n"/>
      <c r="BU97" s="32" t="n"/>
      <c r="BV97" s="30">
        <f>IFERROR(BT97*BU97, 0)</f>
        <v/>
      </c>
      <c r="BW97" s="31" t="n"/>
      <c r="BX97" s="32" t="n"/>
      <c r="BY97" s="30">
        <f>IFERROR(BW97*BX97, 0)</f>
        <v/>
      </c>
      <c r="BZ97" s="31" t="n"/>
      <c r="CA97" s="32" t="n"/>
      <c r="CB97" s="30">
        <f>IFERROR(BZ97*CA97, 0)</f>
        <v/>
      </c>
      <c r="CC97" s="31" t="n"/>
      <c r="CD97" s="32" t="n"/>
      <c r="CE97" s="30">
        <f>IFERROR(CC97*CD97, 0)</f>
        <v/>
      </c>
      <c r="CF97" s="31" t="n"/>
      <c r="CG97" s="32" t="n"/>
      <c r="CH97" s="30">
        <f>IFERROR(CF97*CG97, 0)</f>
        <v/>
      </c>
      <c r="CI97" s="31" t="n"/>
      <c r="CJ97" s="32" t="n"/>
      <c r="CK97" s="30">
        <f>IFERROR(CI97*CJ97, 0)</f>
        <v/>
      </c>
      <c r="CL97" s="31" t="n"/>
      <c r="CM97" s="32" t="n"/>
      <c r="CN97" s="30">
        <f>IFERROR(CL97*CM97, 0)</f>
        <v/>
      </c>
      <c r="CO97" s="31" t="n"/>
      <c r="CP97" s="32" t="n"/>
      <c r="CQ97" s="30">
        <f>IFERROR(CO97*CP97, 0)</f>
        <v/>
      </c>
      <c r="CR97" s="31" t="n"/>
      <c r="CS97" s="32" t="n"/>
      <c r="CT97" s="30">
        <f>IFERROR(CR97*CS97, 0)</f>
        <v/>
      </c>
      <c r="CU97" s="33">
        <f>IFERROR(SUM(F97,I97,L97,O97,R97,U97,X97,AA97,AD97,AG97,AJ97,AM97,AP97,AS97,AV97,AY97,BB97,BE97,BH97,BK97,BN97,BQ97,BT97,BW97,BZ97,CC97,CF97,CI97,CL97,CO97,CR97), 0)</f>
        <v/>
      </c>
      <c r="CV97" s="30">
        <f>IFERROR(AVERAGE(G97,J97,M97,P97,S97,V97,Y97,AB97,AE97,AH97,AK97,AN97,AQ97,AT97,AW97,AZ97,BC97,BF97,BI97,BL97,BO97,BR97,BU97,BX97,CA97,CD97,CG97,CJ97,CM97,CP97,CS97), 0)</f>
        <v/>
      </c>
      <c r="CW97" s="30">
        <f>CU97*CV97</f>
        <v/>
      </c>
    </row>
    <row r="98">
      <c r="A98" s="35" t="inlineStr">
        <is>
          <t>Choclo x 350g</t>
        </is>
      </c>
      <c r="B98" s="21" t="inlineStr">
        <is>
          <t>Und</t>
        </is>
      </c>
      <c r="C98" s="35" t="n"/>
      <c r="D98" s="35" t="n"/>
      <c r="E98" s="35" t="n"/>
      <c r="F98" s="35" t="n"/>
      <c r="G98" s="35" t="n"/>
      <c r="H98" s="35" t="n"/>
      <c r="I98" s="31" t="n"/>
      <c r="J98" s="32" t="n"/>
      <c r="K98" s="30">
        <f>IFERROR(I98*J98, 0)</f>
        <v/>
      </c>
      <c r="L98" s="31" t="n"/>
      <c r="M98" s="32" t="n"/>
      <c r="N98" s="30">
        <f>IFERROR(L98*M98, 0)</f>
        <v/>
      </c>
      <c r="O98" s="31" t="n"/>
      <c r="P98" s="32" t="n"/>
      <c r="Q98" s="30">
        <f>IFERROR(O98*P98, 0)</f>
        <v/>
      </c>
      <c r="R98" s="31" t="n"/>
      <c r="S98" s="32" t="n"/>
      <c r="T98" s="30">
        <f>IFERROR(R98*S98, 0)</f>
        <v/>
      </c>
      <c r="U98" s="31" t="n"/>
      <c r="V98" s="32" t="n"/>
      <c r="W98" s="30">
        <f>IFERROR(U98*V98, 0)</f>
        <v/>
      </c>
      <c r="X98" s="31" t="n"/>
      <c r="Y98" s="32" t="n"/>
      <c r="Z98" s="30">
        <f>IFERROR(X98*Y98, 0)</f>
        <v/>
      </c>
      <c r="AA98" s="31" t="n"/>
      <c r="AB98" s="32" t="n"/>
      <c r="AC98" s="30">
        <f>IFERROR(AA98*AB98, 0)</f>
        <v/>
      </c>
      <c r="AD98" s="31" t="n"/>
      <c r="AE98" s="32" t="n"/>
      <c r="AF98" s="30">
        <f>IFERROR(AD98*AE98, 0)</f>
        <v/>
      </c>
      <c r="AG98" s="31" t="n"/>
      <c r="AH98" s="32" t="n"/>
      <c r="AI98" s="30">
        <f>IFERROR(AG98*AH98, 0)</f>
        <v/>
      </c>
      <c r="AJ98" s="31" t="n"/>
      <c r="AK98" s="32" t="n"/>
      <c r="AL98" s="30">
        <f>IFERROR(AJ98*AK98, 0)</f>
        <v/>
      </c>
      <c r="AM98" s="31" t="n"/>
      <c r="AN98" s="32" t="n"/>
      <c r="AO98" s="30">
        <f>IFERROR(AM98*AN98, 0)</f>
        <v/>
      </c>
      <c r="AP98" s="31" t="n"/>
      <c r="AQ98" s="32" t="n"/>
      <c r="AR98" s="30">
        <f>IFERROR(AP98*AQ98, 0)</f>
        <v/>
      </c>
      <c r="AS98" s="31" t="n"/>
      <c r="AT98" s="32" t="n"/>
      <c r="AU98" s="30">
        <f>IFERROR(AS98*AT98, 0)</f>
        <v/>
      </c>
      <c r="AV98" s="31" t="n"/>
      <c r="AW98" s="32" t="n"/>
      <c r="AX98" s="30">
        <f>IFERROR(AV98*AW98, 0)</f>
        <v/>
      </c>
      <c r="AY98" s="31" t="n"/>
      <c r="AZ98" s="32" t="n"/>
      <c r="BA98" s="30">
        <f>IFERROR(AY98*AZ98, 0)</f>
        <v/>
      </c>
      <c r="BB98" s="31" t="n"/>
      <c r="BC98" s="32" t="n"/>
      <c r="BD98" s="30">
        <f>IFERROR(BB98*BC98, 0)</f>
        <v/>
      </c>
      <c r="BE98" s="31" t="n"/>
      <c r="BF98" s="32" t="n"/>
      <c r="BG98" s="30">
        <f>IFERROR(BE98*BF98, 0)</f>
        <v/>
      </c>
      <c r="BH98" s="31" t="n"/>
      <c r="BI98" s="32" t="n"/>
      <c r="BJ98" s="30">
        <f>IFERROR(BH98*BI98, 0)</f>
        <v/>
      </c>
      <c r="BK98" s="31" t="n"/>
      <c r="BL98" s="32" t="n"/>
      <c r="BM98" s="30">
        <f>IFERROR(BK98*BL98, 0)</f>
        <v/>
      </c>
      <c r="BN98" s="31" t="n"/>
      <c r="BO98" s="32" t="n"/>
      <c r="BP98" s="30">
        <f>IFERROR(BN98*BO98, 0)</f>
        <v/>
      </c>
      <c r="BQ98" s="31" t="n"/>
      <c r="BR98" s="32" t="n"/>
      <c r="BS98" s="30">
        <f>IFERROR(BQ98*BR98, 0)</f>
        <v/>
      </c>
      <c r="BT98" s="31" t="n"/>
      <c r="BU98" s="32" t="n"/>
      <c r="BV98" s="30">
        <f>IFERROR(BT98*BU98, 0)</f>
        <v/>
      </c>
      <c r="BW98" s="31" t="n"/>
      <c r="BX98" s="32" t="n"/>
      <c r="BY98" s="30">
        <f>IFERROR(BW98*BX98, 0)</f>
        <v/>
      </c>
      <c r="BZ98" s="31" t="n"/>
      <c r="CA98" s="32" t="n"/>
      <c r="CB98" s="30">
        <f>IFERROR(BZ98*CA98, 0)</f>
        <v/>
      </c>
      <c r="CC98" s="31" t="n"/>
      <c r="CD98" s="32" t="n"/>
      <c r="CE98" s="30">
        <f>IFERROR(CC98*CD98, 0)</f>
        <v/>
      </c>
      <c r="CF98" s="31" t="n"/>
      <c r="CG98" s="32" t="n"/>
      <c r="CH98" s="30">
        <f>IFERROR(CF98*CG98, 0)</f>
        <v/>
      </c>
      <c r="CI98" s="31" t="n"/>
      <c r="CJ98" s="32" t="n"/>
      <c r="CK98" s="30">
        <f>IFERROR(CI98*CJ98, 0)</f>
        <v/>
      </c>
      <c r="CL98" s="31" t="n"/>
      <c r="CM98" s="32" t="n"/>
      <c r="CN98" s="30">
        <f>IFERROR(CL98*CM98, 0)</f>
        <v/>
      </c>
      <c r="CO98" s="31" t="n"/>
      <c r="CP98" s="32" t="n"/>
      <c r="CQ98" s="30">
        <f>IFERROR(CO98*CP98, 0)</f>
        <v/>
      </c>
      <c r="CR98" s="31" t="n"/>
      <c r="CS98" s="32" t="n"/>
      <c r="CT98" s="30">
        <f>IFERROR(CR98*CS98, 0)</f>
        <v/>
      </c>
      <c r="CU98" s="33">
        <f>IFERROR(SUM(F98,I98,L98,O98,R98,U98,X98,AA98,AD98,AG98,AJ98,AM98,AP98,AS98,AV98,AY98,BB98,BE98,BH98,BK98,BN98,BQ98,BT98,BW98,BZ98,CC98,CF98,CI98,CL98,CO98,CR98), 0)</f>
        <v/>
      </c>
      <c r="CV98" s="30">
        <f>IFERROR(AVERAGE(G98,J98,M98,P98,S98,V98,Y98,AB98,AE98,AH98,AK98,AN98,AQ98,AT98,AW98,AZ98,BC98,BF98,BI98,BL98,BO98,BR98,BU98,BX98,CA98,CD98,CG98,CJ98,CM98,CP98,CS98), 0)</f>
        <v/>
      </c>
      <c r="CW98" s="30">
        <f>CU98*CV98</f>
        <v/>
      </c>
    </row>
  </sheetData>
  <autoFilter ref="A2:CW98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CW55"/>
  <sheetViews>
    <sheetView topLeftCell="A2" zoomScaleNormal="100" workbookViewId="0">
      <pane xSplit="1" topLeftCell="CI1" activePane="topRight" state="frozen"/>
      <selection activeCell="A25" sqref="A25"/>
      <selection pane="topRight" activeCell="CW2" sqref="CW2"/>
    </sheetView>
  </sheetViews>
  <sheetFormatPr baseColWidth="10" defaultColWidth="11.453125" defaultRowHeight="15.5"/>
  <cols>
    <col width="30.7265625" customWidth="1" style="39" min="1" max="1"/>
    <col width="13.81640625" customWidth="1" style="39" min="2" max="2"/>
    <col width="14.81640625" customWidth="1" style="39" min="3" max="3"/>
    <col width="11.7265625" customWidth="1" style="39" min="4" max="4"/>
    <col width="13.1796875" customWidth="1" style="39" min="5" max="5"/>
    <col width="12.7265625" customWidth="1" style="39" min="6" max="6"/>
    <col width="16" customWidth="1" style="39" min="7" max="7"/>
    <col width="16.54296875" customWidth="1" style="39" min="8" max="8"/>
    <col width="12.7265625" customWidth="1" style="39" min="9" max="9"/>
    <col width="16" customWidth="1" style="39" min="10" max="10"/>
    <col width="16.54296875" customWidth="1" style="39" min="11" max="11"/>
    <col width="12.7265625" customWidth="1" style="39" min="12" max="12"/>
    <col width="16" customWidth="1" style="39" min="13" max="13"/>
    <col width="16.54296875" customWidth="1" style="39" min="14" max="14"/>
    <col width="12.7265625" customWidth="1" style="39" min="15" max="15"/>
    <col width="16" customWidth="1" style="39" min="16" max="16"/>
    <col width="16.54296875" customWidth="1" style="39" min="17" max="17"/>
    <col width="12.7265625" customWidth="1" style="39" min="18" max="18"/>
    <col width="14.54296875" bestFit="1" customWidth="1" style="39" min="19" max="19"/>
    <col width="16.54296875" customWidth="1" style="39" min="20" max="20"/>
    <col width="12.7265625" customWidth="1" style="39" min="21" max="21"/>
    <col width="16" customWidth="1" style="39" min="22" max="22"/>
    <col width="16.54296875" customWidth="1" style="39" min="23" max="23"/>
    <col width="12.7265625" customWidth="1" style="39" min="24" max="24"/>
    <col width="16" customWidth="1" style="39" min="25" max="25"/>
    <col width="16.54296875" customWidth="1" style="39" min="26" max="26"/>
    <col width="12.7265625" customWidth="1" style="39" min="27" max="27"/>
    <col width="16" customWidth="1" style="39" min="28" max="28"/>
    <col width="16.54296875" customWidth="1" style="39" min="29" max="29"/>
    <col width="12.7265625" customWidth="1" style="39" min="30" max="30"/>
    <col width="16" customWidth="1" style="39" min="31" max="31"/>
    <col width="16.54296875" customWidth="1" style="39" min="32" max="32"/>
    <col width="12.7265625" customWidth="1" style="39" min="33" max="33"/>
    <col width="16" customWidth="1" style="39" min="34" max="34"/>
    <col width="16.54296875" customWidth="1" style="39" min="35" max="35"/>
    <col width="12.7265625" customWidth="1" style="39" min="36" max="36"/>
    <col width="16" customWidth="1" style="39" min="37" max="37"/>
    <col width="16.54296875" customWidth="1" style="39" min="38" max="38"/>
    <col width="12.7265625" customWidth="1" style="39" min="39" max="39"/>
    <col width="16" customWidth="1" style="39" min="40" max="40"/>
    <col width="16.54296875" customWidth="1" style="39" min="41" max="41"/>
    <col width="12.7265625" customWidth="1" style="39" min="42" max="42"/>
    <col width="13.26953125" bestFit="1" customWidth="1" style="39" min="43" max="43"/>
    <col width="16.54296875" customWidth="1" style="39" min="44" max="44"/>
    <col width="12.7265625" customWidth="1" style="39" min="45" max="45"/>
    <col width="16" customWidth="1" style="39" min="46" max="46"/>
    <col width="16.54296875" customWidth="1" style="39" min="47" max="47"/>
    <col width="12.7265625" customWidth="1" style="39" min="48" max="48"/>
    <col width="16" customWidth="1" style="39" min="49" max="49"/>
    <col width="16.54296875" customWidth="1" style="39" min="50" max="50"/>
    <col width="12.7265625" customWidth="1" style="39" min="51" max="51"/>
    <col width="16" customWidth="1" style="39" min="52" max="52"/>
    <col width="16.54296875" customWidth="1" style="39" min="53" max="53"/>
    <col width="12.7265625" customWidth="1" style="39" min="54" max="54"/>
    <col width="16" customWidth="1" style="39" min="55" max="55"/>
    <col width="16.54296875" customWidth="1" style="39" min="56" max="56"/>
    <col width="12.7265625" customWidth="1" style="39" min="57" max="57"/>
    <col width="16" customWidth="1" style="39" min="58" max="58"/>
    <col width="16.54296875" customWidth="1" style="39" min="59" max="59"/>
    <col width="12.7265625" customWidth="1" style="39" min="60" max="60"/>
    <col width="16" customWidth="1" style="39" min="61" max="61"/>
    <col width="16.54296875" customWidth="1" style="39" min="62" max="62"/>
    <col width="12.7265625" customWidth="1" style="39" min="63" max="63"/>
    <col width="16" customWidth="1" style="39" min="64" max="64"/>
    <col width="16.54296875" customWidth="1" style="39" min="65" max="65"/>
    <col width="12.7265625" customWidth="1" style="39" min="66" max="66"/>
    <col width="13.26953125" bestFit="1" customWidth="1" style="39" min="67" max="67"/>
    <col width="16.54296875" customWidth="1" style="39" min="68" max="68"/>
    <col width="12.7265625" customWidth="1" style="39" min="69" max="69"/>
    <col width="16" customWidth="1" style="39" min="70" max="70"/>
    <col width="16.54296875" customWidth="1" style="39" min="71" max="71"/>
    <col width="12.7265625" customWidth="1" style="39" min="72" max="72"/>
    <col width="16" customWidth="1" style="39" min="73" max="73"/>
    <col width="16.54296875" customWidth="1" style="39" min="74" max="74"/>
    <col width="12.7265625" customWidth="1" style="39" min="75" max="75"/>
    <col width="16" customWidth="1" style="39" min="76" max="76"/>
    <col width="16.54296875" customWidth="1" style="39" min="77" max="77"/>
    <col width="12.7265625" customWidth="1" style="39" min="78" max="78"/>
    <col width="16" customWidth="1" style="39" min="79" max="79"/>
    <col width="16.54296875" customWidth="1" style="39" min="80" max="80"/>
    <col width="12.7265625" customWidth="1" style="39" min="81" max="81"/>
    <col width="16.54296875" bestFit="1" customWidth="1" style="39" min="82" max="82"/>
    <col width="16.54296875" customWidth="1" style="39" min="83" max="83"/>
    <col width="12.7265625" customWidth="1" style="39" min="84" max="84"/>
    <col width="16" customWidth="1" style="39" min="85" max="85"/>
    <col width="16.54296875" customWidth="1" style="39" min="86" max="86"/>
    <col width="12.7265625" customWidth="1" style="39" min="87" max="87"/>
    <col width="16" customWidth="1" style="39" min="88" max="88"/>
    <col width="16.54296875" customWidth="1" style="39" min="89" max="89"/>
    <col width="12.7265625" customWidth="1" style="39" min="90" max="90"/>
    <col width="12" customWidth="1" style="39" min="91" max="91"/>
    <col width="16.54296875" customWidth="1" style="39" min="92" max="92"/>
    <col width="12.7265625" customWidth="1" style="39" min="93" max="93"/>
    <col width="16" customWidth="1" style="39" min="94" max="94"/>
    <col width="16.54296875" customWidth="1" style="39" min="95" max="95"/>
    <col width="12.7265625" customWidth="1" style="39" min="96" max="96"/>
    <col width="16" customWidth="1" style="39" min="97" max="97"/>
    <col width="16.54296875" customWidth="1" style="39" min="98" max="98"/>
    <col width="12.7265625" customWidth="1" style="39" min="99" max="99"/>
    <col width="16" customWidth="1" style="39" min="100" max="100"/>
    <col width="16.54296875" customWidth="1" style="39" min="101" max="101"/>
    <col width="12.26953125" customWidth="1" style="39" min="102" max="102"/>
    <col width="12.81640625" customWidth="1" style="39" min="103" max="103"/>
    <col width="8.453125" customWidth="1" style="39" min="104" max="104"/>
    <col width="12.26953125" customWidth="1" style="39" min="105" max="105"/>
    <col width="15.1796875" customWidth="1" style="39" min="106" max="106"/>
    <col width="11.453125" customWidth="1" style="39" min="107" max="108"/>
    <col width="17.26953125" customWidth="1" style="39" min="109" max="109"/>
    <col width="11.54296875" customWidth="1" style="39" min="110" max="111"/>
    <col width="14.26953125" customWidth="1" style="39" min="112" max="112"/>
    <col width="11.453125" customWidth="1" style="39" min="113" max="113"/>
    <col width="11.54296875" customWidth="1" style="39" min="114" max="115"/>
    <col width="11.453125" customWidth="1" style="39" min="116" max="128"/>
    <col width="11.453125" customWidth="1" style="39" min="129" max="16384"/>
  </cols>
  <sheetData>
    <row r="1" ht="18.75" customHeight="1">
      <c r="A1" s="10" t="inlineStr">
        <is>
          <t>Granos</t>
        </is>
      </c>
      <c r="B1" s="40" t="n"/>
      <c r="C1" s="40" t="n"/>
      <c r="D1" s="40" t="n"/>
      <c r="E1" s="40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10" t="inlineStr">
        <is>
          <t>Producto</t>
        </is>
      </c>
      <c r="B2" s="6" t="inlineStr">
        <is>
          <t>Medida</t>
        </is>
      </c>
      <c r="C2" s="6" t="inlineStr">
        <is>
          <t>Cantidad</t>
        </is>
      </c>
      <c r="D2" s="6" t="inlineStr">
        <is>
          <t>Valor</t>
        </is>
      </c>
      <c r="E2" s="6" t="inlineStr">
        <is>
          <t>Total</t>
        </is>
      </c>
      <c r="F2" s="125" t="inlineStr">
        <is>
          <t>Cantid</t>
        </is>
      </c>
      <c r="G2" s="124" t="inlineStr">
        <is>
          <t>Costo unit</t>
        </is>
      </c>
      <c r="H2" s="124" t="inlineStr">
        <is>
          <t>Vr. compra</t>
        </is>
      </c>
      <c r="I2" s="125" t="inlineStr">
        <is>
          <t>Cantid</t>
        </is>
      </c>
      <c r="J2" s="124" t="inlineStr">
        <is>
          <t>Costo unit</t>
        </is>
      </c>
      <c r="K2" s="124" t="inlineStr">
        <is>
          <t>Vr. compra</t>
        </is>
      </c>
      <c r="L2" s="125" t="inlineStr">
        <is>
          <t>Cantid</t>
        </is>
      </c>
      <c r="M2" s="124" t="inlineStr">
        <is>
          <t>Costo unit</t>
        </is>
      </c>
      <c r="N2" s="124" t="inlineStr">
        <is>
          <t>Vr. compra</t>
        </is>
      </c>
      <c r="O2" s="125" t="inlineStr">
        <is>
          <t>Cantid</t>
        </is>
      </c>
      <c r="P2" s="124" t="inlineStr">
        <is>
          <t>Costo unit</t>
        </is>
      </c>
      <c r="Q2" s="124" t="inlineStr">
        <is>
          <t>Vr. compra</t>
        </is>
      </c>
      <c r="R2" s="125" t="inlineStr">
        <is>
          <t>Cantid</t>
        </is>
      </c>
      <c r="S2" s="125" t="inlineStr">
        <is>
          <t>Costo</t>
        </is>
      </c>
      <c r="T2" s="124" t="inlineStr">
        <is>
          <t>Vr. compra</t>
        </is>
      </c>
      <c r="U2" s="125" t="inlineStr">
        <is>
          <t>Cantid</t>
        </is>
      </c>
      <c r="V2" s="124" t="inlineStr">
        <is>
          <t>Costo unit</t>
        </is>
      </c>
      <c r="W2" s="124" t="inlineStr">
        <is>
          <t>Vr. compra</t>
        </is>
      </c>
      <c r="X2" s="125" t="inlineStr">
        <is>
          <t>Cantid</t>
        </is>
      </c>
      <c r="Y2" s="124" t="inlineStr">
        <is>
          <t>Costo unit</t>
        </is>
      </c>
      <c r="Z2" s="124" t="inlineStr">
        <is>
          <t>Vr. compra</t>
        </is>
      </c>
      <c r="AA2" s="125" t="inlineStr">
        <is>
          <t>Cantid</t>
        </is>
      </c>
      <c r="AB2" s="124" t="inlineStr">
        <is>
          <t>Costo unit</t>
        </is>
      </c>
      <c r="AC2" s="124" t="inlineStr">
        <is>
          <t>Vr. compra</t>
        </is>
      </c>
      <c r="AD2" s="125" t="inlineStr">
        <is>
          <t>Cantid</t>
        </is>
      </c>
      <c r="AE2" s="124" t="inlineStr">
        <is>
          <t>Costo unit</t>
        </is>
      </c>
      <c r="AF2" s="124" t="inlineStr">
        <is>
          <t>Vr. compra</t>
        </is>
      </c>
      <c r="AG2" s="125" t="inlineStr">
        <is>
          <t>Cantid</t>
        </is>
      </c>
      <c r="AH2" s="124" t="inlineStr">
        <is>
          <t>Costo unit</t>
        </is>
      </c>
      <c r="AI2" s="124" t="inlineStr">
        <is>
          <t>Vr. compra</t>
        </is>
      </c>
      <c r="AJ2" s="125" t="inlineStr">
        <is>
          <t>Cantid</t>
        </is>
      </c>
      <c r="AK2" s="124" t="inlineStr">
        <is>
          <t>Costo unit</t>
        </is>
      </c>
      <c r="AL2" s="124" t="inlineStr">
        <is>
          <t>Vr. compra</t>
        </is>
      </c>
      <c r="AM2" s="125" t="inlineStr">
        <is>
          <t>Cantid</t>
        </is>
      </c>
      <c r="AN2" s="124" t="inlineStr">
        <is>
          <t>Costo unit</t>
        </is>
      </c>
      <c r="AO2" s="124" t="inlineStr">
        <is>
          <t>Vr. compra</t>
        </is>
      </c>
      <c r="AP2" s="125" t="inlineStr">
        <is>
          <t>Cantid</t>
        </is>
      </c>
      <c r="AQ2" s="125" t="inlineStr">
        <is>
          <t>Costo</t>
        </is>
      </c>
      <c r="AR2" s="124" t="inlineStr">
        <is>
          <t>Vr. compra</t>
        </is>
      </c>
      <c r="AS2" s="125" t="inlineStr">
        <is>
          <t>Cantid</t>
        </is>
      </c>
      <c r="AT2" s="124" t="inlineStr">
        <is>
          <t>Costo unit</t>
        </is>
      </c>
      <c r="AU2" s="124" t="inlineStr">
        <is>
          <t>Vr. compra</t>
        </is>
      </c>
      <c r="AV2" s="125" t="inlineStr">
        <is>
          <t>Cantid</t>
        </is>
      </c>
      <c r="AW2" s="124" t="inlineStr">
        <is>
          <t>Costo unit</t>
        </is>
      </c>
      <c r="AX2" s="124" t="inlineStr">
        <is>
          <t>Vr. compra</t>
        </is>
      </c>
      <c r="AY2" s="125" t="inlineStr">
        <is>
          <t>Cantid</t>
        </is>
      </c>
      <c r="AZ2" s="124" t="inlineStr">
        <is>
          <t>Costo unit</t>
        </is>
      </c>
      <c r="BA2" s="124" t="inlineStr">
        <is>
          <t>Vr. compra</t>
        </is>
      </c>
      <c r="BB2" s="125" t="inlineStr">
        <is>
          <t>Cantid</t>
        </is>
      </c>
      <c r="BC2" s="124" t="inlineStr">
        <is>
          <t>Costo unit</t>
        </is>
      </c>
      <c r="BD2" s="124" t="inlineStr">
        <is>
          <t>Vr. compra</t>
        </is>
      </c>
      <c r="BE2" s="125" t="inlineStr">
        <is>
          <t>Cantid</t>
        </is>
      </c>
      <c r="BF2" s="124" t="inlineStr">
        <is>
          <t>Costo unit</t>
        </is>
      </c>
      <c r="BG2" s="124" t="inlineStr">
        <is>
          <t>Vr. compra</t>
        </is>
      </c>
      <c r="BH2" s="125" t="inlineStr">
        <is>
          <t>Cantid</t>
        </is>
      </c>
      <c r="BI2" s="124" t="inlineStr">
        <is>
          <t>Costo unit</t>
        </is>
      </c>
      <c r="BJ2" s="124" t="inlineStr">
        <is>
          <t>Vr. compra</t>
        </is>
      </c>
      <c r="BK2" s="125" t="inlineStr">
        <is>
          <t>Cantid</t>
        </is>
      </c>
      <c r="BL2" s="124" t="inlineStr">
        <is>
          <t>Costo unit</t>
        </is>
      </c>
      <c r="BM2" s="124" t="inlineStr">
        <is>
          <t>Vr. compra</t>
        </is>
      </c>
      <c r="BN2" s="125" t="inlineStr">
        <is>
          <t>Cantid</t>
        </is>
      </c>
      <c r="BO2" s="125" t="inlineStr">
        <is>
          <t>Costo</t>
        </is>
      </c>
      <c r="BP2" s="124" t="inlineStr">
        <is>
          <t>Vr. compra</t>
        </is>
      </c>
      <c r="BQ2" s="125" t="inlineStr">
        <is>
          <t>Cantid</t>
        </is>
      </c>
      <c r="BR2" s="124" t="inlineStr">
        <is>
          <t>Costo unit</t>
        </is>
      </c>
      <c r="BS2" s="124" t="inlineStr">
        <is>
          <t>Vr. compra</t>
        </is>
      </c>
      <c r="BT2" s="125" t="inlineStr">
        <is>
          <t>Cantid</t>
        </is>
      </c>
      <c r="BU2" s="124" t="inlineStr">
        <is>
          <t>Costo unit</t>
        </is>
      </c>
      <c r="BV2" s="124" t="inlineStr">
        <is>
          <t>Vr. compra</t>
        </is>
      </c>
      <c r="BW2" s="125" t="inlineStr">
        <is>
          <t>Cantid</t>
        </is>
      </c>
      <c r="BX2" s="124" t="inlineStr">
        <is>
          <t>Costo unit</t>
        </is>
      </c>
      <c r="BY2" s="124" t="inlineStr">
        <is>
          <t>Vr. compra</t>
        </is>
      </c>
      <c r="BZ2" s="125" t="inlineStr">
        <is>
          <t>Cantid</t>
        </is>
      </c>
      <c r="CA2" s="124" t="inlineStr">
        <is>
          <t>Costo unit</t>
        </is>
      </c>
      <c r="CB2" s="124" t="inlineStr">
        <is>
          <t>Vr. compra</t>
        </is>
      </c>
      <c r="CC2" s="125" t="inlineStr">
        <is>
          <t>Cantid</t>
        </is>
      </c>
      <c r="CD2" s="124" t="inlineStr">
        <is>
          <t>Costo unit</t>
        </is>
      </c>
      <c r="CE2" s="124" t="inlineStr">
        <is>
          <t>Vr. compra</t>
        </is>
      </c>
      <c r="CF2" s="125" t="inlineStr">
        <is>
          <t>Cantid</t>
        </is>
      </c>
      <c r="CG2" s="124" t="inlineStr">
        <is>
          <t>Costo unit</t>
        </is>
      </c>
      <c r="CH2" s="124" t="inlineStr">
        <is>
          <t>Vr. compra</t>
        </is>
      </c>
      <c r="CI2" s="125" t="inlineStr">
        <is>
          <t>Cantid</t>
        </is>
      </c>
      <c r="CJ2" s="124" t="inlineStr">
        <is>
          <t>Costo unit</t>
        </is>
      </c>
      <c r="CK2" s="124" t="inlineStr">
        <is>
          <t>Vr. compra</t>
        </is>
      </c>
      <c r="CL2" s="125" t="inlineStr">
        <is>
          <t>Cantid</t>
        </is>
      </c>
      <c r="CM2" s="125" t="inlineStr">
        <is>
          <t>Costo</t>
        </is>
      </c>
      <c r="CN2" s="124" t="inlineStr">
        <is>
          <t>Vr. compra</t>
        </is>
      </c>
      <c r="CO2" s="125" t="inlineStr">
        <is>
          <t>Cantid</t>
        </is>
      </c>
      <c r="CP2" s="124" t="inlineStr">
        <is>
          <t>Costo unit</t>
        </is>
      </c>
      <c r="CQ2" s="124" t="inlineStr">
        <is>
          <t>Vr. compra</t>
        </is>
      </c>
      <c r="CR2" s="125" t="inlineStr">
        <is>
          <t>Cantid</t>
        </is>
      </c>
      <c r="CS2" s="124" t="inlineStr">
        <is>
          <t>Costo unit</t>
        </is>
      </c>
      <c r="CT2" s="124" t="inlineStr">
        <is>
          <t>Vr. compra</t>
        </is>
      </c>
      <c r="CU2" s="125" t="inlineStr">
        <is>
          <t>Cantid</t>
        </is>
      </c>
      <c r="CV2" s="124" t="inlineStr">
        <is>
          <t>Costo unit</t>
        </is>
      </c>
      <c r="CW2" s="124" t="inlineStr">
        <is>
          <t>Vr. compra</t>
        </is>
      </c>
    </row>
    <row r="3" ht="15.75" customHeight="1">
      <c r="A3" s="41" t="inlineStr">
        <is>
          <t>Aceite por 3000</t>
        </is>
      </c>
      <c r="B3" s="41" t="inlineStr">
        <is>
          <t>Und</t>
        </is>
      </c>
      <c r="C3" s="42" t="n"/>
      <c r="D3" s="43" t="n"/>
      <c r="E3" s="78">
        <f>IFERROR(C3*D3, 0)</f>
        <v/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>
        <f>IFERROR(X3*Y3, 0)</f>
        <v/>
      </c>
      <c r="AA3" s="14" t="n"/>
      <c r="AB3" s="15" t="n"/>
      <c r="AC3" s="16">
        <f>IFERROR(AA3*AB3, 0)</f>
        <v/>
      </c>
      <c r="AD3" s="14" t="n"/>
      <c r="AE3" s="15" t="n"/>
      <c r="AF3" s="16">
        <f>IFERROR(AD3*AE3, 0)</f>
        <v/>
      </c>
      <c r="AG3" s="14" t="n"/>
      <c r="AH3" s="15" t="n"/>
      <c r="AI3" s="16">
        <f>IFERROR(AG3*AH3, 0)</f>
        <v/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.75" customHeight="1">
      <c r="A4" s="41" t="inlineStr">
        <is>
          <t>Alverja</t>
        </is>
      </c>
      <c r="B4" s="41" t="inlineStr">
        <is>
          <t>Lb</t>
        </is>
      </c>
      <c r="C4" s="42" t="n"/>
      <c r="D4" s="43" t="n"/>
      <c r="E4" s="78">
        <f>IFERROR(C4*D4,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>
        <f>IFERROR(AV4*AW4, 0)</f>
        <v/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Height="1">
      <c r="A5" s="41" t="inlineStr">
        <is>
          <t xml:space="preserve">Arepas de sal </t>
        </is>
      </c>
      <c r="B5" s="41" t="inlineStr">
        <is>
          <t>Und</t>
        </is>
      </c>
      <c r="C5" s="42" t="n"/>
      <c r="D5" s="43" t="n"/>
      <c r="E5" s="78">
        <f>IFERROR(C5*D5,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>
        <f>IFERROR(AG5*AH5, 0)</f>
        <v/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.75" customHeight="1">
      <c r="A6" s="41" t="inlineStr">
        <is>
          <t>Arepas diario</t>
        </is>
      </c>
      <c r="B6" s="41" t="inlineStr">
        <is>
          <t>Und</t>
        </is>
      </c>
      <c r="C6" s="42" t="n"/>
      <c r="D6" s="43" t="n"/>
      <c r="E6" s="78">
        <f>IFERROR(C6*D6,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.75" customHeight="1">
      <c r="A7" s="41" t="inlineStr">
        <is>
          <t>Arroz</t>
        </is>
      </c>
      <c r="B7" s="41" t="inlineStr">
        <is>
          <t>Kg</t>
        </is>
      </c>
      <c r="C7" s="42" t="n"/>
      <c r="D7" s="43" t="n"/>
      <c r="E7" s="78">
        <f>IFERROR(C7*D7, 0)</f>
        <v/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>
        <v>2</v>
      </c>
      <c r="P7" s="15" t="n">
        <v>252000</v>
      </c>
      <c r="Q7" s="16" t="n">
        <v>504000</v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/>
      <c r="AH7" s="15" t="n"/>
      <c r="AI7" s="16">
        <f>IFERROR(AG7*AH7, 0)</f>
        <v/>
      </c>
      <c r="AJ7" s="14" t="n">
        <v>3</v>
      </c>
      <c r="AK7" s="15" t="n">
        <v>252000</v>
      </c>
      <c r="AL7" s="16" t="n">
        <v>756000</v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>
        <v>2</v>
      </c>
      <c r="BC7" s="15" t="n">
        <v>340000</v>
      </c>
      <c r="BD7" s="16" t="n">
        <v>680000</v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>
        <v>2</v>
      </c>
      <c r="BO7" s="15" t="n">
        <v>252000</v>
      </c>
      <c r="BP7" s="16" t="n">
        <v>504000</v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>
        <v>2</v>
      </c>
      <c r="CD7" s="15" t="n">
        <v>340000</v>
      </c>
      <c r="CE7" s="16" t="n">
        <v>680000</v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Height="1">
      <c r="A8" s="41" t="inlineStr">
        <is>
          <t>Azucar</t>
        </is>
      </c>
      <c r="B8" s="41" t="inlineStr">
        <is>
          <t>Kg</t>
        </is>
      </c>
      <c r="C8" s="42" t="n"/>
      <c r="D8" s="43" t="n"/>
      <c r="E8" s="78">
        <f>IFERROR(C8*D8,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>
        <v>1</v>
      </c>
      <c r="AK8" s="15" t="n">
        <v>160000</v>
      </c>
      <c r="AL8" s="16" t="n">
        <v>160000</v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.75" customHeight="1">
      <c r="A9" s="41" t="inlineStr">
        <is>
          <t>Bidon de aceite</t>
        </is>
      </c>
      <c r="B9" s="41" t="inlineStr">
        <is>
          <t>Und</t>
        </is>
      </c>
      <c r="C9" s="42" t="n"/>
      <c r="D9" s="43" t="n"/>
      <c r="E9" s="78">
        <f>IFERROR(C9*D9, 0)</f>
        <v/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>
        <v>1</v>
      </c>
      <c r="M9" s="15" t="n">
        <v>130000</v>
      </c>
      <c r="N9" s="16" t="n">
        <v>130000</v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Height="1">
      <c r="A10" s="41" t="inlineStr">
        <is>
          <t>Blanquillo</t>
        </is>
      </c>
      <c r="B10" s="41" t="inlineStr">
        <is>
          <t>Lib</t>
        </is>
      </c>
      <c r="C10" s="42" t="n"/>
      <c r="D10" s="43" t="n"/>
      <c r="E10" s="78">
        <f>IFERROR(C10*D10, 0)</f>
        <v/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Height="1">
      <c r="A11" s="41" t="inlineStr">
        <is>
          <t>Chocolate</t>
        </is>
      </c>
      <c r="B11" s="41" t="inlineStr">
        <is>
          <t>Lib</t>
        </is>
      </c>
      <c r="C11" s="42" t="n"/>
      <c r="D11" s="43" t="n"/>
      <c r="E11" s="78">
        <f>IFERROR(C11*D11,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>
        <v>1</v>
      </c>
      <c r="BC11" s="15" t="n">
        <v>19000</v>
      </c>
      <c r="BD11" s="16" t="n">
        <v>19000</v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.75" customHeight="1">
      <c r="A12" s="41" t="inlineStr">
        <is>
          <t>Comino</t>
        </is>
      </c>
      <c r="B12" s="41" t="inlineStr">
        <is>
          <t>Lib</t>
        </is>
      </c>
      <c r="C12" s="42" t="n"/>
      <c r="D12" s="43" t="n"/>
      <c r="E12" s="78">
        <f>IFERROR(C12*D12, 0)</f>
        <v/>
      </c>
      <c r="F12" s="14" t="n"/>
      <c r="G12" s="15" t="n"/>
      <c r="H12" s="16">
        <f>IFERROR(F12*G12, 0)</f>
        <v/>
      </c>
      <c r="I12" s="14" t="n">
        <v>1</v>
      </c>
      <c r="J12" s="15" t="n">
        <v>15000</v>
      </c>
      <c r="K12" s="16" t="n">
        <v>15000</v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/>
      <c r="AH12" s="15" t="n"/>
      <c r="AI12" s="16">
        <f>IFERROR(AG12*AH12, 0)</f>
        <v/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/>
      <c r="BC12" s="15" t="n"/>
      <c r="BD12" s="16">
        <f>IFERROR(BB12*BC12, 0)</f>
        <v/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Height="1">
      <c r="A13" s="41" t="inlineStr">
        <is>
          <t>Comino molido</t>
        </is>
      </c>
      <c r="B13" s="41" t="inlineStr">
        <is>
          <t>Lb</t>
        </is>
      </c>
      <c r="C13" s="42" t="n"/>
      <c r="D13" s="43" t="n"/>
      <c r="E13" s="78">
        <f>IFERROR(C13*D13, 0)</f>
        <v/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.75" customHeight="1">
      <c r="A14" s="41" t="inlineStr">
        <is>
          <t xml:space="preserve">Crema leche </t>
        </is>
      </c>
      <c r="B14" s="41" t="inlineStr">
        <is>
          <t>Lt</t>
        </is>
      </c>
      <c r="C14" s="42" t="n"/>
      <c r="D14" s="43" t="n"/>
      <c r="E14" s="78">
        <f>IFERROR(C14*D14,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.75" customHeight="1">
      <c r="A15" s="41" t="inlineStr">
        <is>
          <t>Cuchuco de maiz</t>
        </is>
      </c>
      <c r="B15" s="41" t="inlineStr">
        <is>
          <t>Kg</t>
        </is>
      </c>
      <c r="C15" s="42" t="n"/>
      <c r="D15" s="43" t="n"/>
      <c r="E15" s="78">
        <f>IFERROR(C15*D15,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>
        <v>2</v>
      </c>
      <c r="BF15" s="15" t="n">
        <v>4377</v>
      </c>
      <c r="BG15" s="16" t="n">
        <v>8754</v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.75" customHeight="1">
      <c r="A16" s="41" t="inlineStr">
        <is>
          <t>Empanadas</t>
        </is>
      </c>
      <c r="B16" s="41" t="inlineStr">
        <is>
          <t>Und</t>
        </is>
      </c>
      <c r="C16" s="42" t="n"/>
      <c r="D16" s="43" t="n"/>
      <c r="E16" s="78">
        <f>IFERROR(C16*D16, 0)</f>
        <v/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/>
      <c r="AK16" s="15" t="n"/>
      <c r="AL16" s="16">
        <f>IFERROR(AJ16*AK16, 0)</f>
        <v/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.75" customHeight="1">
      <c r="A17" s="41" t="inlineStr">
        <is>
          <t>Espaguetti</t>
        </is>
      </c>
      <c r="B17" s="41" t="inlineStr">
        <is>
          <t>Kg</t>
        </is>
      </c>
      <c r="C17" s="42" t="n"/>
      <c r="D17" s="43" t="n"/>
      <c r="E17" s="78">
        <f>IFERROR(C17*D17, 0)</f>
        <v/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.75" customHeight="1">
      <c r="A18" s="41" t="inlineStr">
        <is>
          <t xml:space="preserve">Fecula de maiz </t>
        </is>
      </c>
      <c r="B18" s="41" t="inlineStr">
        <is>
          <t>Kg</t>
        </is>
      </c>
      <c r="C18" s="42" t="n"/>
      <c r="D18" s="43" t="n"/>
      <c r="E18" s="78">
        <f>IFERROR(C18*D18,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>
        <f>IFERROR(AG18*AH18, 0)</f>
        <v/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.75" customHeight="1">
      <c r="A19" s="41" t="inlineStr">
        <is>
          <t>Frijol</t>
        </is>
      </c>
      <c r="B19" s="41" t="inlineStr">
        <is>
          <t>Bulto</t>
        </is>
      </c>
      <c r="C19" s="42" t="n"/>
      <c r="D19" s="43" t="n"/>
      <c r="E19" s="78">
        <f>IFERROR(C19*D19,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.75" customHeight="1">
      <c r="A20" s="41" t="inlineStr">
        <is>
          <t>Garbanzo</t>
        </is>
      </c>
      <c r="B20" s="41" t="inlineStr">
        <is>
          <t>Lb</t>
        </is>
      </c>
      <c r="C20" s="42" t="n"/>
      <c r="D20" s="43" t="n"/>
      <c r="E20" s="78">
        <f>IFERROR(C20*D20, 0)</f>
        <v/>
      </c>
      <c r="F20" s="14" t="n"/>
      <c r="G20" s="15" t="n"/>
      <c r="H20" s="16">
        <f>IFERROR(F20*G20, 0)</f>
        <v/>
      </c>
      <c r="I20" s="14" t="n"/>
      <c r="J20" s="15" t="n"/>
      <c r="K20" s="16">
        <f>IFERROR(I20*J20, 0)</f>
        <v/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/>
      <c r="S20" s="15" t="n"/>
      <c r="T20" s="16">
        <f>IFERROR(R20*S20, 0)</f>
        <v/>
      </c>
      <c r="U20" s="14" t="n"/>
      <c r="V20" s="15" t="n"/>
      <c r="W20" s="16">
        <f>IFERROR(U20*V20, 0)</f>
        <v/>
      </c>
      <c r="X20" s="14" t="n"/>
      <c r="Y20" s="15" t="n"/>
      <c r="Z20" s="16">
        <f>IFERROR(X20*Y20, 0)</f>
        <v/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.75" customHeight="1">
      <c r="A21" s="41" t="inlineStr">
        <is>
          <t>Grasa</t>
        </is>
      </c>
      <c r="B21" s="41" t="inlineStr">
        <is>
          <t>Kg</t>
        </is>
      </c>
      <c r="C21" s="42" t="n"/>
      <c r="D21" s="43" t="n"/>
      <c r="E21" s="78">
        <f>IFERROR(C21*D21, 0)</f>
        <v/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/>
      <c r="BR21" s="15" t="n"/>
      <c r="BS21" s="16">
        <f>IFERROR(BQ21*BR21, 0)</f>
        <v/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Height="1">
      <c r="A22" s="41" t="inlineStr">
        <is>
          <t>Huevos</t>
        </is>
      </c>
      <c r="B22" s="41" t="inlineStr">
        <is>
          <t>Und</t>
        </is>
      </c>
      <c r="C22" s="42" t="n"/>
      <c r="D22" s="43" t="n"/>
      <c r="E22" s="78">
        <f>IFERROR(C22*D22, 0)</f>
        <v/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>
        <f>IFERROR(X22*Y22, 0)</f>
        <v/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>
        <f>IFERROR(AV22*AW22, 0)</f>
        <v/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/>
      <c r="BF22" s="15" t="n"/>
      <c r="BG22" s="16">
        <f>IFERROR(BE22*BF22, 0)</f>
        <v/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/>
      <c r="BR22" s="15" t="n"/>
      <c r="BS22" s="16">
        <f>IFERROR(BQ22*BR22, 0)</f>
        <v/>
      </c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.75" customHeight="1">
      <c r="A23" s="41" t="inlineStr">
        <is>
          <t>Knoor</t>
        </is>
      </c>
      <c r="B23" s="41" t="inlineStr">
        <is>
          <t>Pqte</t>
        </is>
      </c>
      <c r="C23" s="42" t="n"/>
      <c r="D23" s="43" t="n"/>
      <c r="E23" s="78">
        <f>IFERROR(C23*D23, 0)</f>
        <v/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>
        <v>1</v>
      </c>
      <c r="AZ23" s="15" t="n">
        <v>47700</v>
      </c>
      <c r="BA23" s="16" t="n">
        <v>47700</v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Height="1">
      <c r="A24" s="41" t="inlineStr">
        <is>
          <t>Leche condensada</t>
        </is>
      </c>
      <c r="B24" s="41" t="inlineStr">
        <is>
          <t>Lt</t>
        </is>
      </c>
      <c r="C24" s="42" t="n"/>
      <c r="D24" s="43" t="n"/>
      <c r="E24" s="78">
        <f>IFERROR(C24*D24,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.75" customHeight="1">
      <c r="A25" s="41" t="inlineStr">
        <is>
          <t>Leche de coco</t>
        </is>
      </c>
      <c r="B25" s="41" t="inlineStr">
        <is>
          <t>Lt</t>
        </is>
      </c>
      <c r="C25" s="42" t="n"/>
      <c r="D25" s="43" t="n"/>
      <c r="E25" s="78">
        <f>IFERROR(C25*D25,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>
        <v>7</v>
      </c>
      <c r="AT25" s="15" t="n">
        <v>21428</v>
      </c>
      <c r="AU25" s="16" t="n">
        <v>150000</v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.75" customHeight="1">
      <c r="A26" s="41" t="inlineStr">
        <is>
          <t>Leche entera</t>
        </is>
      </c>
      <c r="B26" s="41" t="inlineStr">
        <is>
          <t>Lt</t>
        </is>
      </c>
      <c r="C26" s="42" t="n"/>
      <c r="D26" s="43" t="n"/>
      <c r="E26" s="78">
        <f>IFERROR(C26*D26,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/>
      <c r="AH26" s="15" t="n"/>
      <c r="AI26" s="16">
        <f>IFERROR(AG26*AH26, 0)</f>
        <v/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/>
      <c r="BR26" s="15" t="n"/>
      <c r="BS26" s="16">
        <f>IFERROR(BQ26*BR26, 0)</f>
        <v/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.75" customHeight="1">
      <c r="A27" s="41" t="inlineStr">
        <is>
          <t>Lenteja</t>
        </is>
      </c>
      <c r="B27" s="41" t="inlineStr">
        <is>
          <t>Lib</t>
        </is>
      </c>
      <c r="C27" s="42" t="n"/>
      <c r="D27" s="43" t="n"/>
      <c r="E27" s="78">
        <f>IFERROR(C27*D27,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/>
      <c r="BR27" s="15" t="n"/>
      <c r="BS27" s="16">
        <f>IFERROR(BQ27*BR27, 0)</f>
        <v/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.75" customHeight="1">
      <c r="A28" s="41" t="inlineStr">
        <is>
          <t>Manteca</t>
        </is>
      </c>
      <c r="B28" s="41" t="inlineStr">
        <is>
          <t>Caja</t>
        </is>
      </c>
      <c r="C28" s="42" t="n"/>
      <c r="D28" s="43" t="n"/>
      <c r="E28" s="78">
        <f>IFERROR(C28*D28, 0)</f>
        <v/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/>
      <c r="BR28" s="15" t="n"/>
      <c r="BS28" s="16">
        <f>IFERROR(BQ28*BR28, 0)</f>
        <v/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.75" customHeight="1">
      <c r="A29" s="41" t="inlineStr">
        <is>
          <t>Mantequilla</t>
        </is>
      </c>
      <c r="B29" s="41" t="inlineStr">
        <is>
          <t>Kg</t>
        </is>
      </c>
      <c r="C29" s="42" t="n"/>
      <c r="D29" s="43" t="n"/>
      <c r="E29" s="78">
        <f>IFERROR(C29*D29,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/>
      <c r="AH29" s="15" t="n"/>
      <c r="AI29" s="16">
        <f>IFERROR(AG29*AH29, 0)</f>
        <v/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/>
      <c r="BR29" s="15" t="n"/>
      <c r="BS29" s="16">
        <f>IFERROR(BQ29*BR29, 0)</f>
        <v/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.75" customHeight="1">
      <c r="A30" s="41" t="inlineStr">
        <is>
          <t xml:space="preserve">Milo </t>
        </is>
      </c>
      <c r="B30" s="41" t="inlineStr">
        <is>
          <t>Und</t>
        </is>
      </c>
      <c r="C30" s="42" t="n"/>
      <c r="D30" s="43" t="n"/>
      <c r="E30" s="78">
        <f>IFERROR(C30*D30,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.75" customHeight="1">
      <c r="A31" s="41" t="inlineStr">
        <is>
          <t>Panela</t>
        </is>
      </c>
      <c r="B31" s="41" t="inlineStr">
        <is>
          <t>Und</t>
        </is>
      </c>
      <c r="C31" s="42" t="n"/>
      <c r="D31" s="43" t="n"/>
      <c r="E31" s="78">
        <f>IFERROR(C31*D31, 0)</f>
        <v/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>
        <v>4</v>
      </c>
      <c r="P31" s="15" t="n">
        <v>102000</v>
      </c>
      <c r="Q31" s="16" t="n">
        <v>408000</v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/>
      <c r="AH31" s="15" t="n"/>
      <c r="AI31" s="16">
        <f>IFERROR(AG31*AH31, 0)</f>
        <v/>
      </c>
      <c r="AJ31" s="14" t="n">
        <v>3</v>
      </c>
      <c r="AK31" s="15" t="n">
        <v>102000</v>
      </c>
      <c r="AL31" s="16" t="n">
        <v>306000</v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/>
      <c r="BR31" s="15" t="n"/>
      <c r="BS31" s="16">
        <f>IFERROR(BQ31*BR31, 0)</f>
        <v/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Height="1">
      <c r="A32" s="41" t="inlineStr">
        <is>
          <t>Pasa a granel</t>
        </is>
      </c>
      <c r="B32" s="41" t="inlineStr">
        <is>
          <t>Kl</t>
        </is>
      </c>
      <c r="C32" s="42" t="n"/>
      <c r="D32" s="43" t="n"/>
      <c r="E32" s="78">
        <f>IFERROR(C32*D32,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.75" customHeight="1">
      <c r="A33" s="41" t="inlineStr">
        <is>
          <t xml:space="preserve">Pasta para sopa </t>
        </is>
      </c>
      <c r="B33" s="41" t="inlineStr">
        <is>
          <t>Kg</t>
        </is>
      </c>
      <c r="C33" s="42" t="n"/>
      <c r="D33" s="43" t="n"/>
      <c r="E33" s="78">
        <f>IFERROR(C33*D33, 0)</f>
        <v/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/>
      <c r="AH33" s="15" t="n"/>
      <c r="AI33" s="16">
        <f>IFERROR(AG33*AH33, 0)</f>
        <v/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/>
      <c r="BR33" s="15" t="n"/>
      <c r="BS33" s="16">
        <f>IFERROR(BQ33*BR33, 0)</f>
        <v/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.75" customHeight="1">
      <c r="A34" s="41" t="inlineStr">
        <is>
          <t>Pasta spaguetti</t>
        </is>
      </c>
      <c r="B34" s="41" t="inlineStr">
        <is>
          <t>Kg</t>
        </is>
      </c>
      <c r="C34" s="42" t="n"/>
      <c r="D34" s="43" t="n"/>
      <c r="E34" s="78">
        <f>IFERROR(C34*D34, 0)</f>
        <v/>
      </c>
      <c r="F34" s="14" t="n"/>
      <c r="G34" s="15" t="n"/>
      <c r="H34" s="16">
        <f>IFERROR(F34*G34, 0)</f>
        <v/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/>
      <c r="AH34" s="15" t="n"/>
      <c r="AI34" s="16">
        <f>IFERROR(AG34*AH34, 0)</f>
        <v/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/>
      <c r="BR34" s="15" t="n"/>
      <c r="BS34" s="16">
        <f>IFERROR(BQ34*BR34, 0)</f>
        <v/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.75" customHeight="1">
      <c r="A35" s="41" t="inlineStr">
        <is>
          <t>Sabor original</t>
        </is>
      </c>
      <c r="B35" s="41" t="inlineStr">
        <is>
          <t>Kg</t>
        </is>
      </c>
      <c r="C35" s="42" t="n"/>
      <c r="D35" s="43" t="n"/>
      <c r="E35" s="78">
        <f>IFERROR(C35*D35, 0)</f>
        <v/>
      </c>
      <c r="F35" s="14" t="n">
        <v>50</v>
      </c>
      <c r="G35" s="15" t="n">
        <v>4180</v>
      </c>
      <c r="H35" s="16" t="n">
        <v>209000</v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>
        <v>40</v>
      </c>
      <c r="AB35" s="15" t="n">
        <v>4180</v>
      </c>
      <c r="AC35" s="16" t="n">
        <v>167200</v>
      </c>
      <c r="AD35" s="14" t="n"/>
      <c r="AE35" s="15" t="n"/>
      <c r="AF35" s="16">
        <f>IFERROR(AD35*AE35, 0)</f>
        <v/>
      </c>
      <c r="AG35" s="14" t="n"/>
      <c r="AH35" s="15" t="n"/>
      <c r="AI35" s="16">
        <f>IFERROR(AG35*AH35, 0)</f>
        <v/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>
        <v>60</v>
      </c>
      <c r="BO35" s="15" t="n">
        <v>4180</v>
      </c>
      <c r="BP35" s="16" t="n">
        <v>250800</v>
      </c>
      <c r="BQ35" s="14" t="n">
        <v>60</v>
      </c>
      <c r="BR35" s="15" t="n">
        <v>4180</v>
      </c>
      <c r="BS35" s="16" t="n">
        <v>250800</v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.75" customHeight="1">
      <c r="A36" s="41" t="inlineStr">
        <is>
          <t>Sal</t>
        </is>
      </c>
      <c r="B36" s="41" t="inlineStr">
        <is>
          <t>Kg</t>
        </is>
      </c>
      <c r="C36" s="42" t="n"/>
      <c r="D36" s="43" t="n"/>
      <c r="E36" s="78">
        <f>IFERROR(C36*D36, 0)</f>
        <v/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>
        <v>1</v>
      </c>
      <c r="P36" s="15" t="n">
        <v>70000</v>
      </c>
      <c r="Q36" s="16" t="n">
        <v>70000</v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>
        <v>1</v>
      </c>
      <c r="BF36" s="15" t="n">
        <v>4900</v>
      </c>
      <c r="BG36" s="16" t="n">
        <v>4900</v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14" t="n"/>
      <c r="BR36" s="15" t="n"/>
      <c r="BS36" s="16">
        <f>IFERROR(BQ36*BR36, 0)</f>
        <v/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.75" customHeight="1">
      <c r="A37" s="41" t="inlineStr">
        <is>
          <t>Sal marina</t>
        </is>
      </c>
      <c r="B37" s="41" t="inlineStr">
        <is>
          <t>Kg</t>
        </is>
      </c>
      <c r="C37" s="42" t="n"/>
      <c r="D37" s="43" t="n"/>
      <c r="E37" s="78">
        <f>IFERROR(C37*D37,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14" t="n"/>
      <c r="BR37" s="15" t="n"/>
      <c r="BS37" s="16">
        <f>IFERROR(BQ37*BR37, 0)</f>
        <v/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.75" customHeight="1">
      <c r="A38" s="41" t="inlineStr">
        <is>
          <t>Sazonador</t>
        </is>
      </c>
      <c r="B38" s="41" t="inlineStr">
        <is>
          <t>Kg</t>
        </is>
      </c>
      <c r="C38" s="42" t="n"/>
      <c r="D38" s="43" t="n"/>
      <c r="E38" s="78">
        <f>IFERROR(C38*D38, 0)</f>
        <v/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>
        <v>2</v>
      </c>
      <c r="AH38" s="15" t="n">
        <v>7200</v>
      </c>
      <c r="AI38" s="16" t="n">
        <v>14400</v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/>
      <c r="BU38" s="15" t="n"/>
      <c r="BV38" s="16">
        <f>IFERROR(BT38*BU38, 0)</f>
        <v/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.75" customHeight="1">
      <c r="A39" s="41" t="inlineStr">
        <is>
          <t xml:space="preserve">Zumo de limon tarro </t>
        </is>
      </c>
      <c r="B39" s="41" t="inlineStr">
        <is>
          <t>Kg</t>
        </is>
      </c>
      <c r="C39" s="42" t="n"/>
      <c r="D39" s="43" t="n"/>
      <c r="E39" s="78">
        <f>IFERROR(C39*D39, 0)</f>
        <v/>
      </c>
      <c r="F39" s="14" t="n"/>
      <c r="G39" s="15" t="n"/>
      <c r="H39" s="16">
        <f>IFERROR(F39*G39, 0)</f>
        <v/>
      </c>
      <c r="I39" s="14" t="n"/>
      <c r="J39" s="15" t="n"/>
      <c r="K39" s="16">
        <f>IFERROR(I39*J39, 0)</f>
        <v/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/>
      <c r="Y39" s="15" t="n"/>
      <c r="Z39" s="16">
        <f>IFERROR(X39*Y39, 0)</f>
        <v/>
      </c>
      <c r="AA39" s="14" t="n"/>
      <c r="AB39" s="15" t="n"/>
      <c r="AC39" s="16">
        <f>IFERROR(AA39*AB39, 0)</f>
        <v/>
      </c>
      <c r="AD39" s="14" t="n"/>
      <c r="AE39" s="15" t="n"/>
      <c r="AF39" s="16">
        <f>IFERROR(AD39*AE39, 0)</f>
        <v/>
      </c>
      <c r="AG39" s="14" t="n"/>
      <c r="AH39" s="15" t="n"/>
      <c r="AI39" s="16">
        <f>IFERROR(AG39*AH39, 0)</f>
        <v/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>
        <v>5</v>
      </c>
      <c r="BL39" s="15" t="n">
        <v>45000</v>
      </c>
      <c r="BM39" s="16" t="n">
        <v>225000</v>
      </c>
      <c r="BN39" s="14" t="n"/>
      <c r="BO39" s="15" t="n"/>
      <c r="BP39" s="16">
        <f>IFERROR(BN39*BO39, 0)</f>
        <v/>
      </c>
      <c r="BQ39" s="14" t="n"/>
      <c r="BR39" s="15" t="n"/>
      <c r="BS39" s="16">
        <f>IFERROR(BQ39*BR39, 0)</f>
        <v/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6.5" customHeight="1">
      <c r="A40" s="41" t="inlineStr">
        <is>
          <t>Zumo limon polvo</t>
        </is>
      </c>
      <c r="B40" s="41" t="inlineStr">
        <is>
          <t>Pqte</t>
        </is>
      </c>
      <c r="C40" s="42" t="n"/>
      <c r="D40" s="43" t="n"/>
      <c r="E40" s="78">
        <f>IFERROR(C40*D40, 0)</f>
        <v/>
      </c>
      <c r="F40" s="14" t="n"/>
      <c r="G40" s="15" t="n"/>
      <c r="H40" s="16">
        <f>IFERROR(F40*G40, 0)</f>
        <v/>
      </c>
      <c r="I40" s="14" t="n"/>
      <c r="J40" s="15" t="n"/>
      <c r="K40" s="16">
        <f>IFERROR(I40*J40, 0)</f>
        <v/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/>
      <c r="Y40" s="15" t="n"/>
      <c r="Z40" s="16">
        <f>IFERROR(X40*Y40, 0)</f>
        <v/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/>
      <c r="BC40" s="15" t="n"/>
      <c r="BD40" s="16">
        <f>IFERROR(BB40*BC40, 0)</f>
        <v/>
      </c>
      <c r="BE40" s="14" t="n"/>
      <c r="BF40" s="15" t="n"/>
      <c r="BG40" s="16">
        <f>IFERROR(BE40*BF40, 0)</f>
        <v/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.75" customHeight="1">
      <c r="A41" s="41" t="inlineStr">
        <is>
          <t>Margarina la buena*125g barra</t>
        </is>
      </c>
      <c r="B41" s="41" t="inlineStr">
        <is>
          <t>Und</t>
        </is>
      </c>
      <c r="C41" s="19" t="n"/>
      <c r="D41" s="20" t="n"/>
      <c r="E41" s="78">
        <f>IFERROR(C41*D41, 0)</f>
        <v/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>
        <v>1</v>
      </c>
      <c r="AZ41" s="15" t="n">
        <v>3650</v>
      </c>
      <c r="BA41" s="16" t="n">
        <v>3650</v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.75" customHeight="1">
      <c r="A42" s="41" t="inlineStr">
        <is>
          <t>Aliño xlab</t>
        </is>
      </c>
      <c r="B42" s="41" t="inlineStr">
        <is>
          <t>Und</t>
        </is>
      </c>
      <c r="C42" s="19" t="n"/>
      <c r="D42" s="20" t="n"/>
      <c r="E42" s="78">
        <f>IFERROR(C42*D42, 0)</f>
        <v/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/>
      <c r="AT42" s="15" t="n"/>
      <c r="AU42" s="16">
        <f>IFERROR(AS42*AT42, 0)</f>
        <v/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/>
      <c r="BL42" s="15" t="n"/>
      <c r="BM42" s="16">
        <f>IFERROR(BK42*BL42, 0)</f>
        <v/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.75" customHeight="1">
      <c r="A43" s="21" t="inlineStr">
        <is>
          <t>Humo liquido x3000 differ cjx6</t>
        </is>
      </c>
      <c r="B43" s="21" t="inlineStr">
        <is>
          <t>Und</t>
        </is>
      </c>
      <c r="C43" s="44" t="n"/>
      <c r="D43" s="22" t="n"/>
      <c r="E43" s="78">
        <f>IFERROR(C43*D43, 0)</f>
        <v/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/>
      <c r="BL43" s="15" t="n"/>
      <c r="BM43" s="16">
        <f>IFERROR(BK43*BL43, 0)</f>
        <v/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.75" customHeight="1">
      <c r="A44" s="21" t="inlineStr">
        <is>
          <t>Maizena</t>
        </is>
      </c>
      <c r="B44" s="21" t="inlineStr">
        <is>
          <t>Und</t>
        </is>
      </c>
      <c r="C44" s="21" t="n"/>
      <c r="D44" s="21" t="n"/>
      <c r="E44" s="78">
        <f>IFERROR(C44*D44, 0)</f>
        <v/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.75" customHeight="1">
      <c r="A45" s="21" t="inlineStr">
        <is>
          <t>Alimento donkat</t>
        </is>
      </c>
      <c r="B45" s="21" t="inlineStr">
        <is>
          <t>Und</t>
        </is>
      </c>
      <c r="C45" s="21" t="n"/>
      <c r="D45" s="21" t="n"/>
      <c r="E45" s="78">
        <f>IFERROR(C45*D45, 0)</f>
        <v/>
      </c>
      <c r="F45" s="14" t="n">
        <v>1</v>
      </c>
      <c r="G45" s="15" t="n">
        <v>13500</v>
      </c>
      <c r="H45" s="16" t="n">
        <v>13500</v>
      </c>
      <c r="I45" s="14" t="n"/>
      <c r="J45" s="15" t="n"/>
      <c r="K45" s="16">
        <f>IFERROR(I45*J45, 0)</f>
        <v/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/>
      <c r="Y45" s="15" t="n"/>
      <c r="Z45" s="16">
        <f>IFERROR(X45*Y45, 0)</f>
        <v/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/>
      <c r="AH45" s="15" t="n"/>
      <c r="AI45" s="16">
        <f>IFERROR(AG45*AH45, 0)</f>
        <v/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>
        <v>1</v>
      </c>
      <c r="AQ45" s="15" t="n">
        <v>13500</v>
      </c>
      <c r="AR45" s="16" t="n">
        <v>13500</v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/>
      <c r="BF45" s="15" t="n"/>
      <c r="BG45" s="16">
        <f>IFERROR(BE45*BF45, 0)</f>
        <v/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/>
      <c r="BR45" s="15" t="n"/>
      <c r="BS45" s="16">
        <f>IFERROR(BQ45*BR45, 0)</f>
        <v/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.75" customHeight="1">
      <c r="A46" s="21" t="inlineStr">
        <is>
          <t>Pasta la muñeca</t>
        </is>
      </c>
      <c r="B46" s="21" t="inlineStr">
        <is>
          <t>Und</t>
        </is>
      </c>
      <c r="C46" s="21" t="n"/>
      <c r="D46" s="21" t="n"/>
      <c r="E46" s="78">
        <f>IFERROR(C46*D46, 0)</f>
        <v/>
      </c>
      <c r="F46" s="14" t="n">
        <v>6</v>
      </c>
      <c r="G46" s="15" t="n">
        <v>1912</v>
      </c>
      <c r="H46" s="16" t="n">
        <v>11472</v>
      </c>
      <c r="I46" s="14" t="n"/>
      <c r="J46" s="15" t="n"/>
      <c r="K46" s="16">
        <f>IFERROR(I46*J46, 0)</f>
        <v/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>
        <v>1</v>
      </c>
      <c r="Y46" s="15" t="n">
        <v>6600</v>
      </c>
      <c r="Z46" s="16" t="n">
        <v>6600</v>
      </c>
      <c r="AA46" s="14" t="n">
        <v>1</v>
      </c>
      <c r="AB46" s="15" t="n">
        <v>6600</v>
      </c>
      <c r="AC46" s="16" t="n">
        <v>6600</v>
      </c>
      <c r="AD46" s="14" t="n">
        <v>1</v>
      </c>
      <c r="AE46" s="15" t="n">
        <v>6600</v>
      </c>
      <c r="AF46" s="16" t="n">
        <v>6600</v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>
        <v>7</v>
      </c>
      <c r="AZ46" s="15" t="n">
        <v>1912</v>
      </c>
      <c r="BA46" s="16" t="n">
        <v>13384</v>
      </c>
      <c r="BB46" s="14" t="n"/>
      <c r="BC46" s="15" t="n"/>
      <c r="BD46" s="16">
        <f>IFERROR(BB46*BC46, 0)</f>
        <v/>
      </c>
      <c r="BE46" s="14" t="n"/>
      <c r="BF46" s="15" t="n"/>
      <c r="BG46" s="16">
        <f>IFERROR(BE46*BF46, 0)</f>
        <v/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.75" customHeight="1">
      <c r="A47" s="21" t="inlineStr">
        <is>
          <t>Salsa constancia soya</t>
        </is>
      </c>
      <c r="B47" s="21" t="inlineStr">
        <is>
          <t>Und</t>
        </is>
      </c>
      <c r="C47" s="21" t="n"/>
      <c r="D47" s="21" t="n"/>
      <c r="E47" s="78">
        <f>IFERROR(C47*D47, 0)</f>
        <v/>
      </c>
      <c r="F47" s="14" t="n"/>
      <c r="G47" s="15" t="n"/>
      <c r="H47" s="16">
        <f>IFERROR(F47*G47, 0)</f>
        <v/>
      </c>
      <c r="I47" s="14" t="n"/>
      <c r="J47" s="15" t="n"/>
      <c r="K47" s="16">
        <f>IFERROR(I47*J47, 0)</f>
        <v/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/>
      <c r="AH47" s="15" t="n"/>
      <c r="AI47" s="16">
        <f>IFERROR(AG47*AH47, 0)</f>
        <v/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/>
      <c r="BR47" s="15" t="n"/>
      <c r="BS47" s="16">
        <f>IFERROR(BQ47*BR47, 0)</f>
        <v/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.75" customHeight="1">
      <c r="A48" s="21" t="inlineStr">
        <is>
          <t>Cuarton color</t>
        </is>
      </c>
      <c r="B48" s="21" t="inlineStr">
        <is>
          <t>Und</t>
        </is>
      </c>
      <c r="C48" s="21" t="n"/>
      <c r="D48" s="21" t="n"/>
      <c r="E48" s="78">
        <f>IFERROR(C48*D48, 0)</f>
        <v/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>
        <v>1</v>
      </c>
      <c r="BX48" s="15" t="n">
        <v>23000</v>
      </c>
      <c r="BY48" s="16" t="n">
        <v>23000</v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.75" customHeight="1">
      <c r="A49" s="21" t="inlineStr">
        <is>
          <t>Donkat adult</t>
        </is>
      </c>
      <c r="B49" s="21" t="inlineStr">
        <is>
          <t>Und</t>
        </is>
      </c>
      <c r="C49" s="21" t="n"/>
      <c r="D49" s="21" t="n"/>
      <c r="E49" s="78">
        <f>IFERROR(C49*D49, 0)</f>
        <v/>
      </c>
      <c r="F49" s="14" t="n"/>
      <c r="G49" s="15" t="n"/>
      <c r="H49" s="16">
        <f>IFERROR(F49*G49, 0)</f>
        <v/>
      </c>
      <c r="I49" s="14" t="n"/>
      <c r="J49" s="15" t="n"/>
      <c r="K49" s="16">
        <f>IFERROR(I49*J49, 0)</f>
        <v/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/>
      <c r="Y49" s="15" t="n"/>
      <c r="Z49" s="16">
        <f>IFERROR(X49*Y49, 0)</f>
        <v/>
      </c>
      <c r="AA49" s="14" t="n"/>
      <c r="AB49" s="15" t="n"/>
      <c r="AC49" s="16">
        <f>IFERROR(AA49*AB49, 0)</f>
        <v/>
      </c>
      <c r="AD49" s="14" t="n"/>
      <c r="AE49" s="15" t="n"/>
      <c r="AF49" s="16">
        <f>IFERROR(AD49*AE49, 0)</f>
        <v/>
      </c>
      <c r="AG49" s="14" t="n"/>
      <c r="AH49" s="15" t="n"/>
      <c r="AI49" s="16">
        <f>IFERROR(AG49*AH49, 0)</f>
        <v/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/>
      <c r="AT49" s="15" t="n"/>
      <c r="AU49" s="16">
        <f>IFERROR(AS49*AT49, 0)</f>
        <v/>
      </c>
      <c r="AV49" s="14" t="n"/>
      <c r="AW49" s="15" t="n"/>
      <c r="AX49" s="16">
        <f>IFERROR(AV49*AW49, 0)</f>
        <v/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/>
      <c r="BF49" s="15" t="n"/>
      <c r="BG49" s="16">
        <f>IFERROR(BE49*BF49, 0)</f>
        <v/>
      </c>
      <c r="BH49" s="14" t="n"/>
      <c r="BI49" s="15" t="n"/>
      <c r="BJ49" s="16">
        <f>IFERROR(BH49*BI49, 0)</f>
        <v/>
      </c>
      <c r="BK49" s="14" t="n"/>
      <c r="BL49" s="15" t="n"/>
      <c r="BM49" s="16">
        <f>IFERROR(BK49*BL49, 0)</f>
        <v/>
      </c>
      <c r="BN49" s="14" t="n"/>
      <c r="BO49" s="15" t="n"/>
      <c r="BP49" s="16">
        <f>IFERROR(BN49*BO49, 0)</f>
        <v/>
      </c>
      <c r="BQ49" s="14" t="n"/>
      <c r="BR49" s="15" t="n"/>
      <c r="BS49" s="16">
        <f>IFERROR(BQ49*BR49, 0)</f>
        <v/>
      </c>
      <c r="BT49" s="14" t="n"/>
      <c r="BU49" s="15" t="n"/>
      <c r="BV49" s="16">
        <f>IFERROR(BT49*BU49, 0)</f>
        <v/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.75" customHeight="1">
      <c r="A50" s="21" t="inlineStr">
        <is>
          <t>Panela victoria</t>
        </is>
      </c>
      <c r="B50" s="21" t="inlineStr">
        <is>
          <t>Und</t>
        </is>
      </c>
      <c r="C50" s="21" t="n"/>
      <c r="D50" s="21" t="n"/>
      <c r="E50" s="78">
        <f>IFERROR(C50*D50, 0)</f>
        <v/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.75" customHeight="1">
      <c r="A51" s="21" t="inlineStr">
        <is>
          <t>Caldo maggi</t>
        </is>
      </c>
      <c r="B51" s="21" t="inlineStr">
        <is>
          <t>Und</t>
        </is>
      </c>
      <c r="C51" s="21" t="n"/>
      <c r="D51" s="21" t="n"/>
      <c r="E51" s="78">
        <f>IFERROR(C51*D51, 0)</f>
        <v/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/>
      <c r="S51" s="15" t="n"/>
      <c r="T51" s="16">
        <f>IFERROR(R51*S51, 0)</f>
        <v/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/>
      <c r="AB51" s="15" t="n"/>
      <c r="AC51" s="16">
        <f>IFERROR(AA51*AB51, 0)</f>
        <v/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/>
      <c r="AN51" s="15" t="n"/>
      <c r="AO51" s="16">
        <f>IFERROR(AM51*AN51, 0)</f>
        <v/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/>
      <c r="BX51" s="15" t="n"/>
      <c r="BY51" s="16">
        <f>IFERROR(BW51*BX51, 0)</f>
        <v/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.75" customHeight="1">
      <c r="A52" s="21" t="inlineStr">
        <is>
          <t>Aceite doña lupe</t>
        </is>
      </c>
      <c r="B52" s="21" t="inlineStr">
        <is>
          <t>Und</t>
        </is>
      </c>
      <c r="C52" s="21" t="n"/>
      <c r="D52" s="21" t="n"/>
      <c r="E52" s="78">
        <f>IFERROR(C52*D52, 0)</f>
        <v/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/>
      <c r="AH52" s="15" t="n"/>
      <c r="AI52" s="16">
        <f>IFERROR(AG52*AH52, 0)</f>
        <v/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/>
      <c r="BC52" s="15" t="n"/>
      <c r="BD52" s="16">
        <f>IFERROR(BB52*BC52, 0)</f>
        <v/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/>
      <c r="BU52" s="15" t="n"/>
      <c r="BV52" s="16">
        <f>IFERROR(BT52*BU52, 0)</f>
        <v/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.75" customHeight="1">
      <c r="A53" s="21" t="inlineStr">
        <is>
          <t>Aceite de soya</t>
        </is>
      </c>
      <c r="B53" s="21" t="inlineStr">
        <is>
          <t>Und</t>
        </is>
      </c>
      <c r="C53" s="21" t="n"/>
      <c r="D53" s="21" t="n"/>
      <c r="E53" s="78">
        <f>IFERROR(C53*D53, 0)</f>
        <v/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/>
      <c r="AH53" s="15" t="n"/>
      <c r="AI53" s="16">
        <f>IFERROR(AG53*AH53, 0)</f>
        <v/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/>
      <c r="BF53" s="15" t="n"/>
      <c r="BG53" s="16">
        <f>IFERROR(BE53*BF53, 0)</f>
        <v/>
      </c>
      <c r="BH53" s="14" t="n">
        <v>6</v>
      </c>
      <c r="BI53" s="15" t="n">
        <v>22990</v>
      </c>
      <c r="BJ53" s="16" t="n">
        <v>137940</v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/>
      <c r="BR53" s="15" t="n"/>
      <c r="BS53" s="16">
        <f>IFERROR(BQ53*BR53, 0)</f>
        <v/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.75" customHeight="1">
      <c r="A54" s="21" t="inlineStr">
        <is>
          <t>Azucar, sal y arroz</t>
        </is>
      </c>
      <c r="B54" s="21" t="inlineStr">
        <is>
          <t>Und</t>
        </is>
      </c>
      <c r="C54" s="21" t="n"/>
      <c r="D54" s="21" t="n"/>
      <c r="E54" s="78">
        <f>IFERROR(C54*D54, 0)</f>
        <v/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/>
      <c r="AH54" s="15" t="n"/>
      <c r="AI54" s="16">
        <f>IFERROR(AG54*AH54, 0)</f>
        <v/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.75" customHeight="1">
      <c r="A55" s="41" t="inlineStr">
        <is>
          <t>Arepas</t>
        </is>
      </c>
      <c r="B55" s="41" t="inlineStr">
        <is>
          <t>Und</t>
        </is>
      </c>
      <c r="C55" s="42" t="n"/>
      <c r="D55" s="43" t="n"/>
      <c r="E55" s="78">
        <f>IFERROR(C55*D55, 0)</f>
        <v/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>
        <v>2200</v>
      </c>
      <c r="P55" s="15" t="n">
        <v>150</v>
      </c>
      <c r="Q55" s="16" t="n">
        <v>330000</v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/>
      <c r="AE55" s="15" t="n"/>
      <c r="AF55" s="16">
        <f>IFERROR(AD55*AE55, 0)</f>
        <v/>
      </c>
      <c r="AG55" s="14" t="n"/>
      <c r="AH55" s="15" t="n"/>
      <c r="AI55" s="16">
        <f>IFERROR(AG55*AH55, 0)</f>
        <v/>
      </c>
      <c r="AJ55" s="14" t="n">
        <v>1200</v>
      </c>
      <c r="AK55" s="15" t="n">
        <v>150</v>
      </c>
      <c r="AL55" s="16" t="n">
        <v>180000</v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>
        <v>150</v>
      </c>
      <c r="AW55" s="15" t="n">
        <v>163.33</v>
      </c>
      <c r="AX55" s="16" t="n">
        <v>24500</v>
      </c>
      <c r="AY55" s="14" t="n">
        <v>150</v>
      </c>
      <c r="AZ55" s="15" t="n">
        <v>150</v>
      </c>
      <c r="BA55" s="16" t="n">
        <v>22500</v>
      </c>
      <c r="BB55" s="14" t="n">
        <v>150</v>
      </c>
      <c r="BC55" s="15" t="n">
        <v>150</v>
      </c>
      <c r="BD55" s="16" t="n">
        <v>22500</v>
      </c>
      <c r="BE55" s="14" t="n">
        <v>1750</v>
      </c>
      <c r="BF55" s="15" t="n">
        <v>150</v>
      </c>
      <c r="BG55" s="16" t="n">
        <v>262500</v>
      </c>
      <c r="BH55" s="14" t="n">
        <v>100</v>
      </c>
      <c r="BI55" s="15" t="n">
        <v>190</v>
      </c>
      <c r="BJ55" s="16" t="n">
        <v>19000</v>
      </c>
      <c r="BK55" s="14" t="n"/>
      <c r="BL55" s="15">
        <f>BM55/BK55</f>
        <v/>
      </c>
      <c r="BM55" s="16" t="n">
        <v>150000</v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</sheetData>
  <autoFilter ref="A2:CW55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38"/>
  <sheetViews>
    <sheetView topLeftCell="A19" zoomScaleNormal="100" workbookViewId="0">
      <pane xSplit="1" topLeftCell="CK1" activePane="topRight" state="frozen"/>
      <selection pane="topRight" activeCell="A25" sqref="A25:XFD25"/>
    </sheetView>
  </sheetViews>
  <sheetFormatPr baseColWidth="10" defaultColWidth="10.7265625" defaultRowHeight="14.5"/>
  <cols>
    <col width="56.26953125" customWidth="1" min="1" max="1"/>
    <col width="9.453125" customWidth="1" min="2" max="2"/>
    <col width="10.26953125" customWidth="1" min="3" max="3"/>
    <col width="7.1796875" customWidth="1" min="4" max="4"/>
    <col width="6.81640625" customWidth="1" min="5" max="5"/>
    <col width="12.7265625" bestFit="1" customWidth="1" min="6" max="6"/>
    <col width="16" bestFit="1" customWidth="1" min="7" max="7"/>
    <col width="16.54296875" bestFit="1" customWidth="1" min="8" max="8"/>
    <col width="12.7265625" bestFit="1" customWidth="1" min="9" max="9"/>
    <col width="16" bestFit="1" customWidth="1" min="10" max="10"/>
    <col width="16.54296875" bestFit="1" customWidth="1" min="11" max="11"/>
    <col width="12.7265625" bestFit="1" customWidth="1" min="12" max="12"/>
    <col width="16" bestFit="1" customWidth="1" min="13" max="13"/>
    <col width="16.54296875" bestFit="1" customWidth="1" min="14" max="14"/>
    <col width="12.7265625" bestFit="1" customWidth="1" min="15" max="15"/>
    <col width="16" bestFit="1" customWidth="1" min="16" max="16"/>
    <col width="16.54296875" bestFit="1" customWidth="1" min="17" max="17"/>
    <col width="12.7265625" bestFit="1" customWidth="1" min="18" max="18"/>
    <col width="13.26953125" bestFit="1" customWidth="1" min="19" max="19"/>
    <col width="16.54296875" bestFit="1" customWidth="1" min="20" max="20"/>
    <col width="12.7265625" bestFit="1" customWidth="1" min="21" max="21"/>
    <col width="16.54296875" bestFit="1" customWidth="1" min="22" max="23"/>
    <col width="12.7265625" bestFit="1" customWidth="1" min="24" max="24"/>
    <col width="16" bestFit="1" customWidth="1" min="25" max="25"/>
    <col width="16.54296875" bestFit="1" customWidth="1" min="26" max="26"/>
    <col width="12.7265625" bestFit="1" customWidth="1" min="27" max="27"/>
    <col width="16" bestFit="1" customWidth="1" min="28" max="28"/>
    <col width="16.54296875" bestFit="1" customWidth="1" min="29" max="29"/>
    <col width="12.7265625" bestFit="1" customWidth="1" min="30" max="30"/>
    <col width="16" bestFit="1" customWidth="1" min="31" max="31"/>
    <col width="16.54296875" bestFit="1" customWidth="1" min="32" max="32"/>
    <col width="12.7265625" bestFit="1" customWidth="1" min="33" max="33"/>
    <col width="16" bestFit="1" customWidth="1" min="34" max="34"/>
    <col width="16.54296875" bestFit="1" customWidth="1" min="35" max="35"/>
    <col width="12.7265625" bestFit="1" customWidth="1" min="36" max="36"/>
    <col width="16" bestFit="1" customWidth="1" min="37" max="37"/>
    <col width="16.54296875" bestFit="1" customWidth="1" min="38" max="38"/>
    <col width="12.7265625" bestFit="1" customWidth="1" min="39" max="39"/>
    <col width="16.54296875" bestFit="1" customWidth="1" min="40" max="41"/>
    <col width="12.7265625" bestFit="1" customWidth="1" min="42" max="42"/>
    <col width="13.26953125" bestFit="1" customWidth="1" min="43" max="43"/>
    <col width="16.54296875" bestFit="1" customWidth="1" min="44" max="44"/>
    <col width="12.7265625" bestFit="1" customWidth="1" min="45" max="45"/>
    <col width="16" bestFit="1" customWidth="1" min="46" max="46"/>
    <col width="16.54296875" bestFit="1" customWidth="1" min="47" max="47"/>
    <col width="12.7265625" bestFit="1" customWidth="1" min="48" max="48"/>
    <col width="16.54296875" bestFit="1" customWidth="1" min="49" max="50"/>
    <col width="12.7265625" bestFit="1" customWidth="1" min="51" max="51"/>
    <col width="16.54296875" bestFit="1" customWidth="1" min="52" max="53"/>
    <col width="12.7265625" bestFit="1" customWidth="1" min="54" max="54"/>
    <col width="16" bestFit="1" customWidth="1" min="55" max="55"/>
    <col width="16.54296875" bestFit="1" customWidth="1" min="56" max="56"/>
    <col width="12.7265625" bestFit="1" customWidth="1" min="57" max="57"/>
    <col width="16" bestFit="1" customWidth="1" min="58" max="58"/>
    <col width="16.54296875" bestFit="1" customWidth="1" min="59" max="59"/>
    <col width="12.7265625" bestFit="1" customWidth="1" min="60" max="60"/>
    <col width="16" bestFit="1" customWidth="1" min="61" max="61"/>
    <col width="16.54296875" bestFit="1" customWidth="1" min="62" max="62"/>
    <col width="12.7265625" bestFit="1" customWidth="1" min="63" max="63"/>
    <col width="16" bestFit="1" customWidth="1" min="64" max="64"/>
    <col width="16.54296875" bestFit="1" customWidth="1" min="65" max="65"/>
    <col width="12.7265625" bestFit="1" customWidth="1" min="66" max="66"/>
    <col width="16.54296875" bestFit="1" customWidth="1" min="67" max="68"/>
    <col width="12.7265625" bestFit="1" customWidth="1" min="69" max="69"/>
    <col width="16" bestFit="1" customWidth="1" min="70" max="70"/>
    <col width="16.54296875" bestFit="1" customWidth="1" min="71" max="71"/>
    <col width="12.7265625" bestFit="1" customWidth="1" min="72" max="72"/>
    <col width="16" bestFit="1" customWidth="1" min="73" max="73"/>
    <col width="16.54296875" bestFit="1" customWidth="1" min="74" max="74"/>
    <col width="12.7265625" bestFit="1" customWidth="1" min="75" max="75"/>
    <col width="16" bestFit="1" customWidth="1" min="76" max="76"/>
    <col width="16.54296875" bestFit="1" customWidth="1" min="77" max="77"/>
    <col width="12.7265625" bestFit="1" customWidth="1" min="78" max="78"/>
    <col width="16" bestFit="1" customWidth="1" min="79" max="79"/>
    <col width="16.54296875" bestFit="1" customWidth="1" min="80" max="80"/>
    <col width="12.7265625" bestFit="1" customWidth="1" min="81" max="81"/>
    <col width="16" bestFit="1" customWidth="1" min="82" max="82"/>
    <col width="16.54296875" bestFit="1" customWidth="1" min="83" max="83"/>
    <col width="12.7265625" bestFit="1" customWidth="1" min="84" max="84"/>
    <col width="16.54296875" bestFit="1" customWidth="1" min="85" max="86"/>
    <col width="12.7265625" bestFit="1" customWidth="1" min="87" max="87"/>
    <col width="16" bestFit="1" customWidth="1" min="88" max="88"/>
    <col width="16.54296875" bestFit="1" customWidth="1" min="89" max="89"/>
    <col width="12.7265625" bestFit="1" customWidth="1" min="90" max="90"/>
    <col width="12" bestFit="1" customWidth="1" min="91" max="91"/>
    <col width="16.54296875" bestFit="1" customWidth="1" min="92" max="92"/>
    <col width="12.7265625" bestFit="1" customWidth="1" min="93" max="93"/>
    <col width="16" bestFit="1" customWidth="1" min="94" max="94"/>
    <col width="16.54296875" bestFit="1" customWidth="1" min="95" max="95"/>
    <col width="12.7265625" bestFit="1" customWidth="1" min="96" max="96"/>
    <col width="16" bestFit="1" customWidth="1" min="97" max="97"/>
    <col width="16.54296875" bestFit="1" customWidth="1" min="98" max="98"/>
    <col width="12.7265625" bestFit="1" customWidth="1" min="99" max="99"/>
    <col width="16" bestFit="1" customWidth="1" min="100" max="100"/>
    <col width="16.54296875" bestFit="1" customWidth="1" min="101" max="101"/>
  </cols>
  <sheetData>
    <row r="1" ht="18.75" customHeight="1">
      <c r="A1" s="125" t="inlineStr">
        <is>
          <t>Servicios</t>
        </is>
      </c>
      <c r="B1" s="45" t="n"/>
      <c r="C1" s="45" t="n"/>
      <c r="D1" s="45" t="n"/>
      <c r="E1" s="45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41" t="inlineStr">
        <is>
          <t>Producto</t>
        </is>
      </c>
      <c r="B2" s="41" t="inlineStr">
        <is>
          <t>Medida</t>
        </is>
      </c>
      <c r="C2" s="41" t="inlineStr">
        <is>
          <t>Cantidad</t>
        </is>
      </c>
      <c r="D2" s="46" t="inlineStr">
        <is>
          <t>Valor</t>
        </is>
      </c>
      <c r="E2" s="46" t="inlineStr">
        <is>
          <t>Total</t>
        </is>
      </c>
      <c r="F2" s="46" t="inlineStr">
        <is>
          <t>Cantid</t>
        </is>
      </c>
      <c r="G2" s="46" t="inlineStr">
        <is>
          <t>Costo unit</t>
        </is>
      </c>
      <c r="H2" s="46" t="inlineStr">
        <is>
          <t>Vr. compra</t>
        </is>
      </c>
      <c r="I2" s="46" t="inlineStr">
        <is>
          <t>Cantid</t>
        </is>
      </c>
      <c r="J2" s="46" t="inlineStr">
        <is>
          <t>Costo unit</t>
        </is>
      </c>
      <c r="K2" s="46" t="inlineStr">
        <is>
          <t>Vr. compra</t>
        </is>
      </c>
      <c r="L2" s="46" t="inlineStr">
        <is>
          <t>Cantid</t>
        </is>
      </c>
      <c r="M2" s="46" t="inlineStr">
        <is>
          <t>Costo unit</t>
        </is>
      </c>
      <c r="N2" s="46" t="inlineStr">
        <is>
          <t>Vr. compra</t>
        </is>
      </c>
      <c r="O2" s="46" t="inlineStr">
        <is>
          <t>Cantid</t>
        </is>
      </c>
      <c r="P2" s="46" t="inlineStr">
        <is>
          <t>Costo unit</t>
        </is>
      </c>
      <c r="Q2" s="46" t="inlineStr">
        <is>
          <t>Vr. compra</t>
        </is>
      </c>
      <c r="R2" s="46" t="inlineStr">
        <is>
          <t>Cantid</t>
        </is>
      </c>
      <c r="S2" s="46" t="inlineStr">
        <is>
          <t>Costo</t>
        </is>
      </c>
      <c r="T2" s="46" t="inlineStr">
        <is>
          <t>Vr. compra</t>
        </is>
      </c>
      <c r="U2" s="46" t="inlineStr">
        <is>
          <t>Cantid</t>
        </is>
      </c>
      <c r="V2" s="46" t="inlineStr">
        <is>
          <t>Costo unit</t>
        </is>
      </c>
      <c r="W2" s="46" t="inlineStr">
        <is>
          <t>Vr. compra</t>
        </is>
      </c>
      <c r="X2" s="47" t="inlineStr">
        <is>
          <t>Cantid</t>
        </is>
      </c>
      <c r="Y2" s="46" t="inlineStr">
        <is>
          <t>Costo unit</t>
        </is>
      </c>
      <c r="Z2" s="46" t="inlineStr">
        <is>
          <t>Vr. compra</t>
        </is>
      </c>
      <c r="AA2" s="46" t="inlineStr">
        <is>
          <t>Cantid</t>
        </is>
      </c>
      <c r="AB2" s="46" t="inlineStr">
        <is>
          <t>Costo unit</t>
        </is>
      </c>
      <c r="AC2" s="46" t="inlineStr">
        <is>
          <t>Vr. compra</t>
        </is>
      </c>
      <c r="AD2" s="46" t="inlineStr">
        <is>
          <t>Cantid</t>
        </is>
      </c>
      <c r="AE2" s="46" t="inlineStr">
        <is>
          <t>Costo unit</t>
        </is>
      </c>
      <c r="AF2" s="46" t="inlineStr">
        <is>
          <t>Vr. compra</t>
        </is>
      </c>
      <c r="AG2" s="46" t="inlineStr">
        <is>
          <t>Cantid</t>
        </is>
      </c>
      <c r="AH2" s="46" t="inlineStr">
        <is>
          <t>Costo unit</t>
        </is>
      </c>
      <c r="AI2" s="46" t="inlineStr">
        <is>
          <t>Vr. compra</t>
        </is>
      </c>
      <c r="AJ2" s="46" t="inlineStr">
        <is>
          <t>Cantid</t>
        </is>
      </c>
      <c r="AK2" s="46" t="inlineStr">
        <is>
          <t>Costo unit</t>
        </is>
      </c>
      <c r="AL2" s="46" t="inlineStr">
        <is>
          <t>Vr. compra</t>
        </is>
      </c>
      <c r="AM2" s="46" t="inlineStr">
        <is>
          <t>Cantid</t>
        </is>
      </c>
      <c r="AN2" s="46" t="inlineStr">
        <is>
          <t>Costo unit</t>
        </is>
      </c>
      <c r="AO2" s="46" t="inlineStr">
        <is>
          <t>Vr. compra</t>
        </is>
      </c>
      <c r="AP2" s="46" t="inlineStr">
        <is>
          <t>Cantid</t>
        </is>
      </c>
      <c r="AQ2" s="46" t="inlineStr">
        <is>
          <t>Costo</t>
        </is>
      </c>
      <c r="AR2" s="46" t="inlineStr">
        <is>
          <t>Vr. compra</t>
        </is>
      </c>
      <c r="AS2" s="46" t="inlineStr">
        <is>
          <t>Cantid</t>
        </is>
      </c>
      <c r="AT2" s="46" t="inlineStr">
        <is>
          <t>Costo unit</t>
        </is>
      </c>
      <c r="AU2" s="46" t="inlineStr">
        <is>
          <t>Vr. compra</t>
        </is>
      </c>
      <c r="AV2" s="46" t="inlineStr">
        <is>
          <t>Cantid</t>
        </is>
      </c>
      <c r="AW2" s="46" t="inlineStr">
        <is>
          <t>Costo unit</t>
        </is>
      </c>
      <c r="AX2" s="46" t="inlineStr">
        <is>
          <t>Vr. compra</t>
        </is>
      </c>
      <c r="AY2" s="46" t="inlineStr">
        <is>
          <t>Cantid</t>
        </is>
      </c>
      <c r="AZ2" s="46" t="inlineStr">
        <is>
          <t>Costo unit</t>
        </is>
      </c>
      <c r="BA2" s="46" t="inlineStr">
        <is>
          <t>Vr. compra</t>
        </is>
      </c>
      <c r="BB2" s="46" t="inlineStr">
        <is>
          <t>Cantid</t>
        </is>
      </c>
      <c r="BC2" s="46" t="inlineStr">
        <is>
          <t>Costo unit</t>
        </is>
      </c>
      <c r="BD2" s="46" t="inlineStr">
        <is>
          <t>Vr. compra</t>
        </is>
      </c>
      <c r="BE2" s="46" t="inlineStr">
        <is>
          <t>Cantid</t>
        </is>
      </c>
      <c r="BF2" s="46" t="inlineStr">
        <is>
          <t>Costo unit</t>
        </is>
      </c>
      <c r="BG2" s="46" t="inlineStr">
        <is>
          <t>Vr. compra</t>
        </is>
      </c>
      <c r="BH2" s="46" t="inlineStr">
        <is>
          <t>Cantid</t>
        </is>
      </c>
      <c r="BI2" s="46" t="inlineStr">
        <is>
          <t>Costo unit</t>
        </is>
      </c>
      <c r="BJ2" s="46" t="inlineStr">
        <is>
          <t>Vr. compra</t>
        </is>
      </c>
      <c r="BK2" s="46" t="inlineStr">
        <is>
          <t>Cantid</t>
        </is>
      </c>
      <c r="BL2" s="46" t="inlineStr">
        <is>
          <t>Costo unit</t>
        </is>
      </c>
      <c r="BM2" s="46" t="inlineStr">
        <is>
          <t>Vr. compra</t>
        </is>
      </c>
      <c r="BN2" s="46" t="inlineStr">
        <is>
          <t>Cantid</t>
        </is>
      </c>
      <c r="BO2" s="46" t="inlineStr">
        <is>
          <t>Costo</t>
        </is>
      </c>
      <c r="BP2" s="46" t="inlineStr">
        <is>
          <t>Vr. compra</t>
        </is>
      </c>
      <c r="BQ2" s="46" t="inlineStr">
        <is>
          <t>Cantid</t>
        </is>
      </c>
      <c r="BR2" s="46" t="inlineStr">
        <is>
          <t>Costo unit</t>
        </is>
      </c>
      <c r="BS2" s="46" t="inlineStr">
        <is>
          <t>Vr. compra</t>
        </is>
      </c>
      <c r="BT2" s="46" t="inlineStr">
        <is>
          <t>Cantid</t>
        </is>
      </c>
      <c r="BU2" s="46" t="inlineStr">
        <is>
          <t>Costo unit</t>
        </is>
      </c>
      <c r="BV2" s="46" t="inlineStr">
        <is>
          <t>Vr. compra</t>
        </is>
      </c>
      <c r="BW2" s="46" t="inlineStr">
        <is>
          <t>Cantid</t>
        </is>
      </c>
      <c r="BX2" s="46" t="inlineStr">
        <is>
          <t>Costo unit</t>
        </is>
      </c>
      <c r="BY2" s="46" t="inlineStr">
        <is>
          <t>Vr. compra</t>
        </is>
      </c>
      <c r="BZ2" s="46" t="inlineStr">
        <is>
          <t>Cantid</t>
        </is>
      </c>
      <c r="CA2" s="46" t="inlineStr">
        <is>
          <t>Costo unit</t>
        </is>
      </c>
      <c r="CB2" s="46" t="inlineStr">
        <is>
          <t>Vr. compra</t>
        </is>
      </c>
      <c r="CC2" s="46" t="inlineStr">
        <is>
          <t>Cantid</t>
        </is>
      </c>
      <c r="CD2" s="46" t="inlineStr">
        <is>
          <t>Costo unit</t>
        </is>
      </c>
      <c r="CE2" s="46" t="inlineStr">
        <is>
          <t>Vr. compra</t>
        </is>
      </c>
      <c r="CF2" s="46" t="inlineStr">
        <is>
          <t>Cantid</t>
        </is>
      </c>
      <c r="CG2" s="46" t="inlineStr">
        <is>
          <t>Costo unit</t>
        </is>
      </c>
      <c r="CH2" s="46" t="inlineStr">
        <is>
          <t>Vr. compra</t>
        </is>
      </c>
      <c r="CI2" s="46" t="inlineStr">
        <is>
          <t>Cantid</t>
        </is>
      </c>
      <c r="CJ2" s="46" t="inlineStr">
        <is>
          <t>Costo unit</t>
        </is>
      </c>
      <c r="CK2" s="46" t="inlineStr">
        <is>
          <t>Vr. compra</t>
        </is>
      </c>
      <c r="CL2" s="46" t="inlineStr">
        <is>
          <t>Cantid</t>
        </is>
      </c>
      <c r="CM2" s="46" t="inlineStr">
        <is>
          <t>Costo</t>
        </is>
      </c>
      <c r="CN2" s="46" t="inlineStr">
        <is>
          <t>Vr. compra</t>
        </is>
      </c>
      <c r="CO2" s="46" t="inlineStr">
        <is>
          <t>Cantid</t>
        </is>
      </c>
      <c r="CP2" s="46" t="inlineStr">
        <is>
          <t>Costo unit</t>
        </is>
      </c>
      <c r="CQ2" s="46" t="inlineStr">
        <is>
          <t>Vr. compra</t>
        </is>
      </c>
      <c r="CR2" s="46" t="inlineStr">
        <is>
          <t>Cantid</t>
        </is>
      </c>
      <c r="CS2" s="46" t="inlineStr">
        <is>
          <t>Costo unit</t>
        </is>
      </c>
      <c r="CT2" s="46" t="inlineStr">
        <is>
          <t>Vr. compra</t>
        </is>
      </c>
      <c r="CU2" s="46" t="inlineStr">
        <is>
          <t>Cantid</t>
        </is>
      </c>
      <c r="CV2" s="46" t="inlineStr">
        <is>
          <t>Costo unit</t>
        </is>
      </c>
      <c r="CW2" s="46" t="inlineStr">
        <is>
          <t>Vr. compra</t>
        </is>
      </c>
    </row>
    <row r="3" ht="15.75" customHeight="1">
      <c r="A3" s="41" t="inlineStr">
        <is>
          <t>Servicios temporales</t>
        </is>
      </c>
      <c r="B3" s="41" t="inlineStr">
        <is>
          <t>Servicio</t>
        </is>
      </c>
      <c r="C3" s="42" t="n"/>
      <c r="D3" s="43" t="n"/>
      <c r="E3" s="78">
        <f>IFERROR(+C3*D3, 0)</f>
        <v/>
      </c>
      <c r="F3" s="14" t="n"/>
      <c r="G3" s="15" t="n"/>
      <c r="H3" s="16">
        <f>IFERROR(F3*G3, 0)</f>
        <v/>
      </c>
      <c r="I3" s="14" t="n"/>
      <c r="J3" s="15" t="n"/>
      <c r="K3" s="16">
        <f>IFERROR(I3*J3, 0)</f>
        <v/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/>
      <c r="Y3" s="15" t="n"/>
      <c r="Z3" s="16">
        <f>IFERROR(X3*Y3, 0)</f>
        <v/>
      </c>
      <c r="AA3" s="14" t="n"/>
      <c r="AB3" s="15" t="n"/>
      <c r="AC3" s="16">
        <f>IFERROR(AA3*AB3, 0)</f>
        <v/>
      </c>
      <c r="AD3" s="14" t="n">
        <v>1</v>
      </c>
      <c r="AE3" s="15" t="n">
        <v>900000</v>
      </c>
      <c r="AF3" s="16" t="n">
        <v>900000</v>
      </c>
      <c r="AG3" s="14" t="n">
        <v>1</v>
      </c>
      <c r="AH3" s="15" t="n">
        <v>72000</v>
      </c>
      <c r="AI3" s="16" t="n">
        <v>72000</v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>
        <v>2</v>
      </c>
      <c r="AW3" s="15" t="n">
        <v>13804696</v>
      </c>
      <c r="AX3" s="16" t="n">
        <v>15629983.45</v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/>
      <c r="BF3" s="15" t="n"/>
      <c r="BG3" s="16">
        <f>IFERROR(BE3*BF3, 0)</f>
        <v/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/>
      <c r="BR3" s="15" t="n"/>
      <c r="BS3" s="16">
        <f>IFERROR(BQ3*BR3, 0)</f>
        <v/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77">
        <f>IFERROR(AVERAGE(G3,J3,M3,P3,S3,V3,Y3,AB3,AE3,AH3,AK3,AN3,AQ3,AT3,AW3,AZ3,BC3,BF3,BI3,BL3,BO3,BR3,BU3,BX3,CA3,CD3,CG3,CJ3,CM3,CP3,CS3), 0)</f>
        <v/>
      </c>
      <c r="CW3" s="16">
        <f>CV3*CU3</f>
        <v/>
      </c>
    </row>
    <row r="4" ht="15.75" customHeight="1">
      <c r="A4" s="41" t="inlineStr">
        <is>
          <t>Estrategia de posicionamiento digital</t>
        </is>
      </c>
      <c r="B4" s="37" t="inlineStr">
        <is>
          <t>Servicio</t>
        </is>
      </c>
      <c r="C4" s="19" t="n"/>
      <c r="D4" s="20" t="n"/>
      <c r="E4" s="78">
        <f>IFERROR(+C4*D4,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>
        <v>2</v>
      </c>
      <c r="AW4" s="15" t="n">
        <v>213280.13</v>
      </c>
      <c r="AX4" s="16" t="n">
        <v>386529.85</v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77">
        <f>IFERROR(AVERAGE(G4,J4,M4,P4,S4,V4,Y4,AB4,AE4,AH4,AK4,AN4,AQ4,AT4,AW4,AZ4,BC4,BF4,BI4,BL4,BO4,BR4,BU4,BX4,CA4,CD4,CG4,CJ4,CM4,CP4,CS4), 0)</f>
        <v/>
      </c>
      <c r="CW4" s="16">
        <f>CV4*CU4</f>
        <v/>
      </c>
    </row>
    <row r="5" ht="15" customHeight="1">
      <c r="A5" s="37" t="inlineStr">
        <is>
          <t>Otros servicios de salud</t>
        </is>
      </c>
      <c r="B5" s="37" t="inlineStr">
        <is>
          <t>Servicio</t>
        </is>
      </c>
      <c r="C5" s="19" t="n"/>
      <c r="D5" s="20" t="n"/>
      <c r="E5" s="78">
        <f>IFERROR(+C5*D5,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>
        <v>2</v>
      </c>
      <c r="AH5" s="15" t="n">
        <v>1700</v>
      </c>
      <c r="AI5" s="16" t="n">
        <v>3400</v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>
        <v>1</v>
      </c>
      <c r="BI5" s="15" t="n">
        <v>32950</v>
      </c>
      <c r="BJ5" s="16" t="n">
        <v>32950</v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/>
      <c r="BR5" s="15" t="n"/>
      <c r="BS5" s="16">
        <f>IFERROR(BQ5*BR5, 0)</f>
        <v/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77">
        <f>IFERROR(AVERAGE(G5,J5,M5,P5,S5,V5,Y5,AB5,AE5,AH5,AK5,AN5,AQ5,AT5,AW5,AZ5,BC5,BF5,BI5,BL5,BO5,BR5,BU5,BX5,CA5,CD5,CG5,CJ5,CM5,CP5,CS5), 0)</f>
        <v/>
      </c>
      <c r="CW5" s="16">
        <f>CV5*CU5</f>
        <v/>
      </c>
    </row>
    <row r="6" ht="15" customHeight="1">
      <c r="A6" s="37" t="inlineStr">
        <is>
          <t>Examenes ingreso jhonatan ocampo</t>
        </is>
      </c>
      <c r="B6" s="37" t="inlineStr">
        <is>
          <t>Servicio</t>
        </is>
      </c>
      <c r="C6" s="19" t="n"/>
      <c r="D6" s="20" t="n"/>
      <c r="E6" s="78">
        <f>IFERROR(+C6*D6,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>
        <v>1</v>
      </c>
      <c r="AZ6" s="15" t="n">
        <v>160500</v>
      </c>
      <c r="BA6" s="16" t="n">
        <v>160500</v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77">
        <f>IFERROR(AVERAGE(G6,J6,M6,P6,S6,V6,Y6,AB6,AE6,AH6,AK6,AN6,AQ6,AT6,AW6,AZ6,BC6,BF6,BI6,BL6,BO6,BR6,BU6,BX6,CA6,CD6,CG6,CJ6,CM6,CP6,CS6), 0)</f>
        <v/>
      </c>
      <c r="CW6" s="16">
        <f>CV6*CU6</f>
        <v/>
      </c>
    </row>
    <row r="7" ht="15" customHeight="1">
      <c r="A7" s="80" t="inlineStr">
        <is>
          <t>Servicios Públicos</t>
        </is>
      </c>
      <c r="B7" s="37" t="inlineStr">
        <is>
          <t>Servicio</t>
        </is>
      </c>
      <c r="C7" s="80" t="n"/>
      <c r="D7" s="80" t="n"/>
      <c r="E7" s="78">
        <f>IFERROR(+C7*D7, 0)</f>
        <v/>
      </c>
      <c r="F7" s="14" t="n"/>
      <c r="G7" s="15" t="n"/>
      <c r="H7" s="16">
        <f>IFERROR(F7*G7, 0)</f>
        <v/>
      </c>
      <c r="I7" s="14" t="n"/>
      <c r="J7" s="15" t="n"/>
      <c r="K7" s="16">
        <f>IFERROR(I7*J7, 0)</f>
        <v/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>
        <v>1</v>
      </c>
      <c r="AE7" s="15" t="n">
        <v>106180</v>
      </c>
      <c r="AF7" s="16" t="n">
        <v>106180</v>
      </c>
      <c r="AG7" s="14" t="n"/>
      <c r="AH7" s="15" t="n"/>
      <c r="AI7" s="16">
        <f>IFERROR(AG7*AH7, 0)</f>
        <v/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>
        <v>1</v>
      </c>
      <c r="AT7" s="15" t="n">
        <v>5241200</v>
      </c>
      <c r="AU7" s="16" t="n">
        <v>5241200</v>
      </c>
      <c r="AV7" s="14" t="n"/>
      <c r="AW7" s="15" t="n"/>
      <c r="AX7" s="16">
        <f>IFERROR(AV7*AW7, 0)</f>
        <v/>
      </c>
      <c r="AY7" s="14" t="n">
        <v>1</v>
      </c>
      <c r="AZ7" s="15" t="n">
        <v>5024323</v>
      </c>
      <c r="BA7" s="16" t="n">
        <v>5024323</v>
      </c>
      <c r="BB7" s="14" t="n"/>
      <c r="BC7" s="15" t="n"/>
      <c r="BD7" s="16">
        <f>IFERROR(BB7*BC7, 0)</f>
        <v/>
      </c>
      <c r="BE7" s="14" t="n"/>
      <c r="BF7" s="15" t="n"/>
      <c r="BG7" s="16">
        <f>IFERROR(BE7*BF7, 0)</f>
        <v/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>
        <v>1</v>
      </c>
      <c r="CJ7" s="15" t="n">
        <v>648000</v>
      </c>
      <c r="CK7" s="16" t="n">
        <v>648000</v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77">
        <f>IFERROR(AVERAGE(G7,J7,M7,P7,S7,V7,Y7,AB7,AE7,AH7,AK7,AN7,AQ7,AT7,AW7,AZ7,BC7,BF7,BI7,BL7,BO7,BR7,BU7,BX7,CA7,CD7,CG7,CJ7,CM7,CP7,CS7), 0)</f>
        <v/>
      </c>
      <c r="CW7" s="16">
        <f>CV7*CU7</f>
        <v/>
      </c>
    </row>
    <row r="8" ht="15" customHeight="1">
      <c r="A8" s="80" t="inlineStr">
        <is>
          <t>Computación en la Nube Plan Empresarial 4000 documentos mes</t>
        </is>
      </c>
      <c r="B8" s="37" t="inlineStr">
        <is>
          <t>Servicio</t>
        </is>
      </c>
      <c r="C8" s="80" t="n"/>
      <c r="D8" s="80" t="n"/>
      <c r="E8" s="78">
        <f>IFERROR(+C8*D8,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/>
      <c r="Y8" s="15" t="n"/>
      <c r="Z8" s="16">
        <f>IFERROR(X8*Y8, 0)</f>
        <v/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>
        <v>1</v>
      </c>
      <c r="AH8" s="15" t="n">
        <v>72000</v>
      </c>
      <c r="AI8" s="16" t="n">
        <v>72000</v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>
        <v>1</v>
      </c>
      <c r="AZ8" s="15" t="n">
        <v>72000</v>
      </c>
      <c r="BA8" s="16" t="n">
        <v>72000</v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77">
        <f>IFERROR(AVERAGE(G8,J8,M8,P8,S8,V8,Y8,AB8,AE8,AH8,AK8,AN8,AQ8,AT8,AW8,AZ8,BC8,BF8,BI8,BL8,BO8,BR8,BU8,BX8,CA8,CD8,CG8,CJ8,CM8,CP8,CS8), 0)</f>
        <v/>
      </c>
      <c r="CW8" s="16">
        <f>CV8*CU8</f>
        <v/>
      </c>
    </row>
    <row r="9" ht="15" customHeight="1">
      <c r="A9" s="80" t="inlineStr">
        <is>
          <t>Examenes Médicos Jesus, Lucero, Daniela</t>
        </is>
      </c>
      <c r="B9" s="37" t="inlineStr">
        <is>
          <t>Servicio</t>
        </is>
      </c>
      <c r="C9" s="80" t="n"/>
      <c r="D9" s="80" t="n"/>
      <c r="E9" s="78">
        <f>IFERROR(+C9*D9, 0)</f>
        <v/>
      </c>
      <c r="F9" s="14" t="n"/>
      <c r="G9" s="15" t="n"/>
      <c r="H9" s="16">
        <f>IFERROR(F9*G9, 0)</f>
        <v/>
      </c>
      <c r="I9" s="14" t="n"/>
      <c r="J9" s="15" t="n"/>
      <c r="K9" s="16">
        <f>IFERROR(I9*J9, 0)</f>
        <v/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/>
      <c r="Y9" s="15" t="n"/>
      <c r="Z9" s="16">
        <f>IFERROR(X9*Y9, 0)</f>
        <v/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/>
      <c r="BF9" s="15" t="n"/>
      <c r="BG9" s="16">
        <f>IFERROR(BE9*BF9, 0)</f>
        <v/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/>
      <c r="BR9" s="15" t="n"/>
      <c r="BS9" s="16">
        <f>IFERROR(BQ9*BR9, 0)</f>
        <v/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77">
        <f>IFERROR(AVERAGE(G9,J9,M9,P9,S9,V9,Y9,AB9,AE9,AH9,AK9,AN9,AQ9,AT9,AW9,AZ9,BC9,BF9,BI9,BL9,BO9,BR9,BU9,BX9,CA9,CD9,CG9,CJ9,CM9,CP9,CS9), 0)</f>
        <v/>
      </c>
      <c r="CW9" s="16">
        <f>CV9*CU9</f>
        <v/>
      </c>
    </row>
    <row r="10" ht="15" customHeight="1">
      <c r="A10" s="21" t="inlineStr">
        <is>
          <t>Taxi restaurante casa</t>
        </is>
      </c>
      <c r="B10" s="21" t="inlineStr">
        <is>
          <t>Und</t>
        </is>
      </c>
      <c r="C10" s="21" t="n"/>
      <c r="D10" s="21" t="n"/>
      <c r="E10" s="78">
        <f>IFERROR(+C10*D10, 0)</f>
        <v/>
      </c>
      <c r="F10" s="14" t="n"/>
      <c r="G10" s="15" t="n"/>
      <c r="H10" s="16">
        <f>IFERROR(F10*G10, 0)</f>
        <v/>
      </c>
      <c r="I10" s="14" t="n"/>
      <c r="J10" s="15" t="n"/>
      <c r="K10" s="16">
        <f>IFERROR(I10*J10, 0)</f>
        <v/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/>
      <c r="Y10" s="15" t="n"/>
      <c r="Z10" s="16">
        <f>IFERROR(X10*Y10, 0)</f>
        <v/>
      </c>
      <c r="AA10" s="14" t="n"/>
      <c r="AB10" s="15" t="n"/>
      <c r="AC10" s="16">
        <f>IFERROR(AA10*AB10, 0)</f>
        <v/>
      </c>
      <c r="AD10" s="14" t="n">
        <v>1</v>
      </c>
      <c r="AE10" s="15" t="n">
        <v>30000</v>
      </c>
      <c r="AF10" s="16" t="n">
        <v>30000</v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/>
      <c r="BR10" s="15" t="n"/>
      <c r="BS10" s="16">
        <f>IFERROR(BQ10*BR10, 0)</f>
        <v/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77">
        <f>IFERROR(AVERAGE(G10,J10,M10,P10,S10,V10,Y10,AB10,AE10,AH10,AK10,AN10,AQ10,AT10,AW10,AZ10,BC10,BF10,BI10,BL10,BO10,BR10,BU10,BX10,CA10,CD10,CG10,CJ10,CM10,CP10,CS10), 0)</f>
        <v/>
      </c>
      <c r="CW10" s="16">
        <f>CV10*CU10</f>
        <v/>
      </c>
    </row>
    <row r="11" ht="15" customHeight="1">
      <c r="A11" s="21" t="inlineStr">
        <is>
          <t>Cancelación compra césar alvarado</t>
        </is>
      </c>
      <c r="B11" s="21" t="inlineStr">
        <is>
          <t>Und</t>
        </is>
      </c>
      <c r="C11" s="21" t="n"/>
      <c r="D11" s="21" t="n"/>
      <c r="E11" s="78">
        <f>IFERROR(+C11*D11,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/>
      <c r="AH11" s="15" t="n"/>
      <c r="AI11" s="16">
        <f>IFERROR(AG11*AH11, 0)</f>
        <v/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77">
        <f>IFERROR(AVERAGE(G11,J11,M11,P11,S11,V11,Y11,AB11,AE11,AH11,AK11,AN11,AQ11,AT11,AW11,AZ11,BC11,BF11,BI11,BL11,BO11,BR11,BU11,BX11,CA11,CD11,CG11,CJ11,CM11,CP11,CS11), 0)</f>
        <v/>
      </c>
      <c r="CW11" s="16">
        <f>CV11*CU11</f>
        <v/>
      </c>
    </row>
    <row r="12" ht="15" customHeight="1">
      <c r="A12" s="21" t="inlineStr">
        <is>
          <t>Pago turnos</t>
        </is>
      </c>
      <c r="B12" s="21" t="inlineStr">
        <is>
          <t>Und</t>
        </is>
      </c>
      <c r="C12" s="21" t="n"/>
      <c r="D12" s="21" t="n"/>
      <c r="E12" s="78">
        <f>IFERROR(+C12*D12, 0)</f>
        <v/>
      </c>
      <c r="F12" s="14" t="n">
        <v>2</v>
      </c>
      <c r="G12" s="15" t="n">
        <v>138000</v>
      </c>
      <c r="H12" s="16" t="n">
        <v>174000</v>
      </c>
      <c r="I12" s="14" t="n">
        <v>1</v>
      </c>
      <c r="J12" s="15" t="n">
        <v>138000</v>
      </c>
      <c r="K12" s="16" t="n">
        <v>138000</v>
      </c>
      <c r="L12" s="14" t="n">
        <v>1</v>
      </c>
      <c r="M12" s="15" t="n">
        <v>138000</v>
      </c>
      <c r="N12" s="16" t="n">
        <v>138000</v>
      </c>
      <c r="O12" s="14" t="n">
        <v>1</v>
      </c>
      <c r="P12" s="15" t="n">
        <v>132000</v>
      </c>
      <c r="Q12" s="16" t="n">
        <v>132000</v>
      </c>
      <c r="R12" s="14" t="n"/>
      <c r="S12" s="15" t="n"/>
      <c r="T12" s="16">
        <f>IFERROR(R12*S12, 0)</f>
        <v/>
      </c>
      <c r="U12" s="14" t="n">
        <v>1</v>
      </c>
      <c r="V12" s="15" t="n">
        <v>132000</v>
      </c>
      <c r="W12" s="16" t="n">
        <v>132000</v>
      </c>
      <c r="X12" s="14" t="n">
        <v>2</v>
      </c>
      <c r="Y12" s="15" t="n">
        <v>138000</v>
      </c>
      <c r="Z12" s="16" t="n">
        <v>204000</v>
      </c>
      <c r="AA12" s="14" t="n">
        <v>1</v>
      </c>
      <c r="AB12" s="15" t="n">
        <v>138000</v>
      </c>
      <c r="AC12" s="16" t="n">
        <v>138000</v>
      </c>
      <c r="AD12" s="14" t="n"/>
      <c r="AE12" s="15" t="n"/>
      <c r="AF12" s="16">
        <f>IFERROR(AD12*AE12, 0)</f>
        <v/>
      </c>
      <c r="AG12" s="14" t="n">
        <v>3</v>
      </c>
      <c r="AH12" s="15" t="n">
        <v>66000</v>
      </c>
      <c r="AI12" s="16" t="n">
        <v>270000</v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>
        <v>3</v>
      </c>
      <c r="AQ12" s="15" t="n">
        <v>66000</v>
      </c>
      <c r="AR12" s="16" t="n">
        <v>165000</v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>
        <v>1</v>
      </c>
      <c r="AZ12" s="15" t="n">
        <v>66000</v>
      </c>
      <c r="BA12" s="16" t="n">
        <v>66000</v>
      </c>
      <c r="BB12" s="14" t="n">
        <v>1</v>
      </c>
      <c r="BC12" s="15" t="n">
        <v>218000</v>
      </c>
      <c r="BD12" s="16" t="n">
        <v>218000</v>
      </c>
      <c r="BE12" s="14" t="n">
        <v>6</v>
      </c>
      <c r="BF12" s="15" t="n">
        <v>66000</v>
      </c>
      <c r="BG12" s="16" t="n">
        <v>396000</v>
      </c>
      <c r="BH12" s="14" t="n"/>
      <c r="BI12" s="15" t="n"/>
      <c r="BJ12" s="16">
        <f>IFERROR(BH12*BI12, 0)</f>
        <v/>
      </c>
      <c r="BK12" s="14" t="n">
        <v>1</v>
      </c>
      <c r="BL12" s="15" t="n">
        <v>134000</v>
      </c>
      <c r="BM12" s="16" t="n">
        <v>134000</v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77">
        <f>IFERROR(AVERAGE(G12,J12,M12,P12,S12,V12,Y12,AB12,AE12,AH12,AK12,AN12,AQ12,AT12,AW12,AZ12,BC12,BF12,BI12,BL12,BO12,BR12,BU12,BX12,CA12,CD12,CG12,CJ12,CM12,CP12,CS12), 0)</f>
        <v/>
      </c>
      <c r="CW12" s="16">
        <f>CV12*CU12</f>
        <v/>
      </c>
    </row>
    <row r="13" ht="15" customHeight="1">
      <c r="A13" s="21" t="inlineStr">
        <is>
          <t>Pts postos</t>
        </is>
      </c>
      <c r="B13" s="21" t="inlineStr">
        <is>
          <t>Und</t>
        </is>
      </c>
      <c r="C13" s="21" t="n"/>
      <c r="D13" s="21" t="n"/>
      <c r="E13" s="78">
        <f>IFERROR(+C13*D13, 0)</f>
        <v/>
      </c>
      <c r="F13" s="14" t="n"/>
      <c r="G13" s="15" t="n"/>
      <c r="H13" s="16">
        <f>IFERROR(F13*G13, 0)</f>
        <v/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/>
      <c r="Y13" s="15" t="n"/>
      <c r="Z13" s="16">
        <f>IFERROR(X13*Y13, 0)</f>
        <v/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/>
      <c r="BF13" s="15" t="n"/>
      <c r="BG13" s="16">
        <f>IFERROR(BE13*BF13, 0)</f>
        <v/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77">
        <f>IFERROR(AVERAGE(G13,J13,M13,P13,S13,V13,Y13,AB13,AE13,AH13,AK13,AN13,AQ13,AT13,AW13,AZ13,BC13,BF13,BI13,BL13,BO13,BR13,BU13,BX13,CA13,CD13,CG13,CJ13,CM13,CP13,CS13), 0)</f>
        <v/>
      </c>
      <c r="CW13" s="16">
        <f>CV13*CU13</f>
        <v/>
      </c>
    </row>
    <row r="14" ht="15" customHeight="1">
      <c r="A14" s="21" t="inlineStr">
        <is>
          <t>Arreglo licuadora</t>
        </is>
      </c>
      <c r="B14" s="21" t="inlineStr">
        <is>
          <t>Und</t>
        </is>
      </c>
      <c r="C14" s="21" t="n"/>
      <c r="D14" s="21" t="n"/>
      <c r="E14" s="78">
        <f>IFERROR(+C14*D14,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77">
        <f>IFERROR(AVERAGE(G14,J14,M14,P14,S14,V14,Y14,AB14,AE14,AH14,AK14,AN14,AQ14,AT14,AW14,AZ14,BC14,BF14,BI14,BL14,BO14,BR14,BU14,BX14,CA14,CD14,CG14,CJ14,CM14,CP14,CS14), 0)</f>
        <v/>
      </c>
      <c r="CW14" s="16">
        <f>CV14*CU14</f>
        <v/>
      </c>
    </row>
    <row r="15" ht="15" customHeight="1">
      <c r="A15" s="21" t="inlineStr">
        <is>
          <t>Quincena enrique suarez</t>
        </is>
      </c>
      <c r="B15" s="21" t="inlineStr">
        <is>
          <t>Und</t>
        </is>
      </c>
      <c r="C15" s="21" t="n"/>
      <c r="D15" s="21" t="n"/>
      <c r="E15" s="78">
        <f>IFERROR(+C15*D15,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/>
      <c r="Y15" s="15" t="n"/>
      <c r="Z15" s="16">
        <f>IFERROR(X15*Y15, 0)</f>
        <v/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>
        <v>1</v>
      </c>
      <c r="BC15" s="15" t="n">
        <v>1000000</v>
      </c>
      <c r="BD15" s="16" t="n">
        <v>1000000</v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77">
        <f>IFERROR(AVERAGE(G15,J15,M15,P15,S15,V15,Y15,AB15,AE15,AH15,AK15,AN15,AQ15,AT15,AW15,AZ15,BC15,BF15,BI15,BL15,BO15,BR15,BU15,BX15,CA15,CD15,CG15,CJ15,CM15,CP15,CS15), 0)</f>
        <v/>
      </c>
      <c r="CW15" s="16">
        <f>CV15*CU15</f>
        <v/>
      </c>
    </row>
    <row r="16" ht="15" customHeight="1">
      <c r="A16" s="21" t="inlineStr">
        <is>
          <t>Pn sr</t>
        </is>
      </c>
      <c r="B16" s="21" t="inlineStr">
        <is>
          <t>Und</t>
        </is>
      </c>
      <c r="C16" s="21" t="n"/>
      <c r="D16" s="21" t="n"/>
      <c r="E16" s="78">
        <f>IFERROR(+C16*D16, 0)</f>
        <v/>
      </c>
      <c r="F16" s="14" t="n"/>
      <c r="G16" s="15" t="n"/>
      <c r="H16" s="16">
        <f>IFERROR(F16*G16, 0)</f>
        <v/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>
        <v>15</v>
      </c>
      <c r="V16" s="15" t="n">
        <v>12600</v>
      </c>
      <c r="W16" s="16" t="n">
        <v>189000</v>
      </c>
      <c r="X16" s="14" t="n"/>
      <c r="Y16" s="15" t="n"/>
      <c r="Z16" s="16">
        <f>IFERROR(X16*Y16, 0)</f>
        <v/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>
        <v>15</v>
      </c>
      <c r="AH16" s="15" t="n">
        <v>12600</v>
      </c>
      <c r="AI16" s="16" t="n">
        <v>189000</v>
      </c>
      <c r="AJ16" s="14" t="n"/>
      <c r="AK16" s="15" t="n"/>
      <c r="AL16" s="16">
        <f>IFERROR(AJ16*AK16, 0)</f>
        <v/>
      </c>
      <c r="AM16" s="14" t="n">
        <v>15</v>
      </c>
      <c r="AN16" s="15" t="n">
        <v>12900</v>
      </c>
      <c r="AO16" s="16" t="n">
        <v>193500</v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/>
      <c r="BF16" s="15" t="n"/>
      <c r="BG16" s="16">
        <f>IFERROR(BE16*BF16, 0)</f>
        <v/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/>
      <c r="BR16" s="15" t="n"/>
      <c r="BS16" s="16">
        <f>IFERROR(BQ16*BR16, 0)</f>
        <v/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77">
        <f>IFERROR(AVERAGE(G16,J16,M16,P16,S16,V16,Y16,AB16,AE16,AH16,AK16,AN16,AQ16,AT16,AW16,AZ16,BC16,BF16,BI16,BL16,BO16,BR16,BU16,BX16,CA16,CD16,CG16,CJ16,CM16,CP16,CS16), 0)</f>
        <v/>
      </c>
      <c r="CW16" s="16">
        <f>CV16*CU16</f>
        <v/>
      </c>
    </row>
    <row r="17" ht="15" customHeight="1">
      <c r="A17" s="79" t="inlineStr">
        <is>
          <t>Quincena periodo 1 al 16 Junio 2026</t>
        </is>
      </c>
      <c r="B17" s="21" t="inlineStr">
        <is>
          <t>Und</t>
        </is>
      </c>
      <c r="C17" s="21" t="n"/>
      <c r="D17" s="21" t="n"/>
      <c r="E17" s="78">
        <f>IFERROR(+C17*D17, 0)</f>
        <v/>
      </c>
      <c r="F17" s="14" t="n"/>
      <c r="G17" s="15" t="n"/>
      <c r="H17" s="16">
        <f>IFERROR(F17*G17, 0)</f>
        <v/>
      </c>
      <c r="I17" s="14" t="n"/>
      <c r="J17" s="15" t="n"/>
      <c r="K17" s="16">
        <f>IFERROR(I17*J17, 0)</f>
        <v/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/>
      <c r="Y17" s="15" t="n"/>
      <c r="Z17" s="16">
        <f>IFERROR(X17*Y17, 0)</f>
        <v/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/>
      <c r="BF17" s="15" t="n"/>
      <c r="BG17" s="16">
        <f>IFERROR(BE17*BF17, 0)</f>
        <v/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/>
      <c r="BR17" s="15" t="n"/>
      <c r="BS17" s="16">
        <f>IFERROR(BQ17*BR17, 0)</f>
        <v/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77">
        <f>IFERROR(AVERAGE(G17,J17,M17,P17,S17,V17,Y17,AB17,AE17,AH17,AK17,AN17,AQ17,AT17,AW17,AZ17,BC17,BF17,BI17,BL17,BO17,BR17,BU17,BX17,CA17,CD17,CG17,CJ17,CM17,CP17,CS17), 0)</f>
        <v/>
      </c>
      <c r="CW17" s="16">
        <f>CV17*CU17</f>
        <v/>
      </c>
    </row>
    <row r="18" ht="15" customHeight="1">
      <c r="A18" s="21" t="inlineStr">
        <is>
          <t>Tranporte alameda diego molina</t>
        </is>
      </c>
      <c r="B18" s="21" t="inlineStr">
        <is>
          <t>Und</t>
        </is>
      </c>
      <c r="C18" s="21" t="n"/>
      <c r="D18" s="21" t="n"/>
      <c r="E18" s="78">
        <f>IFERROR(+C18*D18,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>
        <v>1</v>
      </c>
      <c r="AH18" s="15" t="n">
        <v>15000</v>
      </c>
      <c r="AI18" s="16" t="n">
        <v>15000</v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>
        <v>1</v>
      </c>
      <c r="AZ18" s="15" t="n">
        <v>10000</v>
      </c>
      <c r="BA18" s="16" t="n">
        <v>10000</v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77">
        <f>IFERROR(AVERAGE(G18,J18,M18,P18,S18,V18,Y18,AB18,AE18,AH18,AK18,AN18,AQ18,AT18,AW18,AZ18,BC18,BF18,BI18,BL18,BO18,BR18,BU18,BX18,CA18,CD18,CG18,CJ18,CM18,CP18,CS18), 0)</f>
        <v/>
      </c>
      <c r="CW18" s="16">
        <f>CV18*CU18</f>
        <v/>
      </c>
    </row>
    <row r="19" ht="15" customHeight="1">
      <c r="A19" s="21" t="inlineStr">
        <is>
          <t>Tablero</t>
        </is>
      </c>
      <c r="B19" s="21" t="inlineStr">
        <is>
          <t>Und</t>
        </is>
      </c>
      <c r="C19" s="21" t="n"/>
      <c r="D19" s="21" t="n"/>
      <c r="E19" s="78">
        <f>IFERROR(+C19*D19,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/>
      <c r="BX19" s="15" t="n"/>
      <c r="BY19" s="16">
        <f>IFERROR(BW19*BX19, 0)</f>
        <v/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77">
        <f>IFERROR(AVERAGE(G19,J19,M19,P19,S19,V19,Y19,AB19,AE19,AH19,AK19,AN19,AQ19,AT19,AW19,AZ19,BC19,BF19,BI19,BL19,BO19,BR19,BU19,BX19,CA19,CD19,CG19,CJ19,CM19,CP19,CS19), 0)</f>
        <v/>
      </c>
      <c r="CW19" s="16">
        <f>CV19*CU19</f>
        <v/>
      </c>
    </row>
    <row r="20" ht="15" customHeight="1">
      <c r="A20" s="79" t="inlineStr">
        <is>
          <t>Pago Plan Tigo</t>
        </is>
      </c>
      <c r="B20" s="37" t="inlineStr">
        <is>
          <t>Servicio</t>
        </is>
      </c>
      <c r="C20" s="80" t="n"/>
      <c r="D20" s="80" t="n"/>
      <c r="E20" s="78">
        <f>IFERROR(+C20*D20, 0)</f>
        <v/>
      </c>
      <c r="F20" s="80" t="n"/>
      <c r="G20" s="80" t="n"/>
      <c r="H20" s="16">
        <f>IFERROR(F20*G20, 0)</f>
        <v/>
      </c>
      <c r="I20" s="80" t="n"/>
      <c r="J20" s="80" t="n"/>
      <c r="K20" s="16">
        <f>IFERROR(I20*J20, 0)</f>
        <v/>
      </c>
      <c r="L20" s="80" t="n"/>
      <c r="M20" s="80" t="n"/>
      <c r="N20" s="16">
        <f>IFERROR(L20*M20, 0)</f>
        <v/>
      </c>
      <c r="O20" s="80" t="n"/>
      <c r="P20" s="80" t="n"/>
      <c r="Q20" s="16">
        <f>IFERROR(O20*P20, 0)</f>
        <v/>
      </c>
      <c r="R20" s="80" t="n"/>
      <c r="S20" s="80" t="n"/>
      <c r="T20" s="16">
        <f>IFERROR(R20*S20, 0)</f>
        <v/>
      </c>
      <c r="U20" s="80" t="n"/>
      <c r="V20" s="80" t="n"/>
      <c r="W20" s="16">
        <f>IFERROR(U20*V20, 0)</f>
        <v/>
      </c>
      <c r="X20" s="80" t="n"/>
      <c r="Y20" s="80" t="n"/>
      <c r="Z20" s="16">
        <f>IFERROR(X20*Y20, 0)</f>
        <v/>
      </c>
      <c r="AA20" s="80" t="n"/>
      <c r="AB20" s="80" t="n"/>
      <c r="AC20" s="16">
        <f>IFERROR(AA20*AB20, 0)</f>
        <v/>
      </c>
      <c r="AD20" s="80" t="n"/>
      <c r="AE20" s="80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>
        <v>1</v>
      </c>
      <c r="AT20" s="15" t="n">
        <v>69900</v>
      </c>
      <c r="AU20" s="16" t="n">
        <v>69900</v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/>
      <c r="BF20" s="15" t="n"/>
      <c r="BG20" s="16">
        <f>IFERROR(BE20*BF20, 0)</f>
        <v/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/>
      <c r="BR20" s="15" t="n"/>
      <c r="BS20" s="16">
        <f>IFERROR(BQ20*BR20, 0)</f>
        <v/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77">
        <f>IFERROR(AVERAGE(G20,J20,M20,P20,S20,V20,Y20,AB20,AE20,AH20,AK20,AN20,AQ20,AT20,AW20,AZ20,BC20,BF20,BI20,BL20,BO20,BR20,BU20,BX20,CA20,CD20,CG20,CJ20,CM20,CP20,CS20), 0)</f>
        <v/>
      </c>
      <c r="CW20" s="16">
        <f>CV20*CU20</f>
        <v/>
      </c>
    </row>
    <row r="21" ht="15.75" customFormat="1" customHeight="1" s="39">
      <c r="A21" s="21" t="inlineStr">
        <is>
          <t>Acopi</t>
        </is>
      </c>
      <c r="B21" s="21" t="inlineStr">
        <is>
          <t>Und</t>
        </is>
      </c>
      <c r="C21" s="21" t="n"/>
      <c r="D21" s="21" t="n"/>
      <c r="E21" s="78">
        <f>IFERROR(C21*D21, 0)</f>
        <v/>
      </c>
      <c r="F21" s="14" t="n">
        <v>2</v>
      </c>
      <c r="G21" s="15" t="n">
        <v>30000</v>
      </c>
      <c r="H21" s="16" t="n">
        <v>60000</v>
      </c>
      <c r="I21" s="14" t="n">
        <v>1</v>
      </c>
      <c r="J21" s="15" t="n">
        <v>30000</v>
      </c>
      <c r="K21" s="16" t="n">
        <v>30000</v>
      </c>
      <c r="L21" s="14" t="n">
        <v>1</v>
      </c>
      <c r="M21" s="15" t="n">
        <v>30000</v>
      </c>
      <c r="N21" s="16" t="n">
        <v>30000</v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/>
      <c r="Y21" s="15" t="n"/>
      <c r="Z21" s="16">
        <f>IFERROR(X21*Y21, 0)</f>
        <v/>
      </c>
      <c r="AA21" s="14" t="n">
        <v>1</v>
      </c>
      <c r="AB21" s="15" t="n">
        <v>30000</v>
      </c>
      <c r="AC21" s="16" t="n">
        <v>30000</v>
      </c>
      <c r="AD21" s="14" t="n"/>
      <c r="AE21" s="15" t="n"/>
      <c r="AF21" s="16">
        <f>IFERROR(AD21*AE21, 0)</f>
        <v/>
      </c>
      <c r="AG21" s="14" t="n">
        <v>1</v>
      </c>
      <c r="AH21" s="15" t="n">
        <v>30000</v>
      </c>
      <c r="AI21" s="16" t="n">
        <v>30000</v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>
        <v>1</v>
      </c>
      <c r="AT21" s="15" t="n">
        <v>30000</v>
      </c>
      <c r="AU21" s="16" t="n">
        <v>30000</v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>
        <v>1</v>
      </c>
      <c r="BL21" s="15" t="n">
        <v>30000</v>
      </c>
      <c r="BM21" s="16" t="n">
        <v>30000</v>
      </c>
      <c r="BN21" s="14" t="n"/>
      <c r="BO21" s="15" t="n"/>
      <c r="BP21" s="16">
        <f>IFERROR(BN21*BO21, 0)</f>
        <v/>
      </c>
      <c r="BQ21" s="14" t="n">
        <v>1</v>
      </c>
      <c r="BR21" s="15" t="n">
        <v>30000</v>
      </c>
      <c r="BS21" s="16" t="n">
        <v>30000</v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77">
        <f>IFERROR(AVERAGE(G21,J21,M21,P21,S21,V21,Y21,AB21,AE21,AH21,AK21,AN21,AQ21,AT21,AW21,AZ21,BC21,BF21,BI21,BL21,BO21,BR21,BU21,BX21,CA21,CD21,CG21,CJ21,CM21,CP21,CS21), 0)</f>
        <v/>
      </c>
      <c r="CW21" s="16">
        <f>CV21*CU21</f>
        <v/>
      </c>
    </row>
    <row r="22" ht="15" customHeight="1">
      <c r="A22" s="80" t="inlineStr">
        <is>
          <t>Arreglo Tubos</t>
        </is>
      </c>
      <c r="B22" s="37" t="inlineStr">
        <is>
          <t>Servicio</t>
        </is>
      </c>
      <c r="C22" s="80" t="n"/>
      <c r="D22" s="80" t="n"/>
      <c r="E22" s="78">
        <f>IFERROR(+C22*D22, 0)</f>
        <v/>
      </c>
      <c r="F22" s="14" t="n"/>
      <c r="G22" s="15" t="n"/>
      <c r="H22" s="16">
        <f>IFERROR(F22*G22, 0)</f>
        <v/>
      </c>
      <c r="I22" s="14" t="n"/>
      <c r="J22" s="15" t="n"/>
      <c r="K22" s="16">
        <f>IFERROR(I22*J22, 0)</f>
        <v/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/>
      <c r="Y22" s="15" t="n"/>
      <c r="Z22" s="16">
        <f>IFERROR(X22*Y22, 0)</f>
        <v/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80" t="n"/>
      <c r="AH22" s="80" t="n"/>
      <c r="AI22" s="80" t="n"/>
      <c r="AJ22" s="80" t="n"/>
      <c r="AK22" s="80" t="n"/>
      <c r="AL22" s="80" t="n"/>
      <c r="AM22" s="80" t="n"/>
      <c r="AN22" s="80" t="n"/>
      <c r="AO22" s="80" t="n"/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 t="n"/>
      <c r="AY22" s="80" t="n"/>
      <c r="AZ22" s="80" t="n"/>
      <c r="BA22" s="80" t="n"/>
      <c r="BB22" s="14" t="n"/>
      <c r="BC22" s="15" t="n"/>
      <c r="BD22" s="16">
        <f>IFERROR(BB22*BC22, 0)</f>
        <v/>
      </c>
      <c r="BE22" s="14" t="n"/>
      <c r="BF22" s="15" t="n"/>
      <c r="BG22" s="16">
        <f>IFERROR(BE22*BF22, 0)</f>
        <v/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80" t="n"/>
      <c r="BR22" s="80" t="n"/>
      <c r="BS22" s="80" t="n"/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77">
        <f>IFERROR(AVERAGE(G22,J22,M22,P22,S22,V22,Y22,AB22,AE22,AH22,AK22,AN22,AQ22,AT22,AW22,AZ22,BC22,BF22,BI22,BL22,BO22,BR22,BU22,BX22,CA22,CD22,CG22,CJ22,CM22,CP22,CS22), 0)</f>
        <v/>
      </c>
      <c r="CW22" s="16">
        <f>CV22*CU22</f>
        <v/>
      </c>
    </row>
    <row r="23" ht="15" customHeight="1">
      <c r="A23" s="80" t="inlineStr">
        <is>
          <t>Arreglo Tubos x Materiales</t>
        </is>
      </c>
      <c r="B23" s="37" t="inlineStr">
        <is>
          <t>Servicio</t>
        </is>
      </c>
      <c r="C23" s="80" t="n"/>
      <c r="D23" s="80" t="n"/>
      <c r="E23" s="78">
        <f>IFERROR(+C23*D23, 0)</f>
        <v/>
      </c>
      <c r="F23" s="14" t="n"/>
      <c r="G23" s="15" t="n"/>
      <c r="H23" s="16">
        <f>IFERROR(F23*G23, 0)</f>
        <v/>
      </c>
      <c r="I23" s="14" t="n">
        <v>1</v>
      </c>
      <c r="J23" s="15" t="n">
        <v>15000</v>
      </c>
      <c r="K23" s="16" t="n">
        <v>15000</v>
      </c>
      <c r="L23" s="14" t="n"/>
      <c r="M23" s="15" t="n"/>
      <c r="N23" s="16">
        <f>IFERROR(L23*M23, 0)</f>
        <v/>
      </c>
      <c r="O23" s="14" t="n">
        <v>4</v>
      </c>
      <c r="P23" s="15" t="n">
        <v>2500</v>
      </c>
      <c r="Q23" s="16" t="n">
        <v>15000</v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80" t="n"/>
      <c r="AH23" s="80" t="n"/>
      <c r="AI23" s="80" t="n"/>
      <c r="AJ23" s="80" t="n"/>
      <c r="AK23" s="80" t="n"/>
      <c r="AL23" s="80" t="n"/>
      <c r="AM23" s="80" t="n"/>
      <c r="AN23" s="80" t="n"/>
      <c r="AO23" s="80">
        <f>AN23*AM23</f>
        <v/>
      </c>
      <c r="AP23" s="14" t="n"/>
      <c r="AQ23" s="15" t="n"/>
      <c r="AR23" s="16">
        <f>IFERROR(AP23*AQ23, 0)</f>
        <v/>
      </c>
      <c r="AS23" s="14" t="n">
        <v>11</v>
      </c>
      <c r="AT23" s="15" t="n">
        <v>18200</v>
      </c>
      <c r="AU23" s="16" t="n">
        <v>153200</v>
      </c>
      <c r="AV23" s="14" t="n"/>
      <c r="AW23" s="15" t="n"/>
      <c r="AX23" s="16" t="n"/>
      <c r="AY23" s="80" t="n"/>
      <c r="AZ23" s="80" t="n"/>
      <c r="BA23" s="80" t="n"/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80" t="n"/>
      <c r="BR23" s="80" t="n"/>
      <c r="BS23" s="80">
        <f>BR23*BQ23</f>
        <v/>
      </c>
      <c r="BT23" s="80" t="n"/>
      <c r="BU23" s="80" t="n"/>
      <c r="BV23" s="80" t="n"/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77">
        <f>IFERROR(AVERAGE(G23,J23,M23,P23,S23,V23,Y23,AB23,AE23,AH23,AK23,AN23,AQ23,AT23,AW23,AZ23,BC23,BF23,BI23,BL23,BO23,BR23,BU23,BX23,CA23,CD23,CG23,CJ23,CM23,CP23,CS23), 0)</f>
        <v/>
      </c>
      <c r="CW23" s="16">
        <f>CV23*CU23</f>
        <v/>
      </c>
    </row>
    <row r="24" ht="15" customHeight="1">
      <c r="A24" s="80" t="inlineStr">
        <is>
          <t>Aromatizador y Jabón Líquido</t>
        </is>
      </c>
      <c r="B24" s="37" t="inlineStr">
        <is>
          <t>Servicio</t>
        </is>
      </c>
      <c r="C24" s="80" t="n"/>
      <c r="D24" s="80" t="n"/>
      <c r="E24" s="78">
        <f>IFERROR(+C24*D24,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80" t="n"/>
      <c r="AH24" s="80" t="n"/>
      <c r="AI24" s="80" t="n"/>
      <c r="AJ24" s="80" t="n"/>
      <c r="AK24" s="80" t="n"/>
      <c r="AL24" s="80" t="n"/>
      <c r="AM24" s="80" t="n"/>
      <c r="AN24" s="80" t="n"/>
      <c r="AO24" s="80" t="n"/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 t="n"/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80" t="n"/>
      <c r="BR24" s="80" t="n"/>
      <c r="BS24" s="80" t="n"/>
      <c r="BT24" s="80" t="n"/>
      <c r="BU24" s="80" t="n"/>
      <c r="BV24" s="80" t="n"/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77">
        <f>IFERROR(AVERAGE(G24,J24,M24,P24,S24,V24,Y24,AB24,AE24,AH24,AK24,AN24,AQ24,AT24,AW24,AZ24,BC24,BF24,BI24,BL24,BO24,BR24,BU24,BX24,CA24,CD24,CG24,CJ24,CM24,CP24,CS24), 0)</f>
        <v/>
      </c>
      <c r="CW24" s="16">
        <f>CV24*CU24</f>
        <v/>
      </c>
    </row>
    <row r="25" ht="15" customHeight="1">
      <c r="A25" s="80" t="inlineStr">
        <is>
          <t>Cesar Inmunocal</t>
        </is>
      </c>
      <c r="B25" s="37" t="inlineStr">
        <is>
          <t>Servicio</t>
        </is>
      </c>
      <c r="C25" s="80" t="n"/>
      <c r="D25" s="80" t="n"/>
      <c r="E25" s="78">
        <f>IFERROR(+C25*D25,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80" t="n"/>
      <c r="AH25" s="80" t="n"/>
      <c r="AI25" s="80" t="n"/>
      <c r="AJ25" s="80" t="n"/>
      <c r="AK25" s="80" t="n"/>
      <c r="AL25" s="80" t="n"/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 t="n"/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80" t="n"/>
      <c r="BR25" s="80" t="n"/>
      <c r="BS25" s="80" t="n"/>
      <c r="BT25" s="80" t="n"/>
      <c r="BU25" s="80" t="n"/>
      <c r="BV25" s="80" t="n"/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77">
        <f>IFERROR(AVERAGE(G25,J25,M25,P25,S25,V25,Y25,AB25,AE25,AH25,AK25,AN25,AQ25,AT25,AW25,AZ25,BC25,BF25,BI25,BL25,BO25,BR25,BU25,BX25,CA25,CD25,CG25,CJ25,CM25,CP25,CS25), 0)</f>
        <v/>
      </c>
      <c r="CW25" s="16">
        <f>CV25*CU25</f>
        <v/>
      </c>
    </row>
    <row r="26" ht="15" customHeight="1">
      <c r="A26" s="79" t="inlineStr">
        <is>
          <t>Quincena Antonio Diaz</t>
        </is>
      </c>
      <c r="B26" s="37" t="inlineStr">
        <is>
          <t>Servicio</t>
        </is>
      </c>
      <c r="C26" s="80" t="n"/>
      <c r="D26" s="80" t="n"/>
      <c r="E26" s="78">
        <f>IFERROR(+C26*D26,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/>
      <c r="Y26" s="15" t="n"/>
      <c r="Z26" s="16">
        <f>IFERROR(X26*Y26, 0)</f>
        <v/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80" t="n"/>
      <c r="AH26" s="80" t="n"/>
      <c r="AI26" s="80" t="n"/>
      <c r="AJ26" s="80" t="n"/>
      <c r="AK26" s="80" t="n"/>
      <c r="AL26" s="80" t="n"/>
      <c r="AM26" s="80" t="n"/>
      <c r="AN26" s="80" t="n"/>
      <c r="AO26" s="80" t="n"/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 t="n">
        <v>1250000</v>
      </c>
      <c r="AY26" s="14" t="n">
        <v>1</v>
      </c>
      <c r="AZ26" s="15" t="n">
        <v>1250000</v>
      </c>
      <c r="BA26" s="16" t="n">
        <v>1250000</v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80" t="n"/>
      <c r="BR26" s="80" t="n"/>
      <c r="BS26" s="80" t="n"/>
      <c r="BT26" s="80" t="n"/>
      <c r="BU26" s="80" t="n"/>
      <c r="BV26" s="80" t="n"/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77">
        <f>IFERROR(AVERAGE(G26,J26,M26,P26,S26,V26,Y26,AB26,AE26,AH26,AK26,AN26,AQ26,AT26,AW26,AZ26,BC26,BF26,BI26,BL26,BO26,BR26,BU26,BX26,CA26,CD26,CG26,CJ26,CM26,CP26,CS26), 0)</f>
        <v/>
      </c>
      <c r="CW26" s="16">
        <f>CV26*CU26</f>
        <v/>
      </c>
    </row>
    <row r="27" ht="15" customHeight="1">
      <c r="A27" s="80" t="inlineStr">
        <is>
          <t>Papel Aluminio x Rollos</t>
        </is>
      </c>
      <c r="B27" s="37" t="inlineStr">
        <is>
          <t>Servicio</t>
        </is>
      </c>
      <c r="C27" s="80" t="n"/>
      <c r="D27" s="80" t="n"/>
      <c r="E27" s="78">
        <f>IFERROR(+C27*D27,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80" t="n"/>
      <c r="AH27" s="80" t="n"/>
      <c r="AI27" s="80" t="n"/>
      <c r="AJ27" s="80" t="n"/>
      <c r="AK27" s="80" t="n"/>
      <c r="AL27" s="80" t="n"/>
      <c r="AM27" s="80" t="n"/>
      <c r="AN27" s="80" t="n"/>
      <c r="AO27" s="80" t="n"/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>
        <f>AX27/AV27</f>
        <v/>
      </c>
      <c r="AX27" s="16" t="n">
        <v>9950</v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80" t="n"/>
      <c r="BR27" s="80" t="n"/>
      <c r="BS27" s="80" t="n"/>
      <c r="BT27" s="80" t="n"/>
      <c r="BU27" s="80" t="n"/>
      <c r="BV27" s="80" t="n"/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77">
        <f>IFERROR(AVERAGE(G27,J27,M27,P27,S27,V27,Y27,AB27,AE27,AH27,AK27,AN27,AQ27,AT27,AW27,AZ27,BC27,BF27,BI27,BL27,BO27,BR27,BU27,BX27,CA27,CD27,CG27,CJ27,CM27,CP27,CS27), 0)</f>
        <v/>
      </c>
      <c r="CW27" s="16">
        <f>CV27*CU27</f>
        <v/>
      </c>
    </row>
    <row r="28" ht="15" customHeight="1">
      <c r="A28" s="80" t="inlineStr">
        <is>
          <t>Aspa Ventilador</t>
        </is>
      </c>
      <c r="B28" s="37" t="inlineStr">
        <is>
          <t>Servicio</t>
        </is>
      </c>
      <c r="C28" s="80" t="n"/>
      <c r="D28" s="80" t="n"/>
      <c r="E28" s="78">
        <f>IFERROR(+C28*D28, 0)</f>
        <v/>
      </c>
      <c r="F28" s="14" t="n"/>
      <c r="G28" s="15" t="n"/>
      <c r="H28" s="16">
        <f>IFERROR(F28*G28, 0)</f>
        <v/>
      </c>
      <c r="I28" s="14" t="n"/>
      <c r="J28" s="15" t="n"/>
      <c r="K28" s="16">
        <f>IFERROR(I28*J28, 0)</f>
        <v/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/>
      <c r="Y28" s="15" t="n"/>
      <c r="Z28" s="16">
        <f>IFERROR(X28*Y28, 0)</f>
        <v/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80" t="n"/>
      <c r="AH28" s="80" t="n"/>
      <c r="AI28" s="80" t="n"/>
      <c r="AJ28" s="80" t="n"/>
      <c r="AK28" s="80" t="n"/>
      <c r="AL28" s="80" t="n"/>
      <c r="AM28" s="80" t="n"/>
      <c r="AN28" s="80" t="n"/>
      <c r="AO28" s="80" t="n"/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AW28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/>
      <c r="BF28" s="15" t="n"/>
      <c r="BG28" s="16">
        <f>IFERROR(BE28*BF28, 0)</f>
        <v/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80" t="n"/>
      <c r="BR28" s="80" t="n"/>
      <c r="BS28" s="80" t="n"/>
      <c r="BT28" s="80" t="n"/>
      <c r="BU28" s="80" t="n"/>
      <c r="BV28" s="80" t="n"/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77">
        <f>IFERROR(AVERAGE(G28,J28,M28,P28,S28,V28,Y28,AB28,AE28,AH28,AK28,AN28,AQ28,AT28,AW28,AZ28,BC28,BF28,BI28,BL28,BO28,BR28,BU28,BX28,CA28,CD28,CG28,CJ28,CM28,CP28,CS28), 0)</f>
        <v/>
      </c>
      <c r="CW28" s="16">
        <f>CV28*CU28</f>
        <v/>
      </c>
    </row>
    <row r="29" ht="15" customHeight="1">
      <c r="A29" s="80" t="inlineStr">
        <is>
          <t>Prestamo Angie Caicedo</t>
        </is>
      </c>
      <c r="B29" s="37" t="inlineStr">
        <is>
          <t>Servicio</t>
        </is>
      </c>
      <c r="C29" s="80" t="n"/>
      <c r="D29" s="80" t="n"/>
      <c r="E29" s="78">
        <f>IFERROR(+C29*D29,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/>
      <c r="Y29" s="15" t="n"/>
      <c r="Z29" s="16">
        <f>IFERROR(X29*Y29, 0)</f>
        <v/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80" t="n"/>
      <c r="AH29" s="80" t="n"/>
      <c r="AI29" s="80" t="n"/>
      <c r="AJ29" s="80" t="n"/>
      <c r="AK29" s="80" t="n"/>
      <c r="AL29" s="80" t="n"/>
      <c r="AM29" s="80" t="n"/>
      <c r="AN29" s="80" t="n"/>
      <c r="AO29" s="80" t="n"/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80" t="n"/>
      <c r="BR29" s="80" t="n"/>
      <c r="BS29" s="80" t="n"/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77">
        <f>IFERROR(AVERAGE(G29,J29,M29,P29,S29,V29,Y29,AB29,AE29,AH29,AK29,AN29,AQ29,AT29,AW29,AZ29,BC29,BF29,BI29,BL29,BO29,BR29,BU29,BX29,CA29,CD29,CG29,CJ29,CM29,CP29,CS29), 0)</f>
        <v/>
      </c>
      <c r="CW29" s="16">
        <f>CV29*CU29</f>
        <v/>
      </c>
    </row>
    <row r="30" ht="15.75" customHeight="1">
      <c r="A30" s="80" t="inlineStr">
        <is>
          <t>Recibo de Caja</t>
        </is>
      </c>
      <c r="B30" s="37" t="inlineStr">
        <is>
          <t>Servicio</t>
        </is>
      </c>
      <c r="C30" s="80" t="n"/>
      <c r="D30" s="80" t="n"/>
      <c r="E30" s="78">
        <f>IFERROR(+C30*D30,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/>
      <c r="Y30" s="15" t="n"/>
      <c r="Z30" s="16">
        <f>IFERROR(X30*Y30, 0)</f>
        <v/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80" t="n"/>
      <c r="AH30" s="80" t="n"/>
      <c r="AI30" s="80" t="n"/>
      <c r="AJ30" s="80" t="n"/>
      <c r="AK30" s="80">
        <f>AL30/AJ30</f>
        <v/>
      </c>
      <c r="AL30" s="80" t="n">
        <v>5000</v>
      </c>
      <c r="AM30" s="80" t="n"/>
      <c r="AN30" s="80" t="n"/>
      <c r="AO30" s="80" t="n"/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80" t="n"/>
      <c r="BR30" s="80" t="n"/>
      <c r="BS30" s="80" t="n"/>
      <c r="BT30" s="80" t="n"/>
      <c r="BU30" s="80" t="n"/>
      <c r="BV30" s="80" t="n"/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77">
        <f>IFERROR(AVERAGE(G30,J30,M30,P30,S30,V30,Y30,AB30,AE30,AH30,AK30,AN30,AQ30,AT30,AW30,AZ30,BC30,BF30,BI30,BL30,BO30,BR30,BU30,BX30,CA30,CD30,CG30,CJ30,CM30,CP30,CS30), 0)</f>
        <v/>
      </c>
      <c r="CW30" s="16">
        <f>CV30*CU30</f>
        <v/>
      </c>
    </row>
    <row r="31" ht="15.75" customHeight="1">
      <c r="A31" s="80" t="inlineStr">
        <is>
          <t>Semana Wilson</t>
        </is>
      </c>
      <c r="B31" s="37" t="inlineStr">
        <is>
          <t>Servicio</t>
        </is>
      </c>
      <c r="C31" s="80" t="n"/>
      <c r="D31" s="80" t="n"/>
      <c r="E31" s="78">
        <f>IFERROR(+C31*D31, 0)</f>
        <v/>
      </c>
      <c r="F31" s="14" t="n"/>
      <c r="G31" s="15" t="n"/>
      <c r="H31" s="16">
        <f>IFERROR(F31*G31, 0)</f>
        <v/>
      </c>
      <c r="I31" s="14" t="n"/>
      <c r="J31" s="15" t="n"/>
      <c r="K31" s="16">
        <f>IFERROR(I31*J31, 0)</f>
        <v/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/>
      <c r="Y31" s="15" t="n"/>
      <c r="Z31" s="16">
        <f>IFERROR(X31*Y31, 0)</f>
        <v/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80" t="n"/>
      <c r="AH31" s="80" t="n"/>
      <c r="AI31" s="80" t="n"/>
      <c r="AJ31" s="80" t="n"/>
      <c r="AK31" s="80" t="n"/>
      <c r="AL31" s="80" t="n"/>
      <c r="AM31" s="80" t="n"/>
      <c r="AN31" s="80" t="n"/>
      <c r="AO31" s="80">
        <f>AN31*AM31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80" t="n"/>
      <c r="BR31" s="80" t="n"/>
      <c r="BS31" s="80" t="n"/>
      <c r="BT31" s="80" t="n"/>
      <c r="BU31" s="80" t="n"/>
      <c r="BV31" s="80" t="n"/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77">
        <f>IFERROR(AVERAGE(G31,J31,M31,P31,S31,V31,Y31,AB31,AE31,AH31,AK31,AN31,AQ31,AT31,AW31,AZ31,BC31,BF31,BI31,BL31,BO31,BR31,BU31,BX31,CA31,CD31,CG31,CJ31,CM31,CP31,CS31), 0)</f>
        <v/>
      </c>
      <c r="CW31" s="16">
        <f>CV31*CU31</f>
        <v/>
      </c>
    </row>
    <row r="32" ht="15.75" customHeight="1">
      <c r="A32" s="80" t="inlineStr">
        <is>
          <t>Turno Alejandro</t>
        </is>
      </c>
      <c r="B32" s="37" t="inlineStr">
        <is>
          <t>Servicio</t>
        </is>
      </c>
      <c r="C32" s="80" t="n"/>
      <c r="D32" s="80" t="n"/>
      <c r="E32" s="78">
        <f>IFERROR(+C32*D32,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80" t="n"/>
      <c r="AH32" s="80" t="n"/>
      <c r="AI32" s="80" t="n"/>
      <c r="AJ32" s="80" t="n"/>
      <c r="AK32" s="80" t="n"/>
      <c r="AL32" s="80" t="n"/>
      <c r="AM32" s="80" t="n"/>
      <c r="AN32" s="80" t="n"/>
      <c r="AO32" s="80">
        <f>AN32*AM32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80" t="n"/>
      <c r="BR32" s="80" t="n"/>
      <c r="BS32" s="80" t="n"/>
      <c r="BT32" s="80" t="n"/>
      <c r="BU32" s="80" t="n"/>
      <c r="BV32" s="80" t="n"/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77">
        <f>IFERROR(AVERAGE(G32,J32,M32,P32,S32,V32,Y32,AB32,AE32,AH32,AK32,AN32,AQ32,AT32,AW32,AZ32,BC32,BF32,BI32,BL32,BO32,BR32,BU32,BX32,CA32,CD32,CG32,CJ32,CM32,CP32,CS32), 0)</f>
        <v/>
      </c>
      <c r="CW32" s="16">
        <f>CV32*CU32</f>
        <v/>
      </c>
    </row>
    <row r="33" ht="15.75" customHeight="1">
      <c r="A33" s="80" t="inlineStr">
        <is>
          <t>Transporte Evento Enitl Mosquera</t>
        </is>
      </c>
      <c r="B33" s="37" t="inlineStr">
        <is>
          <t>Servicio</t>
        </is>
      </c>
      <c r="C33" s="80" t="n"/>
      <c r="D33" s="80" t="n"/>
      <c r="E33" s="78">
        <f>IFERROR(+C33*D33, 0)</f>
        <v/>
      </c>
      <c r="F33" s="14" t="n"/>
      <c r="G33" s="15" t="n"/>
      <c r="H33" s="16">
        <f>IFERROR(F33*G33, 0)</f>
        <v/>
      </c>
      <c r="I33" s="14" t="n"/>
      <c r="J33" s="15" t="n"/>
      <c r="K33" s="16">
        <f>IFERROR(I33*J33, 0)</f>
        <v/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/>
      <c r="Y33" s="15" t="n"/>
      <c r="Z33" s="16">
        <f>IFERROR(X33*Y33, 0)</f>
        <v/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80" t="n"/>
      <c r="AH33" s="80" t="n"/>
      <c r="AI33" s="80" t="n"/>
      <c r="AJ33" s="80" t="n"/>
      <c r="AK33" s="80" t="n"/>
      <c r="AL33" s="80" t="n"/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80" t="n"/>
      <c r="BR33" s="80" t="n"/>
      <c r="BS33" s="80" t="n"/>
      <c r="BT33" s="80" t="n"/>
      <c r="BU33" s="80" t="n"/>
      <c r="BV33" s="80" t="n"/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77">
        <f>IFERROR(AVERAGE(G33,J33,M33,P33,S33,V33,Y33,AB33,AE33,AH33,AK33,AN33,AQ33,AT33,AW33,AZ33,BC33,BF33,BI33,BL33,BO33,BR33,BU33,BX33,CA33,CD33,CG33,CJ33,CM33,CP33,CS33), 0)</f>
        <v/>
      </c>
      <c r="CW33" s="16">
        <f>CV33*CU33</f>
        <v/>
      </c>
    </row>
    <row r="34" ht="15.75" customHeight="1">
      <c r="A34" s="80" t="inlineStr">
        <is>
          <t>Transporte Evento Deisy</t>
        </is>
      </c>
      <c r="B34" s="37" t="inlineStr">
        <is>
          <t>Servicio</t>
        </is>
      </c>
      <c r="C34" s="80" t="n"/>
      <c r="D34" s="80" t="n"/>
      <c r="E34" s="78">
        <f>IFERROR(+C34*D34, 0)</f>
        <v/>
      </c>
      <c r="F34" s="14" t="n"/>
      <c r="G34" s="15" t="n"/>
      <c r="H34" s="16">
        <f>IFERROR(F34*G34, 0)</f>
        <v/>
      </c>
      <c r="I34" s="14" t="n"/>
      <c r="J34" s="15" t="n"/>
      <c r="K34" s="16">
        <f>IFERROR(I34*J34, 0)</f>
        <v/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/>
      <c r="Y34" s="15" t="n"/>
      <c r="Z34" s="16">
        <f>IFERROR(X34*Y34, 0)</f>
        <v/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80" t="n"/>
      <c r="AH34" s="80" t="n"/>
      <c r="AI34" s="80" t="n"/>
      <c r="AJ34" s="80" t="n"/>
      <c r="AK34" s="80" t="n"/>
      <c r="AL34" s="80" t="n"/>
      <c r="AM34" s="14" t="n"/>
      <c r="AN34" s="80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/>
      <c r="BF34" s="15" t="n"/>
      <c r="BG34" s="16">
        <f>IFERROR(BE34*BF34, 0)</f>
        <v/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80" t="n"/>
      <c r="BR34" s="80" t="n"/>
      <c r="BS34" s="80" t="n"/>
      <c r="BT34" s="80" t="n"/>
      <c r="BU34" s="80" t="n"/>
      <c r="BV34" s="80" t="n"/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77">
        <f>IFERROR(AVERAGE(G34,J34,M34,P34,S34,V34,Y34,AB34,AE34,AH34,AK34,AN34,AQ34,AT34,AW34,AZ34,BC34,BF34,BI34,BL34,BO34,BR34,BU34,BX34,CA34,CD34,CG34,CJ34,CM34,CP34,CS34), 0)</f>
        <v/>
      </c>
      <c r="CW34" s="16">
        <f>CV34*CU34</f>
        <v/>
      </c>
    </row>
    <row r="35" ht="15.75" customHeight="1">
      <c r="A35" s="80" t="inlineStr">
        <is>
          <t>Transporte Evento Lina</t>
        </is>
      </c>
      <c r="B35" s="37" t="inlineStr">
        <is>
          <t>Servicio</t>
        </is>
      </c>
      <c r="C35" s="80" t="n"/>
      <c r="D35" s="80" t="n"/>
      <c r="E35" s="78">
        <f>IFERROR(+C35*D35, 0)</f>
        <v/>
      </c>
      <c r="F35" s="14" t="n"/>
      <c r="G35" s="15" t="n"/>
      <c r="H35" s="16">
        <f>IFERROR(F35*G35, 0)</f>
        <v/>
      </c>
      <c r="I35" s="14" t="n"/>
      <c r="J35" s="15" t="n"/>
      <c r="K35" s="16">
        <f>IFERROR(I35*J35, 0)</f>
        <v/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80" t="n"/>
      <c r="AH35" s="80" t="n"/>
      <c r="AI35" s="80" t="n"/>
      <c r="AJ35" s="80" t="n"/>
      <c r="AK35" s="80" t="n"/>
      <c r="AL35" s="80" t="n"/>
      <c r="AM35" s="14" t="n"/>
      <c r="AN35" s="80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80" t="n"/>
      <c r="BR35" s="80" t="n"/>
      <c r="BS35" s="80" t="n"/>
      <c r="BT35" s="80" t="n"/>
      <c r="BU35" s="80" t="n"/>
      <c r="BV35" s="80" t="n"/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77">
        <f>IFERROR(AVERAGE(G35,J35,M35,P35,S35,V35,Y35,AB35,AE35,AH35,AK35,AN35,AQ35,AT35,AW35,AZ35,BC35,BF35,BI35,BL35,BO35,BR35,BU35,BX35,CA35,CD35,CG35,CJ35,CM35,CP35,CS35), 0)</f>
        <v/>
      </c>
      <c r="CW35" s="16">
        <f>CV35*CU35</f>
        <v/>
      </c>
    </row>
    <row r="36" ht="15.75" customHeight="1">
      <c r="A36" s="80" t="inlineStr">
        <is>
          <t>Domicilio</t>
        </is>
      </c>
      <c r="B36" s="37" t="inlineStr">
        <is>
          <t>Servicio</t>
        </is>
      </c>
      <c r="C36" s="80" t="n"/>
      <c r="D36" s="80" t="n"/>
      <c r="E36" s="78">
        <f>IFERROR(+C36*D36, 0)</f>
        <v/>
      </c>
      <c r="F36" s="14" t="n"/>
      <c r="G36" s="15" t="n"/>
      <c r="H36" s="16">
        <f>IFERROR(F36*G36, 0)</f>
        <v/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/>
      <c r="AB36" s="15" t="n"/>
      <c r="AC36" s="16">
        <f>IFERROR(AA36*AB36, 0)</f>
        <v/>
      </c>
      <c r="AD36" s="14" t="n"/>
      <c r="AE36" s="15" t="n"/>
      <c r="AF36" s="16">
        <f>IFERROR(AD36*AE36, 0)</f>
        <v/>
      </c>
      <c r="AG36" s="80" t="n">
        <v>2</v>
      </c>
      <c r="AH36" s="80" t="n">
        <v>3000</v>
      </c>
      <c r="AI36" s="80" t="n">
        <v>6000</v>
      </c>
      <c r="AJ36" s="80" t="n"/>
      <c r="AK36" s="80" t="n"/>
      <c r="AL36" s="80">
        <f>AK36*AJ36</f>
        <v/>
      </c>
      <c r="AM36" s="80" t="n"/>
      <c r="AN36" s="80" t="n"/>
      <c r="AO36" s="80" t="n"/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/>
      <c r="BO36" s="15" t="n"/>
      <c r="BP36" s="16">
        <f>IFERROR(BN36*BO36, 0)</f>
        <v/>
      </c>
      <c r="BQ36" s="80" t="n"/>
      <c r="BR36" s="80" t="n"/>
      <c r="BS36" s="80" t="n"/>
      <c r="BT36" s="80" t="n"/>
      <c r="BU36" s="80" t="n"/>
      <c r="BV36" s="80" t="n"/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77">
        <f>IFERROR(AVERAGE(G36,J36,M36,P36,S36,V36,Y36,AB36,AE36,AH36,AK36,AN36,AQ36,AT36,AW36,AZ36,BC36,BF36,BI36,BL36,BO36,BR36,BU36,BX36,CA36,CD36,CG36,CJ36,CM36,CP36,CS36), 0)</f>
        <v/>
      </c>
      <c r="CW36" s="16">
        <f>CV36*CU36</f>
        <v/>
      </c>
    </row>
    <row r="37" ht="15.75" customHeight="1">
      <c r="A37" s="80" t="inlineStr">
        <is>
          <t>Arreglo Asador</t>
        </is>
      </c>
      <c r="B37" s="37" t="inlineStr">
        <is>
          <t>Servicio</t>
        </is>
      </c>
      <c r="C37" s="80" t="n"/>
      <c r="D37" s="80" t="n"/>
      <c r="E37" s="78">
        <f>IFERROR(+C37*D37,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80" t="n"/>
      <c r="AH37" s="80" t="n"/>
      <c r="AI37" s="80" t="n"/>
      <c r="AJ37" s="80" t="n"/>
      <c r="AK37" s="80" t="n"/>
      <c r="AL37" s="16">
        <f>IFERROR(AJ37*AK37, 0)</f>
        <v/>
      </c>
      <c r="AM37" s="80" t="n"/>
      <c r="AN37" s="80" t="n"/>
      <c r="AO37" s="80" t="n"/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80" t="n"/>
      <c r="BR37" s="80" t="n"/>
      <c r="BS37" s="80" t="n"/>
      <c r="BT37" s="80" t="n"/>
      <c r="BU37" s="80" t="n"/>
      <c r="BV37" s="80" t="n"/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77">
        <f>IFERROR(AVERAGE(G37,J37,M37,P37,S37,V37,Y37,AB37,AE37,AH37,AK37,AN37,AQ37,AT37,AW37,AZ37,BC37,BF37,BI37,BL37,BO37,BR37,BU37,BX37,CA37,CD37,CG37,CJ37,CM37,CP37,CS37), 0)</f>
        <v/>
      </c>
      <c r="CW37" s="16">
        <f>CV37*CU37</f>
        <v/>
      </c>
    </row>
    <row r="38" ht="15.75" customHeight="1">
      <c r="A38" s="80" t="inlineStr">
        <is>
          <t>Compras Wilson</t>
        </is>
      </c>
      <c r="B38" s="37" t="inlineStr">
        <is>
          <t>Servicio</t>
        </is>
      </c>
      <c r="C38" s="80" t="n"/>
      <c r="D38" s="80" t="n"/>
      <c r="E38" s="78">
        <f>IFERROR(+C38*D38, 0)</f>
        <v/>
      </c>
      <c r="F38" s="14" t="n"/>
      <c r="G38" s="15" t="n"/>
      <c r="H38" s="16">
        <f>IFERROR(F38*G38, 0)</f>
        <v/>
      </c>
      <c r="I38" s="14" t="n">
        <v>1</v>
      </c>
      <c r="J38" s="15" t="n">
        <v>234200</v>
      </c>
      <c r="K38" s="16" t="n">
        <v>234200</v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/>
      <c r="Y38" s="15" t="n"/>
      <c r="Z38" s="16">
        <f>IFERROR(X38*Y38, 0)</f>
        <v/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80" t="n"/>
      <c r="AH38" s="80" t="n"/>
      <c r="AI38" s="16">
        <f>IFERROR(AG38*AH38, 0)</f>
        <v/>
      </c>
      <c r="AJ38" s="80" t="n"/>
      <c r="AK38" s="80" t="n"/>
      <c r="AL38" s="80" t="n"/>
      <c r="AM38" s="80" t="n"/>
      <c r="AN38" s="80" t="n"/>
      <c r="AO38" s="80" t="n"/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80" t="n"/>
      <c r="BR38" s="80" t="n"/>
      <c r="BS38" s="80" t="n"/>
      <c r="BT38" s="80" t="n"/>
      <c r="BU38" s="80" t="n"/>
      <c r="BV38" s="80" t="n"/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77">
        <f>IFERROR(AVERAGE(G38,J38,M38,P38,S38,V38,Y38,AB38,AE38,AH38,AK38,AN38,AQ38,AT38,AW38,AZ38,BC38,BF38,BI38,BL38,BO38,BR38,BU38,BX38,CA38,CD38,CG38,CJ38,CM38,CP38,CS38), 0)</f>
        <v/>
      </c>
      <c r="CW38" s="16">
        <f>CV38*CU38</f>
        <v/>
      </c>
    </row>
  </sheetData>
  <autoFilter ref="A2:CW38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CX153"/>
  <sheetViews>
    <sheetView topLeftCell="A2" zoomScaleNormal="100" workbookViewId="0">
      <pane xSplit="1" topLeftCell="CL1" activePane="topRight" state="frozen"/>
      <selection pane="topRight" activeCell="CW2" sqref="CW2"/>
    </sheetView>
  </sheetViews>
  <sheetFormatPr baseColWidth="10" defaultColWidth="11.453125" defaultRowHeight="15.5"/>
  <cols>
    <col width="39.81640625" customWidth="1" style="39" min="1" max="1"/>
    <col width="11.453125" customWidth="1" style="39" min="2" max="2"/>
    <col width="12.54296875" customWidth="1" style="39" min="3" max="3"/>
    <col width="11.7265625" customWidth="1" style="39" min="4" max="4"/>
    <col width="11.453125" customWidth="1" style="39" min="5" max="5"/>
    <col width="12.7265625" customWidth="1" style="39" min="6" max="6"/>
    <col width="16" customWidth="1" style="39" min="7" max="7"/>
    <col width="16.54296875" customWidth="1" style="39" min="8" max="8"/>
    <col width="12.7265625" customWidth="1" style="39" min="9" max="9"/>
    <col width="16" customWidth="1" style="39" min="10" max="10"/>
    <col width="16.54296875" customWidth="1" style="39" min="11" max="11"/>
    <col width="12.7265625" customWidth="1" style="39" min="12" max="12"/>
    <col width="16" customWidth="1" style="39" min="13" max="13"/>
    <col width="16.54296875" customWidth="1" style="39" min="14" max="14"/>
    <col width="12.7265625" customWidth="1" style="39" min="15" max="15"/>
    <col width="16" customWidth="1" style="39" min="16" max="16"/>
    <col width="16.54296875" customWidth="1" style="39" min="17" max="17"/>
    <col width="12.7265625" customWidth="1" style="39" min="18" max="18"/>
    <col width="13.26953125" bestFit="1" customWidth="1" style="39" min="19" max="19"/>
    <col width="16.54296875" customWidth="1" style="39" min="20" max="20"/>
    <col width="12.7265625" customWidth="1" style="39" min="21" max="21"/>
    <col width="16" customWidth="1" style="39" min="22" max="22"/>
    <col width="16.54296875" customWidth="1" style="39" min="23" max="23"/>
    <col width="12.7265625" customWidth="1" style="39" min="24" max="24"/>
    <col width="16" customWidth="1" style="23" min="25" max="25"/>
    <col width="16.54296875" customWidth="1" style="39" min="26" max="26"/>
    <col width="12.7265625" customWidth="1" style="39" min="27" max="27"/>
    <col width="16" customWidth="1" style="39" min="28" max="28"/>
    <col width="16.54296875" customWidth="1" style="39" min="29" max="29"/>
    <col width="12.7265625" customWidth="1" style="39" min="30" max="30"/>
    <col width="16" customWidth="1" style="39" min="31" max="31"/>
    <col width="16.54296875" customWidth="1" style="39" min="32" max="32"/>
    <col width="12.7265625" customWidth="1" style="39" min="33" max="33"/>
    <col width="16" customWidth="1" style="39" min="34" max="34"/>
    <col width="16.54296875" customWidth="1" style="39" min="35" max="35"/>
    <col width="12.7265625" customWidth="1" style="39" min="36" max="36"/>
    <col width="16" customWidth="1" style="39" min="37" max="37"/>
    <col width="16.54296875" customWidth="1" style="39" min="38" max="38"/>
    <col width="12.7265625" customWidth="1" style="39" min="39" max="39"/>
    <col width="16" customWidth="1" style="39" min="40" max="40"/>
    <col width="16.54296875" customWidth="1" style="39" min="41" max="41"/>
    <col width="12.7265625" customWidth="1" style="39" min="42" max="42"/>
    <col width="13.26953125" bestFit="1" customWidth="1" style="39" min="43" max="43"/>
    <col width="16.54296875" customWidth="1" style="39" min="44" max="44"/>
    <col width="12.7265625" customWidth="1" style="39" min="45" max="45"/>
    <col width="16" customWidth="1" style="39" min="46" max="46"/>
    <col width="16.54296875" customWidth="1" style="39" min="47" max="47"/>
    <col width="12.7265625" customWidth="1" style="39" min="48" max="48"/>
    <col width="16" customWidth="1" style="39" min="49" max="49"/>
    <col width="16.54296875" customWidth="1" style="39" min="50" max="50"/>
    <col width="12.7265625" customWidth="1" style="39" min="51" max="51"/>
    <col width="16" customWidth="1" style="39" min="52" max="52"/>
    <col width="16.54296875" customWidth="1" style="39" min="53" max="53"/>
    <col width="12.7265625" customWidth="1" style="39" min="54" max="54"/>
    <col width="16" customWidth="1" style="39" min="55" max="55"/>
    <col width="16.54296875" customWidth="1" style="39" min="56" max="56"/>
    <col width="12.7265625" customWidth="1" style="39" min="57" max="57"/>
    <col width="16" customWidth="1" style="39" min="58" max="58"/>
    <col width="16.54296875" customWidth="1" style="39" min="59" max="59"/>
    <col width="12.7265625" customWidth="1" style="39" min="60" max="60"/>
    <col width="16" customWidth="1" style="39" min="61" max="61"/>
    <col width="16.54296875" customWidth="1" style="39" min="62" max="62"/>
    <col width="12.7265625" customWidth="1" style="39" min="63" max="63"/>
    <col width="16" customWidth="1" style="39" min="64" max="64"/>
    <col width="16.54296875" customWidth="1" style="39" min="65" max="65"/>
    <col width="12.7265625" customWidth="1" style="39" min="66" max="66"/>
    <col width="13.26953125" bestFit="1" customWidth="1" style="39" min="67" max="67"/>
    <col width="16.54296875" customWidth="1" style="39" min="68" max="68"/>
    <col width="12.7265625" customWidth="1" style="39" min="69" max="69"/>
    <col width="16" customWidth="1" style="39" min="70" max="70"/>
    <col width="16.54296875" customWidth="1" style="39" min="71" max="71"/>
    <col width="12.7265625" customWidth="1" style="39" min="72" max="72"/>
    <col width="16" customWidth="1" style="39" min="73" max="73"/>
    <col width="16.54296875" customWidth="1" style="39" min="74" max="74"/>
    <col width="12.7265625" customWidth="1" style="39" min="75" max="75"/>
    <col width="16" customWidth="1" style="39" min="76" max="76"/>
    <col width="16.54296875" customWidth="1" style="39" min="77" max="77"/>
    <col width="12.7265625" customWidth="1" style="39" min="78" max="78"/>
    <col width="16" customWidth="1" style="39" min="79" max="79"/>
    <col width="16.54296875" customWidth="1" style="39" min="80" max="80"/>
    <col width="12.7265625" customWidth="1" style="39" min="81" max="81"/>
    <col width="16" customWidth="1" style="39" min="82" max="82"/>
    <col width="16.54296875" customWidth="1" style="39" min="83" max="83"/>
    <col width="12.7265625" customWidth="1" style="39" min="84" max="84"/>
    <col width="16" customWidth="1" style="39" min="85" max="85"/>
    <col width="16.54296875" customWidth="1" style="39" min="86" max="86"/>
    <col width="12.7265625" customWidth="1" style="39" min="87" max="87"/>
    <col width="16" customWidth="1" style="39" min="88" max="88"/>
    <col width="16.54296875" customWidth="1" style="39" min="89" max="89"/>
    <col width="12.7265625" customWidth="1" style="39" min="90" max="90"/>
    <col width="16.54296875" bestFit="1" customWidth="1" style="39" min="91" max="91"/>
    <col width="16.54296875" customWidth="1" style="39" min="92" max="92"/>
    <col width="12.7265625" customWidth="1" style="39" min="93" max="93"/>
    <col width="16" customWidth="1" style="39" min="94" max="94"/>
    <col width="16.54296875" customWidth="1" style="39" min="95" max="95"/>
    <col width="12.7265625" customWidth="1" style="39" min="96" max="96"/>
    <col width="16" customWidth="1" style="39" min="97" max="97"/>
    <col width="16.54296875" customWidth="1" style="39" min="98" max="98"/>
    <col width="12.7265625" customWidth="1" style="39" min="99" max="99"/>
    <col width="16" customWidth="1" style="39" min="100" max="100"/>
    <col width="16.54296875" customWidth="1" style="39" min="101" max="101"/>
    <col width="15.54296875" customWidth="1" style="39" min="102" max="103"/>
    <col width="13.453125" customWidth="1" style="39" min="104" max="104"/>
    <col width="15.81640625" customWidth="1" style="39" min="105" max="105"/>
    <col width="20" customWidth="1" style="39" min="106" max="106"/>
    <col width="15.54296875" customWidth="1" style="39" min="107" max="107"/>
    <col width="11.453125" customWidth="1" style="39" min="108" max="120"/>
    <col width="11.453125" customWidth="1" style="39" min="121" max="16384"/>
  </cols>
  <sheetData>
    <row r="1" ht="18.75" customHeight="1">
      <c r="A1" s="125" t="inlineStr">
        <is>
          <t>Desechables</t>
        </is>
      </c>
      <c r="B1" s="80" t="n"/>
      <c r="C1" s="80" t="n"/>
      <c r="D1" s="80" t="n"/>
      <c r="E1" s="80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4" t="inlineStr">
        <is>
          <t>Total mes</t>
        </is>
      </c>
      <c r="CV1" s="121" t="n"/>
      <c r="CW1" s="122" t="n"/>
    </row>
    <row r="2" ht="16.5" customHeight="1">
      <c r="A2" s="41" t="inlineStr">
        <is>
          <t>Producto</t>
        </is>
      </c>
      <c r="B2" s="48" t="inlineStr">
        <is>
          <t>Medida</t>
        </is>
      </c>
      <c r="C2" s="48" t="inlineStr">
        <is>
          <t>Cantidad</t>
        </is>
      </c>
      <c r="D2" s="49" t="inlineStr">
        <is>
          <t>Valor</t>
        </is>
      </c>
      <c r="E2" s="49" t="inlineStr">
        <is>
          <t>Total</t>
        </is>
      </c>
      <c r="F2" s="46" t="inlineStr">
        <is>
          <t>Cantid</t>
        </is>
      </c>
      <c r="G2" s="46" t="inlineStr">
        <is>
          <t>Costo unit</t>
        </is>
      </c>
      <c r="H2" s="46" t="inlineStr">
        <is>
          <t>Vr. compra</t>
        </is>
      </c>
      <c r="I2" s="46" t="inlineStr">
        <is>
          <t>Cantid</t>
        </is>
      </c>
      <c r="J2" s="46" t="inlineStr">
        <is>
          <t>Costo unit</t>
        </is>
      </c>
      <c r="K2" s="46" t="inlineStr">
        <is>
          <t>Vr. compra</t>
        </is>
      </c>
      <c r="L2" s="46" t="inlineStr">
        <is>
          <t>Cantid</t>
        </is>
      </c>
      <c r="M2" s="46" t="inlineStr">
        <is>
          <t>Costo unit</t>
        </is>
      </c>
      <c r="N2" s="46" t="inlineStr">
        <is>
          <t>Vr. compra</t>
        </is>
      </c>
      <c r="O2" s="46" t="inlineStr">
        <is>
          <t>Cantid</t>
        </is>
      </c>
      <c r="P2" s="46" t="inlineStr">
        <is>
          <t>Costo unit</t>
        </is>
      </c>
      <c r="Q2" s="46" t="inlineStr">
        <is>
          <t>Vr. compra</t>
        </is>
      </c>
      <c r="R2" s="46" t="inlineStr">
        <is>
          <t>Cantid</t>
        </is>
      </c>
      <c r="S2" s="46" t="inlineStr">
        <is>
          <t>Costo</t>
        </is>
      </c>
      <c r="T2" s="46" t="inlineStr">
        <is>
          <t>Vr. compra</t>
        </is>
      </c>
      <c r="U2" s="46" t="inlineStr">
        <is>
          <t>Cantid</t>
        </is>
      </c>
      <c r="V2" s="46" t="inlineStr">
        <is>
          <t>Costo unit</t>
        </is>
      </c>
      <c r="W2" s="46" t="inlineStr">
        <is>
          <t>Vr. compra</t>
        </is>
      </c>
      <c r="X2" s="47" t="inlineStr">
        <is>
          <t>Cantid</t>
        </is>
      </c>
      <c r="Y2" s="46" t="inlineStr">
        <is>
          <t>Costo unit</t>
        </is>
      </c>
      <c r="Z2" s="46" t="inlineStr">
        <is>
          <t>Vr. compra</t>
        </is>
      </c>
      <c r="AA2" s="46" t="inlineStr">
        <is>
          <t>Cantid</t>
        </is>
      </c>
      <c r="AB2" s="46" t="inlineStr">
        <is>
          <t>Costo unit</t>
        </is>
      </c>
      <c r="AC2" s="46" t="inlineStr">
        <is>
          <t>Vr. compra</t>
        </is>
      </c>
      <c r="AD2" s="46" t="inlineStr">
        <is>
          <t>Cantid</t>
        </is>
      </c>
      <c r="AE2" s="46" t="inlineStr">
        <is>
          <t>Costo unit</t>
        </is>
      </c>
      <c r="AF2" s="46" t="inlineStr">
        <is>
          <t>Vr. compra</t>
        </is>
      </c>
      <c r="AG2" s="46" t="inlineStr">
        <is>
          <t>Cantid</t>
        </is>
      </c>
      <c r="AH2" s="46" t="inlineStr">
        <is>
          <t>Costo unit</t>
        </is>
      </c>
      <c r="AI2" s="46" t="inlineStr">
        <is>
          <t>Vr. compra</t>
        </is>
      </c>
      <c r="AJ2" s="46" t="inlineStr">
        <is>
          <t>Cantid</t>
        </is>
      </c>
      <c r="AK2" s="46" t="inlineStr">
        <is>
          <t>Costo unit</t>
        </is>
      </c>
      <c r="AL2" s="46" t="inlineStr">
        <is>
          <t>Vr. compra</t>
        </is>
      </c>
      <c r="AM2" s="46" t="inlineStr">
        <is>
          <t>Cantid</t>
        </is>
      </c>
      <c r="AN2" s="46" t="inlineStr">
        <is>
          <t>Costo unit</t>
        </is>
      </c>
      <c r="AO2" s="46" t="inlineStr">
        <is>
          <t>Vr. compra</t>
        </is>
      </c>
      <c r="AP2" s="46" t="inlineStr">
        <is>
          <t>Cantid</t>
        </is>
      </c>
      <c r="AQ2" s="46" t="inlineStr">
        <is>
          <t>Costo</t>
        </is>
      </c>
      <c r="AR2" s="46" t="inlineStr">
        <is>
          <t>Vr. compra</t>
        </is>
      </c>
      <c r="AS2" s="46" t="inlineStr">
        <is>
          <t>Cantid</t>
        </is>
      </c>
      <c r="AT2" s="46" t="inlineStr">
        <is>
          <t>Costo unit</t>
        </is>
      </c>
      <c r="AU2" s="46" t="inlineStr">
        <is>
          <t>Vr. compra</t>
        </is>
      </c>
      <c r="AV2" s="46" t="inlineStr">
        <is>
          <t>Cantid</t>
        </is>
      </c>
      <c r="AW2" s="46" t="inlineStr">
        <is>
          <t>Costo unit</t>
        </is>
      </c>
      <c r="AX2" s="46" t="inlineStr">
        <is>
          <t>Vr. compra</t>
        </is>
      </c>
      <c r="AY2" s="46" t="inlineStr">
        <is>
          <t>Cantid</t>
        </is>
      </c>
      <c r="AZ2" s="46" t="inlineStr">
        <is>
          <t>Costo unit</t>
        </is>
      </c>
      <c r="BA2" s="46" t="inlineStr">
        <is>
          <t>Vr. compra</t>
        </is>
      </c>
      <c r="BB2" s="46" t="inlineStr">
        <is>
          <t>Cantid</t>
        </is>
      </c>
      <c r="BC2" s="46" t="inlineStr">
        <is>
          <t>Costo unit</t>
        </is>
      </c>
      <c r="BD2" s="46" t="inlineStr">
        <is>
          <t>Vr. compra</t>
        </is>
      </c>
      <c r="BE2" s="46" t="inlineStr">
        <is>
          <t>Cantid</t>
        </is>
      </c>
      <c r="BF2" s="46" t="inlineStr">
        <is>
          <t>Costo unit</t>
        </is>
      </c>
      <c r="BG2" s="46" t="inlineStr">
        <is>
          <t>Vr. compra</t>
        </is>
      </c>
      <c r="BH2" s="46" t="inlineStr">
        <is>
          <t>Cantid</t>
        </is>
      </c>
      <c r="BI2" s="46" t="inlineStr">
        <is>
          <t>Costo unit</t>
        </is>
      </c>
      <c r="BJ2" s="46" t="inlineStr">
        <is>
          <t>Vr. compra</t>
        </is>
      </c>
      <c r="BK2" s="46" t="inlineStr">
        <is>
          <t>Cantid</t>
        </is>
      </c>
      <c r="BL2" s="46" t="inlineStr">
        <is>
          <t>Costo unit</t>
        </is>
      </c>
      <c r="BM2" s="46" t="inlineStr">
        <is>
          <t>Vr. compra</t>
        </is>
      </c>
      <c r="BN2" s="46" t="inlineStr">
        <is>
          <t>Cantid</t>
        </is>
      </c>
      <c r="BO2" s="46" t="inlineStr">
        <is>
          <t>Costo</t>
        </is>
      </c>
      <c r="BP2" s="46" t="inlineStr">
        <is>
          <t>Vr. compra</t>
        </is>
      </c>
      <c r="BQ2" s="46" t="inlineStr">
        <is>
          <t>Cantid</t>
        </is>
      </c>
      <c r="BR2" s="46" t="inlineStr">
        <is>
          <t>Costo unit</t>
        </is>
      </c>
      <c r="BS2" s="46" t="inlineStr">
        <is>
          <t>Vr. compra</t>
        </is>
      </c>
      <c r="BT2" s="46" t="inlineStr">
        <is>
          <t>Cantid</t>
        </is>
      </c>
      <c r="BU2" s="46" t="inlineStr">
        <is>
          <t>Costo unit</t>
        </is>
      </c>
      <c r="BV2" s="46" t="inlineStr">
        <is>
          <t>Vr. compra</t>
        </is>
      </c>
      <c r="BW2" s="46" t="inlineStr">
        <is>
          <t>Cantid</t>
        </is>
      </c>
      <c r="BX2" s="46" t="inlineStr">
        <is>
          <t>Costo unit</t>
        </is>
      </c>
      <c r="BY2" s="46" t="inlineStr">
        <is>
          <t>Vr. compra</t>
        </is>
      </c>
      <c r="BZ2" s="46" t="inlineStr">
        <is>
          <t>Cantid</t>
        </is>
      </c>
      <c r="CA2" s="46" t="inlineStr">
        <is>
          <t>Costo unit</t>
        </is>
      </c>
      <c r="CB2" s="46" t="inlineStr">
        <is>
          <t>Vr. compra</t>
        </is>
      </c>
      <c r="CC2" s="46" t="inlineStr">
        <is>
          <t>Cantid</t>
        </is>
      </c>
      <c r="CD2" s="46" t="inlineStr">
        <is>
          <t>Costo unit</t>
        </is>
      </c>
      <c r="CE2" s="46" t="inlineStr">
        <is>
          <t>Vr. compra</t>
        </is>
      </c>
      <c r="CF2" s="46" t="inlineStr">
        <is>
          <t>Cantid</t>
        </is>
      </c>
      <c r="CG2" s="46" t="inlineStr">
        <is>
          <t>Costo unit</t>
        </is>
      </c>
      <c r="CH2" s="46" t="inlineStr">
        <is>
          <t>Vr. compra</t>
        </is>
      </c>
      <c r="CI2" s="46" t="inlineStr">
        <is>
          <t>Cantid</t>
        </is>
      </c>
      <c r="CJ2" s="46" t="inlineStr">
        <is>
          <t>Costo unit</t>
        </is>
      </c>
      <c r="CK2" s="46" t="inlineStr">
        <is>
          <t>Vr. compra</t>
        </is>
      </c>
      <c r="CL2" s="46" t="inlineStr">
        <is>
          <t>Cantid</t>
        </is>
      </c>
      <c r="CM2" s="46" t="inlineStr">
        <is>
          <t>Costo</t>
        </is>
      </c>
      <c r="CN2" s="46" t="inlineStr">
        <is>
          <t>Vr. compra</t>
        </is>
      </c>
      <c r="CO2" s="46" t="inlineStr">
        <is>
          <t>Cantid</t>
        </is>
      </c>
      <c r="CP2" s="46" t="inlineStr">
        <is>
          <t>Costo unit</t>
        </is>
      </c>
      <c r="CQ2" s="46" t="inlineStr">
        <is>
          <t>Vr. compra</t>
        </is>
      </c>
      <c r="CR2" s="46" t="inlineStr">
        <is>
          <t>Cantid</t>
        </is>
      </c>
      <c r="CS2" s="46" t="inlineStr">
        <is>
          <t>Costo unit</t>
        </is>
      </c>
      <c r="CT2" s="46" t="inlineStr">
        <is>
          <t>Vr. compra</t>
        </is>
      </c>
      <c r="CU2" s="46" t="inlineStr">
        <is>
          <t>Cantid</t>
        </is>
      </c>
      <c r="CV2" s="46" t="inlineStr">
        <is>
          <t>Costo unit</t>
        </is>
      </c>
      <c r="CW2" s="46" t="inlineStr">
        <is>
          <t>Vr. compra</t>
        </is>
      </c>
    </row>
    <row r="3" ht="15.75" customHeight="1">
      <c r="A3" s="41" t="inlineStr">
        <is>
          <t>Acento x 500</t>
        </is>
      </c>
      <c r="B3" s="41" t="inlineStr">
        <is>
          <t>Lb</t>
        </is>
      </c>
      <c r="C3" s="42" t="n"/>
      <c r="D3" s="43" t="n"/>
      <c r="E3" s="78">
        <f>IFERROR(+C3*D3, 0)</f>
        <v/>
      </c>
      <c r="F3" s="14" t="n"/>
      <c r="G3" s="15" t="n"/>
      <c r="H3" s="16">
        <f>IFERROR(F3*G3, 0)</f>
        <v/>
      </c>
      <c r="I3" s="14" t="n">
        <v>3</v>
      </c>
      <c r="J3" s="15" t="n">
        <v>6200</v>
      </c>
      <c r="K3" s="16" t="n">
        <v>18600</v>
      </c>
      <c r="L3" s="14" t="n"/>
      <c r="M3" s="15" t="n"/>
      <c r="N3" s="16">
        <f>IFERROR(L3*M3, 0)</f>
        <v/>
      </c>
      <c r="O3" s="14" t="n"/>
      <c r="P3" s="15" t="n"/>
      <c r="Q3" s="16">
        <f>IFERROR(O3*P3, 0)</f>
        <v/>
      </c>
      <c r="R3" s="14" t="n"/>
      <c r="S3" s="15" t="n"/>
      <c r="T3" s="16">
        <f>IFERROR(R3*S3, 0)</f>
        <v/>
      </c>
      <c r="U3" s="14" t="n"/>
      <c r="V3" s="15" t="n"/>
      <c r="W3" s="16">
        <f>IFERROR(U3*V3, 0)</f>
        <v/>
      </c>
      <c r="X3" s="14" t="n">
        <v>3</v>
      </c>
      <c r="Y3" s="15" t="n">
        <v>6200</v>
      </c>
      <c r="Z3" s="16" t="n">
        <v>18600</v>
      </c>
      <c r="AA3" s="14" t="n"/>
      <c r="AB3" s="15" t="n"/>
      <c r="AC3" s="16">
        <f>IFERROR(AA3*AB3, 0)</f>
        <v/>
      </c>
      <c r="AD3" s="14" t="n"/>
      <c r="AE3" s="15" t="n"/>
      <c r="AF3" s="16">
        <f>IFERROR(AD3*AE3, 0)</f>
        <v/>
      </c>
      <c r="AG3" s="14" t="n">
        <v>2</v>
      </c>
      <c r="AH3" s="15" t="n">
        <v>6200</v>
      </c>
      <c r="AI3" s="16" t="n">
        <v>12400</v>
      </c>
      <c r="AJ3" s="14" t="n"/>
      <c r="AK3" s="15" t="n"/>
      <c r="AL3" s="16">
        <f>IFERROR(AJ3*AK3, 0)</f>
        <v/>
      </c>
      <c r="AM3" s="14" t="n"/>
      <c r="AN3" s="15" t="n"/>
      <c r="AO3" s="16">
        <f>IFERROR(AM3*AN3, 0)</f>
        <v/>
      </c>
      <c r="AP3" s="14" t="n"/>
      <c r="AQ3" s="15" t="n"/>
      <c r="AR3" s="16">
        <f>IFERROR(AP3*AQ3, 0)</f>
        <v/>
      </c>
      <c r="AS3" s="14" t="n"/>
      <c r="AT3" s="15" t="n"/>
      <c r="AU3" s="16">
        <f>IFERROR(AS3*AT3, 0)</f>
        <v/>
      </c>
      <c r="AV3" s="14" t="n"/>
      <c r="AW3" s="15" t="n"/>
      <c r="AX3" s="16">
        <f>IFERROR(AV3*AW3, 0)</f>
        <v/>
      </c>
      <c r="AY3" s="14" t="n"/>
      <c r="AZ3" s="15" t="n"/>
      <c r="BA3" s="16">
        <f>IFERROR(AY3*AZ3, 0)</f>
        <v/>
      </c>
      <c r="BB3" s="14" t="n"/>
      <c r="BC3" s="15" t="n"/>
      <c r="BD3" s="16">
        <f>IFERROR(BB3*BC3, 0)</f>
        <v/>
      </c>
      <c r="BE3" s="14" t="n">
        <v>2</v>
      </c>
      <c r="BF3" s="15" t="n">
        <v>6200</v>
      </c>
      <c r="BG3" s="16" t="n">
        <v>12400</v>
      </c>
      <c r="BH3" s="14" t="n"/>
      <c r="BI3" s="15" t="n"/>
      <c r="BJ3" s="16">
        <f>IFERROR(BH3*BI3, 0)</f>
        <v/>
      </c>
      <c r="BK3" s="14" t="n"/>
      <c r="BL3" s="15" t="n"/>
      <c r="BM3" s="16">
        <f>IFERROR(BK3*BL3, 0)</f>
        <v/>
      </c>
      <c r="BN3" s="14" t="n"/>
      <c r="BO3" s="15" t="n"/>
      <c r="BP3" s="16">
        <f>IFERROR(BN3*BO3, 0)</f>
        <v/>
      </c>
      <c r="BQ3" s="14" t="n">
        <v>4</v>
      </c>
      <c r="BR3" s="15" t="n">
        <v>6200</v>
      </c>
      <c r="BS3" s="16" t="n">
        <v>24800</v>
      </c>
      <c r="BT3" s="14" t="n"/>
      <c r="BU3" s="15" t="n"/>
      <c r="BV3" s="16">
        <f>IFERROR(BT3*BU3, 0)</f>
        <v/>
      </c>
      <c r="BW3" s="14" t="n"/>
      <c r="BX3" s="15" t="n"/>
      <c r="BY3" s="16">
        <f>IFERROR(BW3*BX3, 0)</f>
        <v/>
      </c>
      <c r="BZ3" s="14" t="n"/>
      <c r="CA3" s="15" t="n"/>
      <c r="CB3" s="16">
        <f>IFERROR(BZ3*CA3, 0)</f>
        <v/>
      </c>
      <c r="CC3" s="14" t="n"/>
      <c r="CD3" s="15" t="n"/>
      <c r="CE3" s="16">
        <f>IFERROR(CC3*CD3, 0)</f>
        <v/>
      </c>
      <c r="CF3" s="14" t="n"/>
      <c r="CG3" s="15" t="n"/>
      <c r="CH3" s="16">
        <f>IFERROR(CF3*CG3, 0)</f>
        <v/>
      </c>
      <c r="CI3" s="14" t="n"/>
      <c r="CJ3" s="15" t="n"/>
      <c r="CK3" s="16">
        <f>IFERROR(CI3*CJ3, 0)</f>
        <v/>
      </c>
      <c r="CL3" s="14" t="n"/>
      <c r="CM3" s="15" t="n"/>
      <c r="CN3" s="16">
        <f>IFERROR(CL3*CM3, 0)</f>
        <v/>
      </c>
      <c r="CO3" s="14" t="n"/>
      <c r="CP3" s="15" t="n"/>
      <c r="CQ3" s="16">
        <f>IFERROR(CO3*CP3, 0)</f>
        <v/>
      </c>
      <c r="CR3" s="14" t="n"/>
      <c r="CS3" s="15" t="n"/>
      <c r="CT3" s="16">
        <f>IFERROR(CR3*CS3, 0)</f>
        <v/>
      </c>
      <c r="CU3" s="17">
        <f>IFERROR(SUM(F3,I3,L3,O3,R3,U3,X3,AA3,AD3,AG3,AJ3,AM3,AP3,AS3,AV3,AY3,BB3,BE3,BH3,BK3,BN3,BQ3,BT3,BW3,BZ3,CC3,CF3,CI3,CL3,CO3,CR3), 0)</f>
        <v/>
      </c>
      <c r="CV3" s="16">
        <f>IFERROR(AVERAGE(G3,J3,M3,P3,S3,V3,Y3,AB3,AE3,AH3,AK3,AN3,AQ3,AT3,AW3,AZ3,BC3,BF3,BI3,BL3,BO3,BR3,BU3,BX3,CA3,CD3,CG3,CJ3,CM3,CP3,CS3), 0)</f>
        <v/>
      </c>
      <c r="CW3" s="16">
        <f>CU3*CV3</f>
        <v/>
      </c>
    </row>
    <row r="4" ht="15.75" customHeight="1">
      <c r="A4" s="41" t="inlineStr">
        <is>
          <t>Aji pequeño x 40</t>
        </is>
      </c>
      <c r="B4" s="41" t="inlineStr">
        <is>
          <t>Tubos</t>
        </is>
      </c>
      <c r="C4" s="42" t="n"/>
      <c r="D4" s="43" t="n"/>
      <c r="E4" s="78">
        <f>IFERROR(+C4*D4, 0)</f>
        <v/>
      </c>
      <c r="F4" s="14" t="n"/>
      <c r="G4" s="15" t="n"/>
      <c r="H4" s="16">
        <f>IFERROR(F4*G4, 0)</f>
        <v/>
      </c>
      <c r="I4" s="14" t="n"/>
      <c r="J4" s="15" t="n"/>
      <c r="K4" s="16">
        <f>IFERROR(I4*J4, 0)</f>
        <v/>
      </c>
      <c r="L4" s="14" t="n"/>
      <c r="M4" s="15" t="n"/>
      <c r="N4" s="16">
        <f>IFERROR(L4*M4, 0)</f>
        <v/>
      </c>
      <c r="O4" s="14" t="n"/>
      <c r="P4" s="15" t="n"/>
      <c r="Q4" s="16">
        <f>IFERROR(O4*P4, 0)</f>
        <v/>
      </c>
      <c r="R4" s="14" t="n"/>
      <c r="S4" s="15" t="n"/>
      <c r="T4" s="16">
        <f>IFERROR(R4*S4, 0)</f>
        <v/>
      </c>
      <c r="U4" s="14" t="n"/>
      <c r="V4" s="15" t="n"/>
      <c r="W4" s="16">
        <f>IFERROR(U4*V4, 0)</f>
        <v/>
      </c>
      <c r="X4" s="14" t="n"/>
      <c r="Y4" s="15" t="n"/>
      <c r="Z4" s="16">
        <f>IFERROR(X4*Y4, 0)</f>
        <v/>
      </c>
      <c r="AA4" s="14" t="n"/>
      <c r="AB4" s="15" t="n"/>
      <c r="AC4" s="16">
        <f>IFERROR(AA4*AB4, 0)</f>
        <v/>
      </c>
      <c r="AD4" s="14" t="n"/>
      <c r="AE4" s="15" t="n"/>
      <c r="AF4" s="16">
        <f>IFERROR(AD4*AE4, 0)</f>
        <v/>
      </c>
      <c r="AG4" s="14" t="n"/>
      <c r="AH4" s="15" t="n"/>
      <c r="AI4" s="16">
        <f>IFERROR(AG4*AH4, 0)</f>
        <v/>
      </c>
      <c r="AJ4" s="14" t="n"/>
      <c r="AK4" s="15" t="n"/>
      <c r="AL4" s="16">
        <f>IFERROR(AJ4*AK4, 0)</f>
        <v/>
      </c>
      <c r="AM4" s="14" t="n"/>
      <c r="AN4" s="15" t="n"/>
      <c r="AO4" s="16">
        <f>IFERROR(AM4*AN4, 0)</f>
        <v/>
      </c>
      <c r="AP4" s="14" t="n"/>
      <c r="AQ4" s="15" t="n"/>
      <c r="AR4" s="16">
        <f>IFERROR(AP4*AQ4, 0)</f>
        <v/>
      </c>
      <c r="AS4" s="14" t="n"/>
      <c r="AT4" s="15" t="n"/>
      <c r="AU4" s="16">
        <f>IFERROR(AS4*AT4, 0)</f>
        <v/>
      </c>
      <c r="AV4" s="14" t="n"/>
      <c r="AW4" s="15" t="n"/>
      <c r="AX4" s="16">
        <f>IFERROR(AV4*AW4, 0)</f>
        <v/>
      </c>
      <c r="AY4" s="14" t="n"/>
      <c r="AZ4" s="15" t="n"/>
      <c r="BA4" s="16">
        <f>IFERROR(AY4*AZ4, 0)</f>
        <v/>
      </c>
      <c r="BB4" s="14" t="n"/>
      <c r="BC4" s="15" t="n"/>
      <c r="BD4" s="16">
        <f>IFERROR(BB4*BC4, 0)</f>
        <v/>
      </c>
      <c r="BE4" s="14" t="n"/>
      <c r="BF4" s="15" t="n"/>
      <c r="BG4" s="16">
        <f>IFERROR(BE4*BF4, 0)</f>
        <v/>
      </c>
      <c r="BH4" s="14" t="n"/>
      <c r="BI4" s="15" t="n"/>
      <c r="BJ4" s="16">
        <f>IFERROR(BH4*BI4, 0)</f>
        <v/>
      </c>
      <c r="BK4" s="14" t="n"/>
      <c r="BL4" s="15" t="n"/>
      <c r="BM4" s="16">
        <f>IFERROR(BK4*BL4, 0)</f>
        <v/>
      </c>
      <c r="BN4" s="14" t="n"/>
      <c r="BO4" s="15" t="n"/>
      <c r="BP4" s="16">
        <f>IFERROR(BN4*BO4, 0)</f>
        <v/>
      </c>
      <c r="BQ4" s="14" t="n"/>
      <c r="BR4" s="15" t="n"/>
      <c r="BS4" s="16">
        <f>IFERROR(BQ4*BR4, 0)</f>
        <v/>
      </c>
      <c r="BT4" s="14" t="n"/>
      <c r="BU4" s="15" t="n"/>
      <c r="BV4" s="16">
        <f>IFERROR(BT4*BU4, 0)</f>
        <v/>
      </c>
      <c r="BW4" s="14" t="n"/>
      <c r="BX4" s="15" t="n"/>
      <c r="BY4" s="16">
        <f>IFERROR(BW4*BX4, 0)</f>
        <v/>
      </c>
      <c r="BZ4" s="14" t="n"/>
      <c r="CA4" s="15" t="n"/>
      <c r="CB4" s="16">
        <f>IFERROR(BZ4*CA4, 0)</f>
        <v/>
      </c>
      <c r="CC4" s="14" t="n"/>
      <c r="CD4" s="15" t="n"/>
      <c r="CE4" s="16">
        <f>IFERROR(CC4*CD4, 0)</f>
        <v/>
      </c>
      <c r="CF4" s="14" t="n"/>
      <c r="CG4" s="15" t="n"/>
      <c r="CH4" s="16">
        <f>IFERROR(CF4*CG4, 0)</f>
        <v/>
      </c>
      <c r="CI4" s="14" t="n"/>
      <c r="CJ4" s="15" t="n"/>
      <c r="CK4" s="16">
        <f>IFERROR(CI4*CJ4, 0)</f>
        <v/>
      </c>
      <c r="CL4" s="14" t="n"/>
      <c r="CM4" s="15" t="n"/>
      <c r="CN4" s="16">
        <f>IFERROR(CL4*CM4, 0)</f>
        <v/>
      </c>
      <c r="CO4" s="14" t="n"/>
      <c r="CP4" s="15" t="n"/>
      <c r="CQ4" s="16">
        <f>IFERROR(CO4*CP4, 0)</f>
        <v/>
      </c>
      <c r="CR4" s="14" t="n"/>
      <c r="CS4" s="15" t="n"/>
      <c r="CT4" s="16">
        <f>IFERROR(CR4*CS4, 0)</f>
        <v/>
      </c>
      <c r="CU4" s="17">
        <f>IFERROR(SUM(F4,I4,L4,O4,R4,U4,X4,AA4,AD4,AG4,AJ4,AM4,AP4,AS4,AV4,AY4,BB4,BE4,BH4,BK4,BN4,BQ4,BT4,BW4,BZ4,CC4,CF4,CI4,CL4,CO4,CR4), 0)</f>
        <v/>
      </c>
      <c r="CV4" s="16">
        <f>IFERROR(AVERAGE(G4,J4,M4,P4,S4,V4,Y4,AB4,AE4,AH4,AK4,AN4,AQ4,AT4,AW4,AZ4,BC4,BF4,BI4,BL4,BO4,BR4,BU4,BX4,CA4,CD4,CG4,CJ4,CM4,CP4,CS4), 0)</f>
        <v/>
      </c>
      <c r="CW4" s="16">
        <f>CU4*CV4</f>
        <v/>
      </c>
    </row>
    <row r="5" ht="15.75" customHeight="1">
      <c r="A5" s="41" t="inlineStr">
        <is>
          <t>Alcohol industrial</t>
        </is>
      </c>
      <c r="B5" s="41" t="inlineStr">
        <is>
          <t>Gal</t>
        </is>
      </c>
      <c r="C5" s="42" t="n"/>
      <c r="D5" s="43" t="n"/>
      <c r="E5" s="78">
        <f>IFERROR(+C5*D5, 0)</f>
        <v/>
      </c>
      <c r="F5" s="14" t="n"/>
      <c r="G5" s="15" t="n"/>
      <c r="H5" s="16">
        <f>IFERROR(F5*G5, 0)</f>
        <v/>
      </c>
      <c r="I5" s="14" t="n"/>
      <c r="J5" s="15" t="n"/>
      <c r="K5" s="16">
        <f>IFERROR(I5*J5, 0)</f>
        <v/>
      </c>
      <c r="L5" s="14" t="n"/>
      <c r="M5" s="15" t="n"/>
      <c r="N5" s="16">
        <f>IFERROR(L5*M5, 0)</f>
        <v/>
      </c>
      <c r="O5" s="14" t="n"/>
      <c r="P5" s="15" t="n"/>
      <c r="Q5" s="16">
        <f>IFERROR(O5*P5, 0)</f>
        <v/>
      </c>
      <c r="R5" s="14" t="n"/>
      <c r="S5" s="15" t="n"/>
      <c r="T5" s="16">
        <f>IFERROR(R5*S5, 0)</f>
        <v/>
      </c>
      <c r="U5" s="14" t="n"/>
      <c r="V5" s="15" t="n"/>
      <c r="W5" s="16">
        <f>IFERROR(U5*V5, 0)</f>
        <v/>
      </c>
      <c r="X5" s="14" t="n"/>
      <c r="Y5" s="15" t="n"/>
      <c r="Z5" s="16">
        <f>IFERROR(X5*Y5, 0)</f>
        <v/>
      </c>
      <c r="AA5" s="14" t="n"/>
      <c r="AB5" s="15" t="n"/>
      <c r="AC5" s="16">
        <f>IFERROR(AA5*AB5, 0)</f>
        <v/>
      </c>
      <c r="AD5" s="14" t="n"/>
      <c r="AE5" s="15" t="n"/>
      <c r="AF5" s="16">
        <f>IFERROR(AD5*AE5, 0)</f>
        <v/>
      </c>
      <c r="AG5" s="14" t="n"/>
      <c r="AH5" s="15" t="n"/>
      <c r="AI5" s="16">
        <f>IFERROR(AG5*AH5, 0)</f>
        <v/>
      </c>
      <c r="AJ5" s="14" t="n"/>
      <c r="AK5" s="15" t="n"/>
      <c r="AL5" s="16">
        <f>IFERROR(AJ5*AK5, 0)</f>
        <v/>
      </c>
      <c r="AM5" s="14" t="n"/>
      <c r="AN5" s="15" t="n"/>
      <c r="AO5" s="16">
        <f>IFERROR(AM5*AN5, 0)</f>
        <v/>
      </c>
      <c r="AP5" s="14" t="n"/>
      <c r="AQ5" s="15" t="n"/>
      <c r="AR5" s="16">
        <f>IFERROR(AP5*AQ5, 0)</f>
        <v/>
      </c>
      <c r="AS5" s="14" t="n"/>
      <c r="AT5" s="15" t="n"/>
      <c r="AU5" s="16">
        <f>IFERROR(AS5*AT5, 0)</f>
        <v/>
      </c>
      <c r="AV5" s="14" t="n"/>
      <c r="AW5" s="15" t="n"/>
      <c r="AX5" s="16">
        <f>IFERROR(AV5*AW5, 0)</f>
        <v/>
      </c>
      <c r="AY5" s="14" t="n"/>
      <c r="AZ5" s="15" t="n"/>
      <c r="BA5" s="16">
        <f>IFERROR(AY5*AZ5, 0)</f>
        <v/>
      </c>
      <c r="BB5" s="14" t="n"/>
      <c r="BC5" s="15" t="n"/>
      <c r="BD5" s="16">
        <f>IFERROR(BB5*BC5, 0)</f>
        <v/>
      </c>
      <c r="BE5" s="14" t="n"/>
      <c r="BF5" s="15" t="n"/>
      <c r="BG5" s="16">
        <f>IFERROR(BE5*BF5, 0)</f>
        <v/>
      </c>
      <c r="BH5" s="14" t="n"/>
      <c r="BI5" s="15" t="n"/>
      <c r="BJ5" s="16">
        <f>IFERROR(BH5*BI5, 0)</f>
        <v/>
      </c>
      <c r="BK5" s="14" t="n"/>
      <c r="BL5" s="15" t="n"/>
      <c r="BM5" s="16">
        <f>IFERROR(BK5*BL5, 0)</f>
        <v/>
      </c>
      <c r="BN5" s="14" t="n"/>
      <c r="BO5" s="15" t="n"/>
      <c r="BP5" s="16">
        <f>IFERROR(BN5*BO5, 0)</f>
        <v/>
      </c>
      <c r="BQ5" s="14" t="n">
        <v>1</v>
      </c>
      <c r="BR5" s="15" t="n">
        <v>27450</v>
      </c>
      <c r="BS5" s="16" t="n">
        <v>27450</v>
      </c>
      <c r="BT5" s="14" t="n"/>
      <c r="BU5" s="15" t="n"/>
      <c r="BV5" s="16">
        <f>IFERROR(BT5*BU5, 0)</f>
        <v/>
      </c>
      <c r="BW5" s="14" t="n"/>
      <c r="BX5" s="15" t="n"/>
      <c r="BY5" s="16">
        <f>IFERROR(BW5*BX5, 0)</f>
        <v/>
      </c>
      <c r="BZ5" s="14" t="n"/>
      <c r="CA5" s="15" t="n"/>
      <c r="CB5" s="16">
        <f>IFERROR(BZ5*CA5, 0)</f>
        <v/>
      </c>
      <c r="CC5" s="14" t="n"/>
      <c r="CD5" s="15" t="n"/>
      <c r="CE5" s="16">
        <f>IFERROR(CC5*CD5, 0)</f>
        <v/>
      </c>
      <c r="CF5" s="14" t="n"/>
      <c r="CG5" s="15" t="n"/>
      <c r="CH5" s="16">
        <f>IFERROR(CF5*CG5, 0)</f>
        <v/>
      </c>
      <c r="CI5" s="14" t="n"/>
      <c r="CJ5" s="15" t="n"/>
      <c r="CK5" s="16">
        <f>IFERROR(CI5*CJ5, 0)</f>
        <v/>
      </c>
      <c r="CL5" s="14" t="n"/>
      <c r="CM5" s="15" t="n"/>
      <c r="CN5" s="16">
        <f>IFERROR(CL5*CM5, 0)</f>
        <v/>
      </c>
      <c r="CO5" s="14" t="n"/>
      <c r="CP5" s="15" t="n"/>
      <c r="CQ5" s="16">
        <f>IFERROR(CO5*CP5, 0)</f>
        <v/>
      </c>
      <c r="CR5" s="14" t="n"/>
      <c r="CS5" s="15" t="n"/>
      <c r="CT5" s="16">
        <f>IFERROR(CR5*CS5, 0)</f>
        <v/>
      </c>
      <c r="CU5" s="17">
        <f>IFERROR(SUM(F5,I5,L5,O5,R5,U5,X5,AA5,AD5,AG5,AJ5,AM5,AP5,AS5,AV5,AY5,BB5,BE5,BH5,BK5,BN5,BQ5,BT5,BW5,BZ5,CC5,CF5,CI5,CL5,CO5,CR5), 0)</f>
        <v/>
      </c>
      <c r="CV5" s="16">
        <f>IFERROR(AVERAGE(G5,J5,M5,P5,S5,V5,Y5,AB5,AE5,AH5,AK5,AN5,AQ5,AT5,AW5,AZ5,BC5,BF5,BI5,BL5,BO5,BR5,BU5,BX5,CA5,CD5,CG5,CJ5,CM5,CP5,CS5), 0)</f>
        <v/>
      </c>
      <c r="CW5" s="16">
        <f>CU5*CV5</f>
        <v/>
      </c>
    </row>
    <row r="6" ht="15.75" customHeight="1">
      <c r="A6" s="41" t="inlineStr">
        <is>
          <t>Aluminio 300mts</t>
        </is>
      </c>
      <c r="B6" s="41" t="inlineStr">
        <is>
          <t>Pqte</t>
        </is>
      </c>
      <c r="C6" s="42" t="n"/>
      <c r="D6" s="43" t="n"/>
      <c r="E6" s="78">
        <f>IFERROR(+C6*D6, 0)</f>
        <v/>
      </c>
      <c r="F6" s="14" t="n"/>
      <c r="G6" s="15" t="n"/>
      <c r="H6" s="16">
        <f>IFERROR(F6*G6, 0)</f>
        <v/>
      </c>
      <c r="I6" s="14" t="n"/>
      <c r="J6" s="15" t="n"/>
      <c r="K6" s="16">
        <f>IFERROR(I6*J6, 0)</f>
        <v/>
      </c>
      <c r="L6" s="14" t="n"/>
      <c r="M6" s="15" t="n"/>
      <c r="N6" s="16">
        <f>IFERROR(L6*M6, 0)</f>
        <v/>
      </c>
      <c r="O6" s="14" t="n"/>
      <c r="P6" s="15" t="n"/>
      <c r="Q6" s="16">
        <f>IFERROR(O6*P6, 0)</f>
        <v/>
      </c>
      <c r="R6" s="14" t="n"/>
      <c r="S6" s="15" t="n"/>
      <c r="T6" s="16">
        <f>IFERROR(R6*S6, 0)</f>
        <v/>
      </c>
      <c r="U6" s="14" t="n"/>
      <c r="V6" s="15" t="n"/>
      <c r="W6" s="16">
        <f>IFERROR(U6*V6, 0)</f>
        <v/>
      </c>
      <c r="X6" s="14" t="n"/>
      <c r="Y6" s="15" t="n"/>
      <c r="Z6" s="16">
        <f>IFERROR(X6*Y6, 0)</f>
        <v/>
      </c>
      <c r="AA6" s="14" t="n"/>
      <c r="AB6" s="15" t="n"/>
      <c r="AC6" s="16">
        <f>IFERROR(AA6*AB6, 0)</f>
        <v/>
      </c>
      <c r="AD6" s="14" t="n"/>
      <c r="AE6" s="15" t="n"/>
      <c r="AF6" s="16">
        <f>IFERROR(AD6*AE6, 0)</f>
        <v/>
      </c>
      <c r="AG6" s="14" t="n"/>
      <c r="AH6" s="15" t="n"/>
      <c r="AI6" s="16">
        <f>IFERROR(AG6*AH6, 0)</f>
        <v/>
      </c>
      <c r="AJ6" s="14" t="n"/>
      <c r="AK6" s="15" t="n"/>
      <c r="AL6" s="16">
        <f>IFERROR(AJ6*AK6, 0)</f>
        <v/>
      </c>
      <c r="AM6" s="14" t="n"/>
      <c r="AN6" s="15" t="n"/>
      <c r="AO6" s="16">
        <f>IFERROR(AM6*AN6, 0)</f>
        <v/>
      </c>
      <c r="AP6" s="14" t="n"/>
      <c r="AQ6" s="15" t="n"/>
      <c r="AR6" s="16">
        <f>IFERROR(AP6*AQ6, 0)</f>
        <v/>
      </c>
      <c r="AS6" s="14" t="n"/>
      <c r="AT6" s="15" t="n"/>
      <c r="AU6" s="16">
        <f>IFERROR(AS6*AT6, 0)</f>
        <v/>
      </c>
      <c r="AV6" s="14" t="n"/>
      <c r="AW6" s="15" t="n"/>
      <c r="AX6" s="16">
        <f>IFERROR(AV6*AW6, 0)</f>
        <v/>
      </c>
      <c r="AY6" s="14" t="n"/>
      <c r="AZ6" s="15" t="n"/>
      <c r="BA6" s="16">
        <f>IFERROR(AY6*AZ6, 0)</f>
        <v/>
      </c>
      <c r="BB6" s="14" t="n"/>
      <c r="BC6" s="15" t="n"/>
      <c r="BD6" s="16">
        <f>IFERROR(BB6*BC6, 0)</f>
        <v/>
      </c>
      <c r="BE6" s="14" t="n"/>
      <c r="BF6" s="15" t="n"/>
      <c r="BG6" s="16">
        <f>IFERROR(BE6*BF6, 0)</f>
        <v/>
      </c>
      <c r="BH6" s="14" t="n"/>
      <c r="BI6" s="15" t="n"/>
      <c r="BJ6" s="16">
        <f>IFERROR(BH6*BI6, 0)</f>
        <v/>
      </c>
      <c r="BK6" s="14" t="n"/>
      <c r="BL6" s="15" t="n"/>
      <c r="BM6" s="16">
        <f>IFERROR(BK6*BL6, 0)</f>
        <v/>
      </c>
      <c r="BN6" s="14" t="n"/>
      <c r="BO6" s="15" t="n"/>
      <c r="BP6" s="16">
        <f>IFERROR(BN6*BO6, 0)</f>
        <v/>
      </c>
      <c r="BQ6" s="14" t="n"/>
      <c r="BR6" s="15" t="n"/>
      <c r="BS6" s="16">
        <f>IFERROR(BQ6*BR6, 0)</f>
        <v/>
      </c>
      <c r="BT6" s="14" t="n"/>
      <c r="BU6" s="15" t="n"/>
      <c r="BV6" s="16">
        <f>IFERROR(BT6*BU6, 0)</f>
        <v/>
      </c>
      <c r="BW6" s="14" t="n"/>
      <c r="BX6" s="15" t="n"/>
      <c r="BY6" s="16">
        <f>IFERROR(BW6*BX6, 0)</f>
        <v/>
      </c>
      <c r="BZ6" s="14" t="n"/>
      <c r="CA6" s="15" t="n"/>
      <c r="CB6" s="16">
        <f>IFERROR(BZ6*CA6, 0)</f>
        <v/>
      </c>
      <c r="CC6" s="14" t="n"/>
      <c r="CD6" s="15" t="n"/>
      <c r="CE6" s="16">
        <f>IFERROR(CC6*CD6, 0)</f>
        <v/>
      </c>
      <c r="CF6" s="14" t="n"/>
      <c r="CG6" s="15" t="n"/>
      <c r="CH6" s="16">
        <f>IFERROR(CF6*CG6, 0)</f>
        <v/>
      </c>
      <c r="CI6" s="14" t="n"/>
      <c r="CJ6" s="15" t="n"/>
      <c r="CK6" s="16">
        <f>IFERROR(CI6*CJ6, 0)</f>
        <v/>
      </c>
      <c r="CL6" s="14" t="n"/>
      <c r="CM6" s="15" t="n"/>
      <c r="CN6" s="16">
        <f>IFERROR(CL6*CM6, 0)</f>
        <v/>
      </c>
      <c r="CO6" s="14" t="n"/>
      <c r="CP6" s="15" t="n"/>
      <c r="CQ6" s="16">
        <f>IFERROR(CO6*CP6, 0)</f>
        <v/>
      </c>
      <c r="CR6" s="14" t="n"/>
      <c r="CS6" s="15" t="n"/>
      <c r="CT6" s="16">
        <f>IFERROR(CR6*CS6, 0)</f>
        <v/>
      </c>
      <c r="CU6" s="17">
        <f>IFERROR(SUM(F6,I6,L6,O6,R6,U6,X6,AA6,AD6,AG6,AJ6,AM6,AP6,AS6,AV6,AY6,BB6,BE6,BH6,BK6,BN6,BQ6,BT6,BW6,BZ6,CC6,CF6,CI6,CL6,CO6,CR6), 0)</f>
        <v/>
      </c>
      <c r="CV6" s="16">
        <f>IFERROR(AVERAGE(G6,J6,M6,P6,S6,V6,Y6,AB6,AE6,AH6,AK6,AN6,AQ6,AT6,AW6,AZ6,BC6,BF6,BI6,BL6,BO6,BR6,BU6,BX6,CA6,CD6,CG6,CJ6,CM6,CP6,CS6), 0)</f>
        <v/>
      </c>
      <c r="CW6" s="16">
        <f>CU6*CV6</f>
        <v/>
      </c>
    </row>
    <row r="7" ht="15.75" customHeight="1">
      <c r="A7" s="41" t="inlineStr">
        <is>
          <t>Ambientador</t>
        </is>
      </c>
      <c r="B7" s="41" t="inlineStr">
        <is>
          <t>Gal</t>
        </is>
      </c>
      <c r="C7" s="42" t="n"/>
      <c r="D7" s="43" t="n"/>
      <c r="E7" s="78">
        <f>IFERROR(+C7*D7, 0)</f>
        <v/>
      </c>
      <c r="F7" s="14" t="n"/>
      <c r="G7" s="15" t="n"/>
      <c r="H7" s="16">
        <f>IFERROR(F7*G7, 0)</f>
        <v/>
      </c>
      <c r="I7" s="14" t="n">
        <v>1</v>
      </c>
      <c r="J7" s="15" t="n">
        <v>15950</v>
      </c>
      <c r="K7" s="16" t="n">
        <v>15950</v>
      </c>
      <c r="L7" s="14" t="n"/>
      <c r="M7" s="15" t="n"/>
      <c r="N7" s="16">
        <f>IFERROR(L7*M7, 0)</f>
        <v/>
      </c>
      <c r="O7" s="14" t="n"/>
      <c r="P7" s="15" t="n"/>
      <c r="Q7" s="16">
        <f>IFERROR(O7*P7, 0)</f>
        <v/>
      </c>
      <c r="R7" s="14" t="n"/>
      <c r="S7" s="15" t="n"/>
      <c r="T7" s="16">
        <f>IFERROR(R7*S7, 0)</f>
        <v/>
      </c>
      <c r="U7" s="14" t="n"/>
      <c r="V7" s="15" t="n"/>
      <c r="W7" s="16">
        <f>IFERROR(U7*V7, 0)</f>
        <v/>
      </c>
      <c r="X7" s="14" t="n"/>
      <c r="Y7" s="15" t="n"/>
      <c r="Z7" s="16">
        <f>IFERROR(X7*Y7, 0)</f>
        <v/>
      </c>
      <c r="AA7" s="14" t="n"/>
      <c r="AB7" s="15" t="n"/>
      <c r="AC7" s="16">
        <f>IFERROR(AA7*AB7, 0)</f>
        <v/>
      </c>
      <c r="AD7" s="14" t="n"/>
      <c r="AE7" s="15" t="n"/>
      <c r="AF7" s="16">
        <f>IFERROR(AD7*AE7, 0)</f>
        <v/>
      </c>
      <c r="AG7" s="14" t="n">
        <v>1</v>
      </c>
      <c r="AH7" s="15" t="n">
        <v>15950</v>
      </c>
      <c r="AI7" s="16" t="n">
        <v>15950</v>
      </c>
      <c r="AJ7" s="14" t="n"/>
      <c r="AK7" s="15" t="n"/>
      <c r="AL7" s="16">
        <f>IFERROR(AJ7*AK7, 0)</f>
        <v/>
      </c>
      <c r="AM7" s="14" t="n"/>
      <c r="AN7" s="15" t="n"/>
      <c r="AO7" s="16">
        <f>IFERROR(AM7*AN7, 0)</f>
        <v/>
      </c>
      <c r="AP7" s="14" t="n"/>
      <c r="AQ7" s="15" t="n"/>
      <c r="AR7" s="16">
        <f>IFERROR(AP7*AQ7, 0)</f>
        <v/>
      </c>
      <c r="AS7" s="14" t="n"/>
      <c r="AT7" s="15" t="n"/>
      <c r="AU7" s="16">
        <f>IFERROR(AS7*AT7, 0)</f>
        <v/>
      </c>
      <c r="AV7" s="14" t="n"/>
      <c r="AW7" s="15" t="n"/>
      <c r="AX7" s="16">
        <f>IFERROR(AV7*AW7, 0)</f>
        <v/>
      </c>
      <c r="AY7" s="14" t="n"/>
      <c r="AZ7" s="15" t="n"/>
      <c r="BA7" s="16">
        <f>IFERROR(AY7*AZ7, 0)</f>
        <v/>
      </c>
      <c r="BB7" s="14" t="n"/>
      <c r="BC7" s="15" t="n"/>
      <c r="BD7" s="16">
        <f>IFERROR(BB7*BC7, 0)</f>
        <v/>
      </c>
      <c r="BE7" s="14" t="n">
        <v>1</v>
      </c>
      <c r="BF7" s="15" t="n">
        <v>15950</v>
      </c>
      <c r="BG7" s="16" t="n">
        <v>15950</v>
      </c>
      <c r="BH7" s="14" t="n"/>
      <c r="BI7" s="15" t="n"/>
      <c r="BJ7" s="16">
        <f>IFERROR(BH7*BI7, 0)</f>
        <v/>
      </c>
      <c r="BK7" s="14" t="n"/>
      <c r="BL7" s="15" t="n"/>
      <c r="BM7" s="16">
        <f>IFERROR(BK7*BL7, 0)</f>
        <v/>
      </c>
      <c r="BN7" s="14" t="n"/>
      <c r="BO7" s="15" t="n"/>
      <c r="BP7" s="16">
        <f>IFERROR(BN7*BO7, 0)</f>
        <v/>
      </c>
      <c r="BQ7" s="14" t="n"/>
      <c r="BR7" s="15" t="n"/>
      <c r="BS7" s="16">
        <f>IFERROR(BQ7*BR7, 0)</f>
        <v/>
      </c>
      <c r="BT7" s="14" t="n"/>
      <c r="BU7" s="15" t="n"/>
      <c r="BV7" s="16">
        <f>IFERROR(BT7*BU7, 0)</f>
        <v/>
      </c>
      <c r="BW7" s="14" t="n"/>
      <c r="BX7" s="15" t="n"/>
      <c r="BY7" s="16">
        <f>IFERROR(BW7*BX7, 0)</f>
        <v/>
      </c>
      <c r="BZ7" s="14" t="n"/>
      <c r="CA7" s="15" t="n"/>
      <c r="CB7" s="16">
        <f>IFERROR(BZ7*CA7, 0)</f>
        <v/>
      </c>
      <c r="CC7" s="14" t="n"/>
      <c r="CD7" s="15" t="n"/>
      <c r="CE7" s="16">
        <f>IFERROR(CC7*CD7, 0)</f>
        <v/>
      </c>
      <c r="CF7" s="14" t="n"/>
      <c r="CG7" s="15" t="n"/>
      <c r="CH7" s="16">
        <f>IFERROR(CF7*CG7, 0)</f>
        <v/>
      </c>
      <c r="CI7" s="14" t="n"/>
      <c r="CJ7" s="15" t="n"/>
      <c r="CK7" s="16">
        <f>IFERROR(CI7*CJ7, 0)</f>
        <v/>
      </c>
      <c r="CL7" s="14" t="n"/>
      <c r="CM7" s="15" t="n"/>
      <c r="CN7" s="16">
        <f>IFERROR(CL7*CM7, 0)</f>
        <v/>
      </c>
      <c r="CO7" s="14" t="n"/>
      <c r="CP7" s="15" t="n"/>
      <c r="CQ7" s="16">
        <f>IFERROR(CO7*CP7, 0)</f>
        <v/>
      </c>
      <c r="CR7" s="14" t="n"/>
      <c r="CS7" s="15" t="n"/>
      <c r="CT7" s="16">
        <f>IFERROR(CR7*CS7, 0)</f>
        <v/>
      </c>
      <c r="CU7" s="17">
        <f>IFERROR(SUM(F7,I7,L7,O7,R7,U7,X7,AA7,AD7,AG7,AJ7,AM7,AP7,AS7,AV7,AY7,BB7,BE7,BH7,BK7,BN7,BQ7,BT7,BW7,BZ7,CC7,CF7,CI7,CL7,CO7,CR7), 0)</f>
        <v/>
      </c>
      <c r="CV7" s="16">
        <f>IFERROR(AVERAGE(G7,J7,M7,P7,S7,V7,Y7,AB7,AE7,AH7,AK7,AN7,AQ7,AT7,AW7,AZ7,BC7,BF7,BI7,BL7,BO7,BR7,BU7,BX7,CA7,CD7,CG7,CJ7,CM7,CP7,CS7), 0)</f>
        <v/>
      </c>
      <c r="CW7" s="16">
        <f>CU7*CV7</f>
        <v/>
      </c>
    </row>
    <row r="8" ht="15.75" customHeight="1">
      <c r="A8" s="41" t="inlineStr">
        <is>
          <t>Aromaticasx 20</t>
        </is>
      </c>
      <c r="B8" s="41" t="inlineStr">
        <is>
          <t>Caja</t>
        </is>
      </c>
      <c r="C8" s="42" t="n"/>
      <c r="D8" s="43" t="n"/>
      <c r="E8" s="78">
        <f>IFERROR(+C8*D8, 0)</f>
        <v/>
      </c>
      <c r="F8" s="14" t="n"/>
      <c r="G8" s="15" t="n"/>
      <c r="H8" s="16">
        <f>IFERROR(F8*G8, 0)</f>
        <v/>
      </c>
      <c r="I8" s="14" t="n"/>
      <c r="J8" s="15" t="n"/>
      <c r="K8" s="16">
        <f>IFERROR(I8*J8, 0)</f>
        <v/>
      </c>
      <c r="L8" s="14" t="n"/>
      <c r="M8" s="15" t="n"/>
      <c r="N8" s="16">
        <f>IFERROR(L8*M8, 0)</f>
        <v/>
      </c>
      <c r="O8" s="14" t="n"/>
      <c r="P8" s="15" t="n"/>
      <c r="Q8" s="16">
        <f>IFERROR(O8*P8, 0)</f>
        <v/>
      </c>
      <c r="R8" s="14" t="n"/>
      <c r="S8" s="15" t="n"/>
      <c r="T8" s="16">
        <f>IFERROR(R8*S8, 0)</f>
        <v/>
      </c>
      <c r="U8" s="14" t="n"/>
      <c r="V8" s="15" t="n"/>
      <c r="W8" s="16">
        <f>IFERROR(U8*V8, 0)</f>
        <v/>
      </c>
      <c r="X8" s="14" t="n">
        <v>1</v>
      </c>
      <c r="Y8" s="15" t="n">
        <v>2500</v>
      </c>
      <c r="Z8" s="16" t="n">
        <v>2500</v>
      </c>
      <c r="AA8" s="14" t="n"/>
      <c r="AB8" s="15" t="n"/>
      <c r="AC8" s="16">
        <f>IFERROR(AA8*AB8, 0)</f>
        <v/>
      </c>
      <c r="AD8" s="14" t="n"/>
      <c r="AE8" s="15" t="n"/>
      <c r="AF8" s="16">
        <f>IFERROR(AD8*AE8, 0)</f>
        <v/>
      </c>
      <c r="AG8" s="14" t="n"/>
      <c r="AH8" s="15" t="n"/>
      <c r="AI8" s="16">
        <f>IFERROR(AG8*AH8, 0)</f>
        <v/>
      </c>
      <c r="AJ8" s="14" t="n"/>
      <c r="AK8" s="15" t="n"/>
      <c r="AL8" s="16">
        <f>IFERROR(AJ8*AK8, 0)</f>
        <v/>
      </c>
      <c r="AM8" s="14" t="n"/>
      <c r="AN8" s="15" t="n"/>
      <c r="AO8" s="16">
        <f>IFERROR(AM8*AN8, 0)</f>
        <v/>
      </c>
      <c r="AP8" s="14" t="n"/>
      <c r="AQ8" s="15" t="n"/>
      <c r="AR8" s="16">
        <f>IFERROR(AP8*AQ8, 0)</f>
        <v/>
      </c>
      <c r="AS8" s="14" t="n"/>
      <c r="AT8" s="15" t="n"/>
      <c r="AU8" s="16">
        <f>IFERROR(AS8*AT8, 0)</f>
        <v/>
      </c>
      <c r="AV8" s="14" t="n"/>
      <c r="AW8" s="15" t="n"/>
      <c r="AX8" s="16">
        <f>IFERROR(AV8*AW8, 0)</f>
        <v/>
      </c>
      <c r="AY8" s="14" t="n"/>
      <c r="AZ8" s="15" t="n"/>
      <c r="BA8" s="16">
        <f>IFERROR(AY8*AZ8, 0)</f>
        <v/>
      </c>
      <c r="BB8" s="14" t="n"/>
      <c r="BC8" s="15" t="n"/>
      <c r="BD8" s="16">
        <f>IFERROR(BB8*BC8, 0)</f>
        <v/>
      </c>
      <c r="BE8" s="14" t="n"/>
      <c r="BF8" s="15" t="n"/>
      <c r="BG8" s="16">
        <f>IFERROR(BE8*BF8, 0)</f>
        <v/>
      </c>
      <c r="BH8" s="14" t="n"/>
      <c r="BI8" s="15" t="n"/>
      <c r="BJ8" s="16">
        <f>IFERROR(BH8*BI8, 0)</f>
        <v/>
      </c>
      <c r="BK8" s="14" t="n"/>
      <c r="BL8" s="15" t="n"/>
      <c r="BM8" s="16">
        <f>IFERROR(BK8*BL8, 0)</f>
        <v/>
      </c>
      <c r="BN8" s="14" t="n"/>
      <c r="BO8" s="15" t="n"/>
      <c r="BP8" s="16">
        <f>IFERROR(BN8*BO8, 0)</f>
        <v/>
      </c>
      <c r="BQ8" s="14" t="n"/>
      <c r="BR8" s="15" t="n"/>
      <c r="BS8" s="16">
        <f>IFERROR(BQ8*BR8, 0)</f>
        <v/>
      </c>
      <c r="BT8" s="14" t="n"/>
      <c r="BU8" s="15" t="n"/>
      <c r="BV8" s="16">
        <f>IFERROR(BT8*BU8, 0)</f>
        <v/>
      </c>
      <c r="BW8" s="14" t="n"/>
      <c r="BX8" s="15" t="n"/>
      <c r="BY8" s="16">
        <f>IFERROR(BW8*BX8, 0)</f>
        <v/>
      </c>
      <c r="BZ8" s="14" t="n"/>
      <c r="CA8" s="15" t="n"/>
      <c r="CB8" s="16">
        <f>IFERROR(BZ8*CA8, 0)</f>
        <v/>
      </c>
      <c r="CC8" s="14" t="n"/>
      <c r="CD8" s="15" t="n"/>
      <c r="CE8" s="16">
        <f>IFERROR(CC8*CD8, 0)</f>
        <v/>
      </c>
      <c r="CF8" s="14" t="n"/>
      <c r="CG8" s="15" t="n"/>
      <c r="CH8" s="16">
        <f>IFERROR(CF8*CG8, 0)</f>
        <v/>
      </c>
      <c r="CI8" s="14" t="n"/>
      <c r="CJ8" s="15" t="n"/>
      <c r="CK8" s="16">
        <f>IFERROR(CI8*CJ8, 0)</f>
        <v/>
      </c>
      <c r="CL8" s="14" t="n"/>
      <c r="CM8" s="15" t="n"/>
      <c r="CN8" s="16">
        <f>IFERROR(CL8*CM8, 0)</f>
        <v/>
      </c>
      <c r="CO8" s="14" t="n"/>
      <c r="CP8" s="15" t="n"/>
      <c r="CQ8" s="16">
        <f>IFERROR(CO8*CP8, 0)</f>
        <v/>
      </c>
      <c r="CR8" s="14" t="n"/>
      <c r="CS8" s="15" t="n"/>
      <c r="CT8" s="16">
        <f>IFERROR(CR8*CS8, 0)</f>
        <v/>
      </c>
      <c r="CU8" s="17">
        <f>IFERROR(SUM(F8,I8,L8,O8,R8,U8,X8,AA8,AD8,AG8,AJ8,AM8,AP8,AS8,AV8,AY8,BB8,BE8,BH8,BK8,BN8,BQ8,BT8,BW8,BZ8,CC8,CF8,CI8,CL8,CO8,CR8), 0)</f>
        <v/>
      </c>
      <c r="CV8" s="16">
        <f>IFERROR(AVERAGE(G8,J8,M8,P8,S8,V8,Y8,AB8,AE8,AH8,AK8,AN8,AQ8,AT8,AW8,AZ8,BC8,BF8,BI8,BL8,BO8,BR8,BU8,BX8,CA8,CD8,CG8,CJ8,CM8,CP8,CS8), 0)</f>
        <v/>
      </c>
      <c r="CW8" s="16">
        <f>CU8*CV8</f>
        <v/>
      </c>
    </row>
    <row r="9" ht="15.75" customHeight="1">
      <c r="A9" s="41" t="inlineStr">
        <is>
          <t>Azucar sobre x 200</t>
        </is>
      </c>
      <c r="B9" s="41" t="inlineStr">
        <is>
          <t>Pqte</t>
        </is>
      </c>
      <c r="C9" s="42" t="n"/>
      <c r="D9" s="43" t="n"/>
      <c r="E9" s="78">
        <f>IFERROR(+C9*D9, 0)</f>
        <v/>
      </c>
      <c r="F9" s="14" t="n">
        <v>1</v>
      </c>
      <c r="G9" s="15" t="n">
        <v>8400</v>
      </c>
      <c r="H9" s="16" t="n">
        <v>8400</v>
      </c>
      <c r="I9" s="14" t="n">
        <v>2</v>
      </c>
      <c r="J9" s="15" t="n">
        <v>8400</v>
      </c>
      <c r="K9" s="16" t="n">
        <v>16800</v>
      </c>
      <c r="L9" s="14" t="n"/>
      <c r="M9" s="15" t="n"/>
      <c r="N9" s="16">
        <f>IFERROR(L9*M9, 0)</f>
        <v/>
      </c>
      <c r="O9" s="14" t="n"/>
      <c r="P9" s="15" t="n"/>
      <c r="Q9" s="16">
        <f>IFERROR(O9*P9, 0)</f>
        <v/>
      </c>
      <c r="R9" s="14" t="n"/>
      <c r="S9" s="15" t="n"/>
      <c r="T9" s="16">
        <f>IFERROR(R9*S9, 0)</f>
        <v/>
      </c>
      <c r="U9" s="14" t="n"/>
      <c r="V9" s="15" t="n"/>
      <c r="W9" s="16">
        <f>IFERROR(U9*V9, 0)</f>
        <v/>
      </c>
      <c r="X9" s="14" t="n">
        <v>2</v>
      </c>
      <c r="Y9" s="15" t="n">
        <v>8400</v>
      </c>
      <c r="Z9" s="16" t="n">
        <v>16800</v>
      </c>
      <c r="AA9" s="14" t="n"/>
      <c r="AB9" s="15" t="n"/>
      <c r="AC9" s="16">
        <f>IFERROR(AA9*AB9, 0)</f>
        <v/>
      </c>
      <c r="AD9" s="14" t="n"/>
      <c r="AE9" s="15" t="n"/>
      <c r="AF9" s="16">
        <f>IFERROR(AD9*AE9, 0)</f>
        <v/>
      </c>
      <c r="AG9" s="14" t="n"/>
      <c r="AH9" s="15" t="n"/>
      <c r="AI9" s="16">
        <f>IFERROR(AG9*AH9, 0)</f>
        <v/>
      </c>
      <c r="AJ9" s="14" t="n"/>
      <c r="AK9" s="15" t="n"/>
      <c r="AL9" s="16">
        <f>IFERROR(AJ9*AK9, 0)</f>
        <v/>
      </c>
      <c r="AM9" s="14" t="n"/>
      <c r="AN9" s="15" t="n"/>
      <c r="AO9" s="16">
        <f>IFERROR(AM9*AN9, 0)</f>
        <v/>
      </c>
      <c r="AP9" s="14" t="n"/>
      <c r="AQ9" s="15" t="n"/>
      <c r="AR9" s="16">
        <f>IFERROR(AP9*AQ9, 0)</f>
        <v/>
      </c>
      <c r="AS9" s="14" t="n"/>
      <c r="AT9" s="15" t="n"/>
      <c r="AU9" s="16">
        <f>IFERROR(AS9*AT9, 0)</f>
        <v/>
      </c>
      <c r="AV9" s="14" t="n"/>
      <c r="AW9" s="15" t="n"/>
      <c r="AX9" s="16">
        <f>IFERROR(AV9*AW9, 0)</f>
        <v/>
      </c>
      <c r="AY9" s="14" t="n"/>
      <c r="AZ9" s="15" t="n"/>
      <c r="BA9" s="16">
        <f>IFERROR(AY9*AZ9, 0)</f>
        <v/>
      </c>
      <c r="BB9" s="14" t="n"/>
      <c r="BC9" s="15" t="n"/>
      <c r="BD9" s="16">
        <f>IFERROR(BB9*BC9, 0)</f>
        <v/>
      </c>
      <c r="BE9" s="14" t="n">
        <v>2</v>
      </c>
      <c r="BF9" s="15" t="n">
        <v>8400</v>
      </c>
      <c r="BG9" s="16" t="n">
        <v>16800</v>
      </c>
      <c r="BH9" s="14" t="n"/>
      <c r="BI9" s="15" t="n"/>
      <c r="BJ9" s="16">
        <f>IFERROR(BH9*BI9, 0)</f>
        <v/>
      </c>
      <c r="BK9" s="14" t="n"/>
      <c r="BL9" s="15" t="n"/>
      <c r="BM9" s="16">
        <f>IFERROR(BK9*BL9, 0)</f>
        <v/>
      </c>
      <c r="BN9" s="14" t="n"/>
      <c r="BO9" s="15" t="n"/>
      <c r="BP9" s="16">
        <f>IFERROR(BN9*BO9, 0)</f>
        <v/>
      </c>
      <c r="BQ9" s="14" t="n">
        <v>2</v>
      </c>
      <c r="BR9" s="15" t="n">
        <v>8400</v>
      </c>
      <c r="BS9" s="16" t="n">
        <v>16800</v>
      </c>
      <c r="BT9" s="14" t="n"/>
      <c r="BU9" s="15" t="n"/>
      <c r="BV9" s="16">
        <f>IFERROR(BT9*BU9, 0)</f>
        <v/>
      </c>
      <c r="BW9" s="14" t="n"/>
      <c r="BX9" s="15" t="n"/>
      <c r="BY9" s="16">
        <f>IFERROR(BW9*BX9, 0)</f>
        <v/>
      </c>
      <c r="BZ9" s="14" t="n"/>
      <c r="CA9" s="15" t="n"/>
      <c r="CB9" s="16">
        <f>IFERROR(BZ9*CA9, 0)</f>
        <v/>
      </c>
      <c r="CC9" s="14" t="n"/>
      <c r="CD9" s="15" t="n"/>
      <c r="CE9" s="16">
        <f>IFERROR(CC9*CD9, 0)</f>
        <v/>
      </c>
      <c r="CF9" s="14" t="n"/>
      <c r="CG9" s="15" t="n"/>
      <c r="CH9" s="16">
        <f>IFERROR(CF9*CG9, 0)</f>
        <v/>
      </c>
      <c r="CI9" s="14" t="n"/>
      <c r="CJ9" s="15" t="n"/>
      <c r="CK9" s="16">
        <f>IFERROR(CI9*CJ9, 0)</f>
        <v/>
      </c>
      <c r="CL9" s="14" t="n"/>
      <c r="CM9" s="15" t="n"/>
      <c r="CN9" s="16">
        <f>IFERROR(CL9*CM9, 0)</f>
        <v/>
      </c>
      <c r="CO9" s="14" t="n"/>
      <c r="CP9" s="15" t="n"/>
      <c r="CQ9" s="16">
        <f>IFERROR(CO9*CP9, 0)</f>
        <v/>
      </c>
      <c r="CR9" s="14" t="n"/>
      <c r="CS9" s="15" t="n"/>
      <c r="CT9" s="16">
        <f>IFERROR(CR9*CS9, 0)</f>
        <v/>
      </c>
      <c r="CU9" s="17">
        <f>IFERROR(SUM(F9,I9,L9,O9,R9,U9,X9,AA9,AD9,AG9,AJ9,AM9,AP9,AS9,AV9,AY9,BB9,BE9,BH9,BK9,BN9,BQ9,BT9,BW9,BZ9,CC9,CF9,CI9,CL9,CO9,CR9), 0)</f>
        <v/>
      </c>
      <c r="CV9" s="16">
        <f>IFERROR(AVERAGE(G9,J9,M9,P9,S9,V9,Y9,AB9,AE9,AH9,AK9,AN9,AQ9,AT9,AW9,AZ9,BC9,BF9,BI9,BL9,BO9,BR9,BU9,BX9,CA9,CD9,CG9,CJ9,CM9,CP9,CS9), 0)</f>
        <v/>
      </c>
      <c r="CW9" s="16">
        <f>CU9*CV9</f>
        <v/>
      </c>
    </row>
    <row r="10" ht="15.75" customHeight="1">
      <c r="A10" s="41" t="inlineStr">
        <is>
          <t>Bananas x 24</t>
        </is>
      </c>
      <c r="B10" s="41" t="inlineStr">
        <is>
          <t>Pqte</t>
        </is>
      </c>
      <c r="C10" s="42" t="n"/>
      <c r="D10" s="43" t="n"/>
      <c r="E10" s="78">
        <f>IFERROR(+C10*D10, 0)</f>
        <v/>
      </c>
      <c r="F10" s="14" t="n"/>
      <c r="G10" s="15" t="n"/>
      <c r="H10" s="16">
        <f>IFERROR(F10*G10, 0)</f>
        <v/>
      </c>
      <c r="I10" s="14" t="n">
        <v>5</v>
      </c>
      <c r="J10" s="15" t="n">
        <v>6650</v>
      </c>
      <c r="K10" s="16" t="n">
        <v>33250</v>
      </c>
      <c r="L10" s="14" t="n"/>
      <c r="M10" s="15" t="n"/>
      <c r="N10" s="16">
        <f>IFERROR(L10*M10, 0)</f>
        <v/>
      </c>
      <c r="O10" s="14" t="n"/>
      <c r="P10" s="15" t="n"/>
      <c r="Q10" s="16">
        <f>IFERROR(O10*P10, 0)</f>
        <v/>
      </c>
      <c r="R10" s="14" t="n"/>
      <c r="S10" s="15" t="n"/>
      <c r="T10" s="16">
        <f>IFERROR(R10*S10, 0)</f>
        <v/>
      </c>
      <c r="U10" s="14" t="n"/>
      <c r="V10" s="15" t="n"/>
      <c r="W10" s="16">
        <f>IFERROR(U10*V10, 0)</f>
        <v/>
      </c>
      <c r="X10" s="14" t="n">
        <v>5</v>
      </c>
      <c r="Y10" s="15" t="n">
        <v>6650</v>
      </c>
      <c r="Z10" s="16" t="n">
        <v>33250</v>
      </c>
      <c r="AA10" s="14" t="n"/>
      <c r="AB10" s="15" t="n"/>
      <c r="AC10" s="16">
        <f>IFERROR(AA10*AB10, 0)</f>
        <v/>
      </c>
      <c r="AD10" s="14" t="n"/>
      <c r="AE10" s="15" t="n"/>
      <c r="AF10" s="16">
        <f>IFERROR(AD10*AE10, 0)</f>
        <v/>
      </c>
      <c r="AG10" s="14" t="n"/>
      <c r="AH10" s="15" t="n"/>
      <c r="AI10" s="16">
        <f>IFERROR(AG10*AH10, 0)</f>
        <v/>
      </c>
      <c r="AJ10" s="14" t="n"/>
      <c r="AK10" s="15" t="n"/>
      <c r="AL10" s="16">
        <f>IFERROR(AJ10*AK10, 0)</f>
        <v/>
      </c>
      <c r="AM10" s="14" t="n"/>
      <c r="AN10" s="15" t="n"/>
      <c r="AO10" s="16">
        <f>IFERROR(AM10*AN10, 0)</f>
        <v/>
      </c>
      <c r="AP10" s="14" t="n"/>
      <c r="AQ10" s="15" t="n"/>
      <c r="AR10" s="16">
        <f>IFERROR(AP10*AQ10, 0)</f>
        <v/>
      </c>
      <c r="AS10" s="14" t="n"/>
      <c r="AT10" s="15" t="n"/>
      <c r="AU10" s="16">
        <f>IFERROR(AS10*AT10, 0)</f>
        <v/>
      </c>
      <c r="AV10" s="14" t="n"/>
      <c r="AW10" s="15" t="n"/>
      <c r="AX10" s="16">
        <f>IFERROR(AV10*AW10, 0)</f>
        <v/>
      </c>
      <c r="AY10" s="14" t="n"/>
      <c r="AZ10" s="15" t="n"/>
      <c r="BA10" s="16">
        <f>IFERROR(AY10*AZ10, 0)</f>
        <v/>
      </c>
      <c r="BB10" s="14" t="n"/>
      <c r="BC10" s="15" t="n"/>
      <c r="BD10" s="16">
        <f>IFERROR(BB10*BC10, 0)</f>
        <v/>
      </c>
      <c r="BE10" s="14" t="n"/>
      <c r="BF10" s="15" t="n"/>
      <c r="BG10" s="16">
        <f>IFERROR(BE10*BF10, 0)</f>
        <v/>
      </c>
      <c r="BH10" s="14" t="n"/>
      <c r="BI10" s="15" t="n"/>
      <c r="BJ10" s="16">
        <f>IFERROR(BH10*BI10, 0)</f>
        <v/>
      </c>
      <c r="BK10" s="14" t="n"/>
      <c r="BL10" s="15" t="n"/>
      <c r="BM10" s="16">
        <f>IFERROR(BK10*BL10, 0)</f>
        <v/>
      </c>
      <c r="BN10" s="14" t="n"/>
      <c r="BO10" s="15" t="n"/>
      <c r="BP10" s="16">
        <f>IFERROR(BN10*BO10, 0)</f>
        <v/>
      </c>
      <c r="BQ10" s="14" t="n">
        <v>5</v>
      </c>
      <c r="BR10" s="15" t="n">
        <v>6650</v>
      </c>
      <c r="BS10" s="16" t="n">
        <v>33250</v>
      </c>
      <c r="BT10" s="14" t="n"/>
      <c r="BU10" s="15" t="n"/>
      <c r="BV10" s="16">
        <f>IFERROR(BT10*BU10, 0)</f>
        <v/>
      </c>
      <c r="BW10" s="14" t="n"/>
      <c r="BX10" s="15" t="n"/>
      <c r="BY10" s="16">
        <f>IFERROR(BW10*BX10, 0)</f>
        <v/>
      </c>
      <c r="BZ10" s="14" t="n"/>
      <c r="CA10" s="15" t="n"/>
      <c r="CB10" s="16">
        <f>IFERROR(BZ10*CA10, 0)</f>
        <v/>
      </c>
      <c r="CC10" s="14" t="n"/>
      <c r="CD10" s="15" t="n"/>
      <c r="CE10" s="16">
        <f>IFERROR(CC10*CD10, 0)</f>
        <v/>
      </c>
      <c r="CF10" s="14" t="n"/>
      <c r="CG10" s="15" t="n"/>
      <c r="CH10" s="16">
        <f>IFERROR(CF10*CG10, 0)</f>
        <v/>
      </c>
      <c r="CI10" s="14" t="n"/>
      <c r="CJ10" s="15" t="n"/>
      <c r="CK10" s="16">
        <f>IFERROR(CI10*CJ10, 0)</f>
        <v/>
      </c>
      <c r="CL10" s="14" t="n"/>
      <c r="CM10" s="15" t="n"/>
      <c r="CN10" s="16">
        <f>IFERROR(CL10*CM10, 0)</f>
        <v/>
      </c>
      <c r="CO10" s="14" t="n"/>
      <c r="CP10" s="15" t="n"/>
      <c r="CQ10" s="16">
        <f>IFERROR(CO10*CP10, 0)</f>
        <v/>
      </c>
      <c r="CR10" s="14" t="n"/>
      <c r="CS10" s="15" t="n"/>
      <c r="CT10" s="16">
        <f>IFERROR(CR10*CS10, 0)</f>
        <v/>
      </c>
      <c r="CU10" s="17">
        <f>IFERROR(SUM(F10,I10,L10,O10,R10,U10,X10,AA10,AD10,AG10,AJ10,AM10,AP10,AS10,AV10,AY10,BB10,BE10,BH10,BK10,BN10,BQ10,BT10,BW10,BZ10,CC10,CF10,CI10,CL10,CO10,CR10), 0)</f>
        <v/>
      </c>
      <c r="CV10" s="16">
        <f>IFERROR(AVERAGE(G10,J10,M10,P10,S10,V10,Y10,AB10,AE10,AH10,AK10,AN10,AQ10,AT10,AW10,AZ10,BC10,BF10,BI10,BL10,BO10,BR10,BU10,BX10,CA10,CD10,CG10,CJ10,CM10,CP10,CS10), 0)</f>
        <v/>
      </c>
      <c r="CW10" s="16">
        <f>CU10*CV10</f>
        <v/>
      </c>
    </row>
    <row r="11" ht="15.75" customHeight="1">
      <c r="A11" s="41" t="inlineStr">
        <is>
          <t>Base p3 negro</t>
        </is>
      </c>
      <c r="B11" s="41" t="inlineStr">
        <is>
          <t>Pqte</t>
        </is>
      </c>
      <c r="C11" s="42" t="n"/>
      <c r="D11" s="43" t="n"/>
      <c r="E11" s="78">
        <f>IFERROR(+C11*D11, 0)</f>
        <v/>
      </c>
      <c r="F11" s="14" t="n"/>
      <c r="G11" s="15" t="n"/>
      <c r="H11" s="16">
        <f>IFERROR(F11*G11, 0)</f>
        <v/>
      </c>
      <c r="I11" s="14" t="n"/>
      <c r="J11" s="15" t="n"/>
      <c r="K11" s="16">
        <f>IFERROR(I11*J11, 0)</f>
        <v/>
      </c>
      <c r="L11" s="14" t="n"/>
      <c r="M11" s="15" t="n"/>
      <c r="N11" s="16">
        <f>IFERROR(L11*M11, 0)</f>
        <v/>
      </c>
      <c r="O11" s="14" t="n"/>
      <c r="P11" s="15" t="n"/>
      <c r="Q11" s="16">
        <f>IFERROR(O11*P11, 0)</f>
        <v/>
      </c>
      <c r="R11" s="14" t="n"/>
      <c r="S11" s="15" t="n"/>
      <c r="T11" s="16">
        <f>IFERROR(R11*S11, 0)</f>
        <v/>
      </c>
      <c r="U11" s="14" t="n"/>
      <c r="V11" s="15" t="n"/>
      <c r="W11" s="16">
        <f>IFERROR(U11*V11, 0)</f>
        <v/>
      </c>
      <c r="X11" s="14" t="n"/>
      <c r="Y11" s="15" t="n"/>
      <c r="Z11" s="16">
        <f>IFERROR(X11*Y11, 0)</f>
        <v/>
      </c>
      <c r="AA11" s="14" t="n"/>
      <c r="AB11" s="15" t="n"/>
      <c r="AC11" s="16">
        <f>IFERROR(AA11*AB11, 0)</f>
        <v/>
      </c>
      <c r="AD11" s="14" t="n"/>
      <c r="AE11" s="15" t="n"/>
      <c r="AF11" s="16">
        <f>IFERROR(AD11*AE11, 0)</f>
        <v/>
      </c>
      <c r="AG11" s="14" t="n">
        <v>80</v>
      </c>
      <c r="AH11" s="15" t="n">
        <v>1400</v>
      </c>
      <c r="AI11" s="16" t="n">
        <v>112000</v>
      </c>
      <c r="AJ11" s="14" t="n"/>
      <c r="AK11" s="15" t="n"/>
      <c r="AL11" s="16">
        <f>IFERROR(AJ11*AK11, 0)</f>
        <v/>
      </c>
      <c r="AM11" s="14" t="n"/>
      <c r="AN11" s="15" t="n"/>
      <c r="AO11" s="16">
        <f>IFERROR(AM11*AN11, 0)</f>
        <v/>
      </c>
      <c r="AP11" s="14" t="n"/>
      <c r="AQ11" s="15" t="n"/>
      <c r="AR11" s="16">
        <f>IFERROR(AP11*AQ11, 0)</f>
        <v/>
      </c>
      <c r="AS11" s="14" t="n"/>
      <c r="AT11" s="15" t="n"/>
      <c r="AU11" s="16">
        <f>IFERROR(AS11*AT11, 0)</f>
        <v/>
      </c>
      <c r="AV11" s="14" t="n"/>
      <c r="AW11" s="15" t="n"/>
      <c r="AX11" s="16">
        <f>IFERROR(AV11*AW11, 0)</f>
        <v/>
      </c>
      <c r="AY11" s="14" t="n"/>
      <c r="AZ11" s="15" t="n"/>
      <c r="BA11" s="16">
        <f>IFERROR(AY11*AZ11, 0)</f>
        <v/>
      </c>
      <c r="BB11" s="14" t="n"/>
      <c r="BC11" s="15" t="n"/>
      <c r="BD11" s="16">
        <f>IFERROR(BB11*BC11, 0)</f>
        <v/>
      </c>
      <c r="BE11" s="14" t="n"/>
      <c r="BF11" s="15" t="n"/>
      <c r="BG11" s="16">
        <f>IFERROR(BE11*BF11, 0)</f>
        <v/>
      </c>
      <c r="BH11" s="14" t="n"/>
      <c r="BI11" s="15" t="n"/>
      <c r="BJ11" s="16">
        <f>IFERROR(BH11*BI11, 0)</f>
        <v/>
      </c>
      <c r="BK11" s="14" t="n"/>
      <c r="BL11" s="15" t="n"/>
      <c r="BM11" s="16">
        <f>IFERROR(BK11*BL11, 0)</f>
        <v/>
      </c>
      <c r="BN11" s="14" t="n"/>
      <c r="BO11" s="15" t="n"/>
      <c r="BP11" s="16">
        <f>IFERROR(BN11*BO11, 0)</f>
        <v/>
      </c>
      <c r="BQ11" s="14" t="n"/>
      <c r="BR11" s="15" t="n"/>
      <c r="BS11" s="16">
        <f>IFERROR(BQ11*BR11, 0)</f>
        <v/>
      </c>
      <c r="BT11" s="14" t="n"/>
      <c r="BU11" s="15" t="n"/>
      <c r="BV11" s="16">
        <f>IFERROR(BT11*BU11, 0)</f>
        <v/>
      </c>
      <c r="BW11" s="14" t="n"/>
      <c r="BX11" s="15" t="n"/>
      <c r="BY11" s="16">
        <f>IFERROR(BW11*BX11, 0)</f>
        <v/>
      </c>
      <c r="BZ11" s="14" t="n"/>
      <c r="CA11" s="15" t="n"/>
      <c r="CB11" s="16">
        <f>IFERROR(BZ11*CA11, 0)</f>
        <v/>
      </c>
      <c r="CC11" s="14" t="n"/>
      <c r="CD11" s="15" t="n"/>
      <c r="CE11" s="16">
        <f>IFERROR(CC11*CD11, 0)</f>
        <v/>
      </c>
      <c r="CF11" s="14" t="n"/>
      <c r="CG11" s="15" t="n"/>
      <c r="CH11" s="16">
        <f>IFERROR(CF11*CG11, 0)</f>
        <v/>
      </c>
      <c r="CI11" s="14" t="n"/>
      <c r="CJ11" s="15" t="n"/>
      <c r="CK11" s="16">
        <f>IFERROR(CI11*CJ11, 0)</f>
        <v/>
      </c>
      <c r="CL11" s="14" t="n"/>
      <c r="CM11" s="15" t="n"/>
      <c r="CN11" s="16">
        <f>IFERROR(CL11*CM11, 0)</f>
        <v/>
      </c>
      <c r="CO11" s="14" t="n"/>
      <c r="CP11" s="15" t="n"/>
      <c r="CQ11" s="16">
        <f>IFERROR(CO11*CP11, 0)</f>
        <v/>
      </c>
      <c r="CR11" s="14" t="n"/>
      <c r="CS11" s="15" t="n"/>
      <c r="CT11" s="16">
        <f>IFERROR(CR11*CS11, 0)</f>
        <v/>
      </c>
      <c r="CU11" s="17">
        <f>IFERROR(SUM(F11,I11,L11,O11,R11,U11,X11,AA11,AD11,AG11,AJ11,AM11,AP11,AS11,AV11,AY11,BB11,BE11,BH11,BK11,BN11,BQ11,BT11,BW11,BZ11,CC11,CF11,CI11,CL11,CO11,CR11), 0)</f>
        <v/>
      </c>
      <c r="CV11" s="16">
        <f>IFERROR(AVERAGE(G11,J11,M11,P11,S11,V11,Y11,AB11,AE11,AH11,AK11,AN11,AQ11,AT11,AW11,AZ11,BC11,BF11,BI11,BL11,BO11,BR11,BU11,BX11,CA11,CD11,CG11,CJ11,CM11,CP11,CS11), 0)</f>
        <v/>
      </c>
      <c r="CW11" s="16">
        <f>CU11*CV11</f>
        <v/>
      </c>
    </row>
    <row r="12" ht="15.75" customHeight="1">
      <c r="A12" s="41" t="inlineStr">
        <is>
          <t>Bolsa 7 x 12</t>
        </is>
      </c>
      <c r="B12" s="41" t="inlineStr">
        <is>
          <t>Pqte</t>
        </is>
      </c>
      <c r="C12" s="42" t="n"/>
      <c r="D12" s="43" t="n"/>
      <c r="E12" s="78">
        <f>IFERROR(+C12*D12, 0)</f>
        <v/>
      </c>
      <c r="F12" s="14" t="n"/>
      <c r="G12" s="15" t="n"/>
      <c r="H12" s="16">
        <f>IFERROR(F12*G12, 0)</f>
        <v/>
      </c>
      <c r="I12" s="14" t="n"/>
      <c r="J12" s="15" t="n"/>
      <c r="K12" s="16">
        <f>IFERROR(I12*J12, 0)</f>
        <v/>
      </c>
      <c r="L12" s="14" t="n"/>
      <c r="M12" s="15" t="n"/>
      <c r="N12" s="16">
        <f>IFERROR(L12*M12, 0)</f>
        <v/>
      </c>
      <c r="O12" s="14" t="n"/>
      <c r="P12" s="15" t="n"/>
      <c r="Q12" s="16">
        <f>IFERROR(O12*P12, 0)</f>
        <v/>
      </c>
      <c r="R12" s="14" t="n"/>
      <c r="S12" s="15" t="n"/>
      <c r="T12" s="16">
        <f>IFERROR(R12*S12, 0)</f>
        <v/>
      </c>
      <c r="U12" s="14" t="n"/>
      <c r="V12" s="15" t="n"/>
      <c r="W12" s="16">
        <f>IFERROR(U12*V12, 0)</f>
        <v/>
      </c>
      <c r="X12" s="14" t="n"/>
      <c r="Y12" s="15" t="n"/>
      <c r="Z12" s="16">
        <f>IFERROR(X12*Y12, 0)</f>
        <v/>
      </c>
      <c r="AA12" s="14" t="n"/>
      <c r="AB12" s="15" t="n"/>
      <c r="AC12" s="16">
        <f>IFERROR(AA12*AB12, 0)</f>
        <v/>
      </c>
      <c r="AD12" s="14" t="n"/>
      <c r="AE12" s="15" t="n"/>
      <c r="AF12" s="16">
        <f>IFERROR(AD12*AE12, 0)</f>
        <v/>
      </c>
      <c r="AG12" s="14" t="n"/>
      <c r="AH12" s="15" t="n"/>
      <c r="AI12" s="16">
        <f>IFERROR(AG12*AH12, 0)</f>
        <v/>
      </c>
      <c r="AJ12" s="14" t="n"/>
      <c r="AK12" s="15" t="n"/>
      <c r="AL12" s="16">
        <f>IFERROR(AJ12*AK12, 0)</f>
        <v/>
      </c>
      <c r="AM12" s="14" t="n"/>
      <c r="AN12" s="15" t="n"/>
      <c r="AO12" s="16">
        <f>IFERROR(AM12*AN12, 0)</f>
        <v/>
      </c>
      <c r="AP12" s="14" t="n"/>
      <c r="AQ12" s="15" t="n"/>
      <c r="AR12" s="16">
        <f>IFERROR(AP12*AQ12, 0)</f>
        <v/>
      </c>
      <c r="AS12" s="14" t="n"/>
      <c r="AT12" s="15" t="n"/>
      <c r="AU12" s="16">
        <f>IFERROR(AS12*AT12, 0)</f>
        <v/>
      </c>
      <c r="AV12" s="14" t="n"/>
      <c r="AW12" s="15" t="n"/>
      <c r="AX12" s="16">
        <f>IFERROR(AV12*AW12, 0)</f>
        <v/>
      </c>
      <c r="AY12" s="14" t="n"/>
      <c r="AZ12" s="15" t="n"/>
      <c r="BA12" s="16">
        <f>IFERROR(AY12*AZ12, 0)</f>
        <v/>
      </c>
      <c r="BB12" s="14" t="n"/>
      <c r="BC12" s="15" t="n"/>
      <c r="BD12" s="16">
        <f>IFERROR(BB12*BC12, 0)</f>
        <v/>
      </c>
      <c r="BE12" s="14" t="n"/>
      <c r="BF12" s="15" t="n"/>
      <c r="BG12" s="16">
        <f>IFERROR(BE12*BF12, 0)</f>
        <v/>
      </c>
      <c r="BH12" s="14" t="n"/>
      <c r="BI12" s="15" t="n"/>
      <c r="BJ12" s="16">
        <f>IFERROR(BH12*BI12, 0)</f>
        <v/>
      </c>
      <c r="BK12" s="14" t="n"/>
      <c r="BL12" s="15" t="n"/>
      <c r="BM12" s="16">
        <f>IFERROR(BK12*BL12, 0)</f>
        <v/>
      </c>
      <c r="BN12" s="14" t="n"/>
      <c r="BO12" s="15" t="n"/>
      <c r="BP12" s="16">
        <f>IFERROR(BN12*BO12, 0)</f>
        <v/>
      </c>
      <c r="BQ12" s="14" t="n"/>
      <c r="BR12" s="15" t="n"/>
      <c r="BS12" s="16">
        <f>IFERROR(BQ12*BR12, 0)</f>
        <v/>
      </c>
      <c r="BT12" s="14" t="n"/>
      <c r="BU12" s="15" t="n"/>
      <c r="BV12" s="16">
        <f>IFERROR(BT12*BU12, 0)</f>
        <v/>
      </c>
      <c r="BW12" s="14" t="n"/>
      <c r="BX12" s="15" t="n"/>
      <c r="BY12" s="16">
        <f>IFERROR(BW12*BX12, 0)</f>
        <v/>
      </c>
      <c r="BZ12" s="14" t="n"/>
      <c r="CA12" s="15" t="n"/>
      <c r="CB12" s="16">
        <f>IFERROR(BZ12*CA12, 0)</f>
        <v/>
      </c>
      <c r="CC12" s="14" t="n"/>
      <c r="CD12" s="15" t="n"/>
      <c r="CE12" s="16">
        <f>IFERROR(CC12*CD12, 0)</f>
        <v/>
      </c>
      <c r="CF12" s="14" t="n"/>
      <c r="CG12" s="15" t="n"/>
      <c r="CH12" s="16">
        <f>IFERROR(CF12*CG12, 0)</f>
        <v/>
      </c>
      <c r="CI12" s="14" t="n"/>
      <c r="CJ12" s="15" t="n"/>
      <c r="CK12" s="16">
        <f>IFERROR(CI12*CJ12, 0)</f>
        <v/>
      </c>
      <c r="CL12" s="14" t="n"/>
      <c r="CM12" s="15" t="n"/>
      <c r="CN12" s="16">
        <f>IFERROR(CL12*CM12, 0)</f>
        <v/>
      </c>
      <c r="CO12" s="14" t="n"/>
      <c r="CP12" s="15" t="n"/>
      <c r="CQ12" s="16">
        <f>IFERROR(CO12*CP12, 0)</f>
        <v/>
      </c>
      <c r="CR12" s="14" t="n"/>
      <c r="CS12" s="15" t="n"/>
      <c r="CT12" s="16">
        <f>IFERROR(CR12*CS12, 0)</f>
        <v/>
      </c>
      <c r="CU12" s="17">
        <f>IFERROR(SUM(F12,I12,L12,O12,R12,U12,X12,AA12,AD12,AG12,AJ12,AM12,AP12,AS12,AV12,AY12,BB12,BE12,BH12,BK12,BN12,BQ12,BT12,BW12,BZ12,CC12,CF12,CI12,CL12,CO12,CR12), 0)</f>
        <v/>
      </c>
      <c r="CV12" s="16">
        <f>IFERROR(AVERAGE(G12,J12,M12,P12,S12,V12,Y12,AB12,AE12,AH12,AK12,AN12,AQ12,AT12,AW12,AZ12,BC12,BF12,BI12,BL12,BO12,BR12,BU12,BX12,CA12,CD12,CG12,CJ12,CM12,CP12,CS12), 0)</f>
        <v/>
      </c>
      <c r="CW12" s="16">
        <f>CU12*CV12</f>
        <v/>
      </c>
    </row>
    <row r="13" ht="15.75" customHeight="1">
      <c r="A13" s="41" t="inlineStr">
        <is>
          <t>Bolsa basura blanca x 10</t>
        </is>
      </c>
      <c r="B13" s="41" t="inlineStr">
        <is>
          <t>Und</t>
        </is>
      </c>
      <c r="C13" s="42" t="n"/>
      <c r="D13" s="43" t="n"/>
      <c r="E13" s="78">
        <f>IFERROR(+C13*D13, 0)</f>
        <v/>
      </c>
      <c r="F13" s="14" t="n">
        <v>10</v>
      </c>
      <c r="G13" s="15" t="n">
        <v>750</v>
      </c>
      <c r="H13" s="16" t="n">
        <v>7500</v>
      </c>
      <c r="I13" s="14" t="n"/>
      <c r="J13" s="15" t="n"/>
      <c r="K13" s="16">
        <f>IFERROR(I13*J13, 0)</f>
        <v/>
      </c>
      <c r="L13" s="14" t="n"/>
      <c r="M13" s="15" t="n"/>
      <c r="N13" s="16">
        <f>IFERROR(L13*M13, 0)</f>
        <v/>
      </c>
      <c r="O13" s="14" t="n"/>
      <c r="P13" s="15" t="n"/>
      <c r="Q13" s="16">
        <f>IFERROR(O13*P13, 0)</f>
        <v/>
      </c>
      <c r="R13" s="14" t="n"/>
      <c r="S13" s="15" t="n"/>
      <c r="T13" s="16">
        <f>IFERROR(R13*S13, 0)</f>
        <v/>
      </c>
      <c r="U13" s="14" t="n"/>
      <c r="V13" s="15" t="n"/>
      <c r="W13" s="16">
        <f>IFERROR(U13*V13, 0)</f>
        <v/>
      </c>
      <c r="X13" s="14" t="n">
        <v>10</v>
      </c>
      <c r="Y13" s="15" t="n">
        <v>450</v>
      </c>
      <c r="Z13" s="16" t="n">
        <v>4500</v>
      </c>
      <c r="AA13" s="14" t="n"/>
      <c r="AB13" s="15" t="n"/>
      <c r="AC13" s="16">
        <f>IFERROR(AA13*AB13, 0)</f>
        <v/>
      </c>
      <c r="AD13" s="14" t="n"/>
      <c r="AE13" s="15" t="n"/>
      <c r="AF13" s="16">
        <f>IFERROR(AD13*AE13, 0)</f>
        <v/>
      </c>
      <c r="AG13" s="14" t="n"/>
      <c r="AH13" s="15" t="n"/>
      <c r="AI13" s="16">
        <f>IFERROR(AG13*AH13, 0)</f>
        <v/>
      </c>
      <c r="AJ13" s="14" t="n"/>
      <c r="AK13" s="15" t="n"/>
      <c r="AL13" s="16">
        <f>IFERROR(AJ13*AK13, 0)</f>
        <v/>
      </c>
      <c r="AM13" s="14" t="n"/>
      <c r="AN13" s="15" t="n"/>
      <c r="AO13" s="16">
        <f>IFERROR(AM13*AN13, 0)</f>
        <v/>
      </c>
      <c r="AP13" s="14" t="n"/>
      <c r="AQ13" s="15" t="n"/>
      <c r="AR13" s="16">
        <f>IFERROR(AP13*AQ13, 0)</f>
        <v/>
      </c>
      <c r="AS13" s="14" t="n"/>
      <c r="AT13" s="15" t="n"/>
      <c r="AU13" s="16">
        <f>IFERROR(AS13*AT13, 0)</f>
        <v/>
      </c>
      <c r="AV13" s="14" t="n"/>
      <c r="AW13" s="15" t="n"/>
      <c r="AX13" s="16">
        <f>IFERROR(AV13*AW13, 0)</f>
        <v/>
      </c>
      <c r="AY13" s="14" t="n"/>
      <c r="AZ13" s="15" t="n"/>
      <c r="BA13" s="16">
        <f>IFERROR(AY13*AZ13, 0)</f>
        <v/>
      </c>
      <c r="BB13" s="14" t="n"/>
      <c r="BC13" s="15" t="n"/>
      <c r="BD13" s="16">
        <f>IFERROR(BB13*BC13, 0)</f>
        <v/>
      </c>
      <c r="BE13" s="14" t="n">
        <v>10</v>
      </c>
      <c r="BF13" s="15" t="n">
        <v>450</v>
      </c>
      <c r="BG13" s="16" t="n">
        <v>4500</v>
      </c>
      <c r="BH13" s="14" t="n"/>
      <c r="BI13" s="15" t="n"/>
      <c r="BJ13" s="16">
        <f>IFERROR(BH13*BI13, 0)</f>
        <v/>
      </c>
      <c r="BK13" s="14" t="n"/>
      <c r="BL13" s="15" t="n"/>
      <c r="BM13" s="16">
        <f>IFERROR(BK13*BL13, 0)</f>
        <v/>
      </c>
      <c r="BN13" s="14" t="n"/>
      <c r="BO13" s="15" t="n"/>
      <c r="BP13" s="16">
        <f>IFERROR(BN13*BO13, 0)</f>
        <v/>
      </c>
      <c r="BQ13" s="14" t="n"/>
      <c r="BR13" s="15" t="n"/>
      <c r="BS13" s="16">
        <f>IFERROR(BQ13*BR13, 0)</f>
        <v/>
      </c>
      <c r="BT13" s="14" t="n"/>
      <c r="BU13" s="15" t="n"/>
      <c r="BV13" s="16">
        <f>IFERROR(BT13*BU13, 0)</f>
        <v/>
      </c>
      <c r="BW13" s="14" t="n"/>
      <c r="BX13" s="15" t="n"/>
      <c r="BY13" s="16">
        <f>IFERROR(BW13*BX13, 0)</f>
        <v/>
      </c>
      <c r="BZ13" s="14" t="n"/>
      <c r="CA13" s="15" t="n"/>
      <c r="CB13" s="16">
        <f>IFERROR(BZ13*CA13, 0)</f>
        <v/>
      </c>
      <c r="CC13" s="14" t="n"/>
      <c r="CD13" s="15" t="n"/>
      <c r="CE13" s="16">
        <f>IFERROR(CC13*CD13, 0)</f>
        <v/>
      </c>
      <c r="CF13" s="14" t="n"/>
      <c r="CG13" s="15" t="n"/>
      <c r="CH13" s="16">
        <f>IFERROR(CF13*CG13, 0)</f>
        <v/>
      </c>
      <c r="CI13" s="14" t="n"/>
      <c r="CJ13" s="15" t="n"/>
      <c r="CK13" s="16">
        <f>IFERROR(CI13*CJ13, 0)</f>
        <v/>
      </c>
      <c r="CL13" s="14" t="n"/>
      <c r="CM13" s="15" t="n"/>
      <c r="CN13" s="16">
        <f>IFERROR(CL13*CM13, 0)</f>
        <v/>
      </c>
      <c r="CO13" s="14" t="n"/>
      <c r="CP13" s="15" t="n"/>
      <c r="CQ13" s="16">
        <f>IFERROR(CO13*CP13, 0)</f>
        <v/>
      </c>
      <c r="CR13" s="14" t="n"/>
      <c r="CS13" s="15" t="n"/>
      <c r="CT13" s="16">
        <f>IFERROR(CR13*CS13, 0)</f>
        <v/>
      </c>
      <c r="CU13" s="17">
        <f>IFERROR(SUM(F13,I13,L13,O13,R13,U13,X13,AA13,AD13,AG13,AJ13,AM13,AP13,AS13,AV13,AY13,BB13,BE13,BH13,BK13,BN13,BQ13,BT13,BW13,BZ13,CC13,CF13,CI13,CL13,CO13,CR13), 0)</f>
        <v/>
      </c>
      <c r="CV13" s="16">
        <f>IFERROR(AVERAGE(G13,J13,M13,P13,S13,V13,Y13,AB13,AE13,AH13,AK13,AN13,AQ13,AT13,AW13,AZ13,BC13,BF13,BI13,BL13,BO13,BR13,BU13,BX13,CA13,CD13,CG13,CJ13,CM13,CP13,CS13), 0)</f>
        <v/>
      </c>
      <c r="CW13" s="16">
        <f>CU13*CV13</f>
        <v/>
      </c>
    </row>
    <row r="14" ht="15.75" customHeight="1">
      <c r="A14" s="41" t="inlineStr">
        <is>
          <t>Bolsa basura negra</t>
        </is>
      </c>
      <c r="B14" s="41" t="inlineStr">
        <is>
          <t>Und</t>
        </is>
      </c>
      <c r="C14" s="42" t="n"/>
      <c r="D14" s="43" t="n"/>
      <c r="E14" s="78">
        <f>IFERROR(+C14*D14, 0)</f>
        <v/>
      </c>
      <c r="F14" s="14" t="n"/>
      <c r="G14" s="15" t="n"/>
      <c r="H14" s="16">
        <f>IFERROR(F14*G14, 0)</f>
        <v/>
      </c>
      <c r="I14" s="14" t="n"/>
      <c r="J14" s="15" t="n"/>
      <c r="K14" s="16">
        <f>IFERROR(I14*J14, 0)</f>
        <v/>
      </c>
      <c r="L14" s="14" t="n"/>
      <c r="M14" s="15" t="n"/>
      <c r="N14" s="16">
        <f>IFERROR(L14*M14, 0)</f>
        <v/>
      </c>
      <c r="O14" s="14" t="n"/>
      <c r="P14" s="15" t="n"/>
      <c r="Q14" s="16">
        <f>IFERROR(O14*P14, 0)</f>
        <v/>
      </c>
      <c r="R14" s="14" t="n"/>
      <c r="S14" s="15" t="n"/>
      <c r="T14" s="16">
        <f>IFERROR(R14*S14, 0)</f>
        <v/>
      </c>
      <c r="U14" s="14" t="n"/>
      <c r="V14" s="15" t="n"/>
      <c r="W14" s="16">
        <f>IFERROR(U14*V14, 0)</f>
        <v/>
      </c>
      <c r="X14" s="14" t="n"/>
      <c r="Y14" s="15" t="n"/>
      <c r="Z14" s="16">
        <f>IFERROR(X14*Y14, 0)</f>
        <v/>
      </c>
      <c r="AA14" s="14" t="n"/>
      <c r="AB14" s="15" t="n"/>
      <c r="AC14" s="16">
        <f>IFERROR(AA14*AB14, 0)</f>
        <v/>
      </c>
      <c r="AD14" s="14" t="n"/>
      <c r="AE14" s="15" t="n"/>
      <c r="AF14" s="16">
        <f>IFERROR(AD14*AE14, 0)</f>
        <v/>
      </c>
      <c r="AG14" s="14" t="n"/>
      <c r="AH14" s="15" t="n"/>
      <c r="AI14" s="16">
        <f>IFERROR(AG14*AH14, 0)</f>
        <v/>
      </c>
      <c r="AJ14" s="14" t="n"/>
      <c r="AK14" s="15" t="n"/>
      <c r="AL14" s="16">
        <f>IFERROR(AJ14*AK14, 0)</f>
        <v/>
      </c>
      <c r="AM14" s="14" t="n"/>
      <c r="AN14" s="15" t="n"/>
      <c r="AO14" s="16">
        <f>IFERROR(AM14*AN14, 0)</f>
        <v/>
      </c>
      <c r="AP14" s="14" t="n"/>
      <c r="AQ14" s="15" t="n"/>
      <c r="AR14" s="16">
        <f>IFERROR(AP14*AQ14, 0)</f>
        <v/>
      </c>
      <c r="AS14" s="14" t="n"/>
      <c r="AT14" s="15" t="n"/>
      <c r="AU14" s="16">
        <f>IFERROR(AS14*AT14, 0)</f>
        <v/>
      </c>
      <c r="AV14" s="14" t="n"/>
      <c r="AW14" s="15" t="n"/>
      <c r="AX14" s="16">
        <f>IFERROR(AV14*AW14, 0)</f>
        <v/>
      </c>
      <c r="AY14" s="14" t="n"/>
      <c r="AZ14" s="15" t="n"/>
      <c r="BA14" s="16">
        <f>IFERROR(AY14*AZ14, 0)</f>
        <v/>
      </c>
      <c r="BB14" s="14" t="n"/>
      <c r="BC14" s="15" t="n"/>
      <c r="BD14" s="16">
        <f>IFERROR(BB14*BC14, 0)</f>
        <v/>
      </c>
      <c r="BE14" s="14" t="n"/>
      <c r="BF14" s="15" t="n"/>
      <c r="BG14" s="16">
        <f>IFERROR(BE14*BF14, 0)</f>
        <v/>
      </c>
      <c r="BH14" s="14" t="n"/>
      <c r="BI14" s="15" t="n"/>
      <c r="BJ14" s="16">
        <f>IFERROR(BH14*BI14, 0)</f>
        <v/>
      </c>
      <c r="BK14" s="14" t="n"/>
      <c r="BL14" s="15" t="n"/>
      <c r="BM14" s="16">
        <f>IFERROR(BK14*BL14, 0)</f>
        <v/>
      </c>
      <c r="BN14" s="14" t="n"/>
      <c r="BO14" s="15" t="n"/>
      <c r="BP14" s="16">
        <f>IFERROR(BN14*BO14, 0)</f>
        <v/>
      </c>
      <c r="BQ14" s="14" t="n"/>
      <c r="BR14" s="15" t="n"/>
      <c r="BS14" s="16">
        <f>IFERROR(BQ14*BR14, 0)</f>
        <v/>
      </c>
      <c r="BT14" s="14" t="n"/>
      <c r="BU14" s="15" t="n"/>
      <c r="BV14" s="16">
        <f>IFERROR(BT14*BU14, 0)</f>
        <v/>
      </c>
      <c r="BW14" s="14" t="n"/>
      <c r="BX14" s="15" t="n"/>
      <c r="BY14" s="16">
        <f>IFERROR(BW14*BX14, 0)</f>
        <v/>
      </c>
      <c r="BZ14" s="14" t="n"/>
      <c r="CA14" s="15" t="n"/>
      <c r="CB14" s="16">
        <f>IFERROR(BZ14*CA14, 0)</f>
        <v/>
      </c>
      <c r="CC14" s="14" t="n"/>
      <c r="CD14" s="15" t="n"/>
      <c r="CE14" s="16">
        <f>IFERROR(CC14*CD14, 0)</f>
        <v/>
      </c>
      <c r="CF14" s="14" t="n"/>
      <c r="CG14" s="15" t="n"/>
      <c r="CH14" s="16">
        <f>IFERROR(CF14*CG14, 0)</f>
        <v/>
      </c>
      <c r="CI14" s="14" t="n"/>
      <c r="CJ14" s="15" t="n"/>
      <c r="CK14" s="16">
        <f>IFERROR(CI14*CJ14, 0)</f>
        <v/>
      </c>
      <c r="CL14" s="14" t="n"/>
      <c r="CM14" s="15" t="n"/>
      <c r="CN14" s="16">
        <f>IFERROR(CL14*CM14, 0)</f>
        <v/>
      </c>
      <c r="CO14" s="14" t="n"/>
      <c r="CP14" s="15" t="n"/>
      <c r="CQ14" s="16">
        <f>IFERROR(CO14*CP14, 0)</f>
        <v/>
      </c>
      <c r="CR14" s="14" t="n"/>
      <c r="CS14" s="15" t="n"/>
      <c r="CT14" s="16">
        <f>IFERROR(CR14*CS14, 0)</f>
        <v/>
      </c>
      <c r="CU14" s="17">
        <f>IFERROR(SUM(F14,I14,L14,O14,R14,U14,X14,AA14,AD14,AG14,AJ14,AM14,AP14,AS14,AV14,AY14,BB14,BE14,BH14,BK14,BN14,BQ14,BT14,BW14,BZ14,CC14,CF14,CI14,CL14,CO14,CR14), 0)</f>
        <v/>
      </c>
      <c r="CV14" s="16">
        <f>IFERROR(AVERAGE(G14,J14,M14,P14,S14,V14,Y14,AB14,AE14,AH14,AK14,AN14,AQ14,AT14,AW14,AZ14,BC14,BF14,BI14,BL14,BO14,BR14,BU14,BX14,CA14,CD14,CG14,CJ14,CM14,CP14,CS14), 0)</f>
        <v/>
      </c>
      <c r="CW14" s="16">
        <f>CU14*CV14</f>
        <v/>
      </c>
    </row>
    <row r="15" ht="15.75" customHeight="1">
      <c r="A15" s="41" t="inlineStr">
        <is>
          <t>Bolsa basura verde x 10</t>
        </is>
      </c>
      <c r="B15" s="41" t="inlineStr">
        <is>
          <t>Und</t>
        </is>
      </c>
      <c r="C15" s="42" t="n"/>
      <c r="D15" s="43" t="n"/>
      <c r="E15" s="78">
        <f>IFERROR(+C15*D15, 0)</f>
        <v/>
      </c>
      <c r="F15" s="14" t="n"/>
      <c r="G15" s="15" t="n"/>
      <c r="H15" s="16">
        <f>IFERROR(F15*G15, 0)</f>
        <v/>
      </c>
      <c r="I15" s="14" t="n"/>
      <c r="J15" s="15" t="n"/>
      <c r="K15" s="16">
        <f>IFERROR(I15*J15, 0)</f>
        <v/>
      </c>
      <c r="L15" s="14" t="n"/>
      <c r="M15" s="15" t="n"/>
      <c r="N15" s="16">
        <f>IFERROR(L15*M15, 0)</f>
        <v/>
      </c>
      <c r="O15" s="14" t="n"/>
      <c r="P15" s="15" t="n"/>
      <c r="Q15" s="16">
        <f>IFERROR(O15*P15, 0)</f>
        <v/>
      </c>
      <c r="R15" s="14" t="n"/>
      <c r="S15" s="15" t="n"/>
      <c r="T15" s="16">
        <f>IFERROR(R15*S15, 0)</f>
        <v/>
      </c>
      <c r="U15" s="14" t="n"/>
      <c r="V15" s="15" t="n"/>
      <c r="W15" s="16">
        <f>IFERROR(U15*V15, 0)</f>
        <v/>
      </c>
      <c r="X15" s="14" t="n">
        <v>10</v>
      </c>
      <c r="Y15" s="15" t="n">
        <v>450</v>
      </c>
      <c r="Z15" s="16" t="n">
        <v>4500</v>
      </c>
      <c r="AA15" s="14" t="n"/>
      <c r="AB15" s="15" t="n"/>
      <c r="AC15" s="16">
        <f>IFERROR(AA15*AB15, 0)</f>
        <v/>
      </c>
      <c r="AD15" s="14" t="n"/>
      <c r="AE15" s="15" t="n"/>
      <c r="AF15" s="16">
        <f>IFERROR(AD15*AE15, 0)</f>
        <v/>
      </c>
      <c r="AG15" s="14" t="n"/>
      <c r="AH15" s="15" t="n"/>
      <c r="AI15" s="16">
        <f>IFERROR(AG15*AH15, 0)</f>
        <v/>
      </c>
      <c r="AJ15" s="14" t="n"/>
      <c r="AK15" s="15" t="n"/>
      <c r="AL15" s="16">
        <f>IFERROR(AJ15*AK15, 0)</f>
        <v/>
      </c>
      <c r="AM15" s="14" t="n"/>
      <c r="AN15" s="15" t="n"/>
      <c r="AO15" s="16">
        <f>IFERROR(AM15*AN15, 0)</f>
        <v/>
      </c>
      <c r="AP15" s="14" t="n"/>
      <c r="AQ15" s="15" t="n"/>
      <c r="AR15" s="16">
        <f>IFERROR(AP15*AQ15, 0)</f>
        <v/>
      </c>
      <c r="AS15" s="14" t="n"/>
      <c r="AT15" s="15" t="n"/>
      <c r="AU15" s="16">
        <f>IFERROR(AS15*AT15, 0)</f>
        <v/>
      </c>
      <c r="AV15" s="14" t="n"/>
      <c r="AW15" s="15" t="n"/>
      <c r="AX15" s="16">
        <f>IFERROR(AV15*AW15, 0)</f>
        <v/>
      </c>
      <c r="AY15" s="14" t="n"/>
      <c r="AZ15" s="15" t="n"/>
      <c r="BA15" s="16">
        <f>IFERROR(AY15*AZ15, 0)</f>
        <v/>
      </c>
      <c r="BB15" s="14" t="n"/>
      <c r="BC15" s="15" t="n"/>
      <c r="BD15" s="16">
        <f>IFERROR(BB15*BC15, 0)</f>
        <v/>
      </c>
      <c r="BE15" s="14" t="n"/>
      <c r="BF15" s="15" t="n"/>
      <c r="BG15" s="16">
        <f>IFERROR(BE15*BF15, 0)</f>
        <v/>
      </c>
      <c r="BH15" s="14" t="n"/>
      <c r="BI15" s="15" t="n"/>
      <c r="BJ15" s="16">
        <f>IFERROR(BH15*BI15, 0)</f>
        <v/>
      </c>
      <c r="BK15" s="14" t="n"/>
      <c r="BL15" s="15" t="n"/>
      <c r="BM15" s="16">
        <f>IFERROR(BK15*BL15, 0)</f>
        <v/>
      </c>
      <c r="BN15" s="14" t="n"/>
      <c r="BO15" s="15" t="n"/>
      <c r="BP15" s="16">
        <f>IFERROR(BN15*BO15, 0)</f>
        <v/>
      </c>
      <c r="BQ15" s="14" t="n"/>
      <c r="BR15" s="15" t="n"/>
      <c r="BS15" s="16">
        <f>IFERROR(BQ15*BR15, 0)</f>
        <v/>
      </c>
      <c r="BT15" s="14" t="n"/>
      <c r="BU15" s="15" t="n"/>
      <c r="BV15" s="16">
        <f>IFERROR(BT15*BU15, 0)</f>
        <v/>
      </c>
      <c r="BW15" s="14" t="n"/>
      <c r="BX15" s="15" t="n"/>
      <c r="BY15" s="16">
        <f>IFERROR(BW15*BX15, 0)</f>
        <v/>
      </c>
      <c r="BZ15" s="14" t="n"/>
      <c r="CA15" s="15" t="n"/>
      <c r="CB15" s="16">
        <f>IFERROR(BZ15*CA15, 0)</f>
        <v/>
      </c>
      <c r="CC15" s="14" t="n"/>
      <c r="CD15" s="15" t="n"/>
      <c r="CE15" s="16">
        <f>IFERROR(CC15*CD15, 0)</f>
        <v/>
      </c>
      <c r="CF15" s="14" t="n"/>
      <c r="CG15" s="15" t="n"/>
      <c r="CH15" s="16">
        <f>IFERROR(CF15*CG15, 0)</f>
        <v/>
      </c>
      <c r="CI15" s="14" t="n"/>
      <c r="CJ15" s="15" t="n"/>
      <c r="CK15" s="16">
        <f>IFERROR(CI15*CJ15, 0)</f>
        <v/>
      </c>
      <c r="CL15" s="14" t="n"/>
      <c r="CM15" s="15" t="n"/>
      <c r="CN15" s="16">
        <f>IFERROR(CL15*CM15, 0)</f>
        <v/>
      </c>
      <c r="CO15" s="14" t="n"/>
      <c r="CP15" s="15" t="n"/>
      <c r="CQ15" s="16">
        <f>IFERROR(CO15*CP15, 0)</f>
        <v/>
      </c>
      <c r="CR15" s="14" t="n"/>
      <c r="CS15" s="15" t="n"/>
      <c r="CT15" s="16">
        <f>IFERROR(CR15*CS15, 0)</f>
        <v/>
      </c>
      <c r="CU15" s="17">
        <f>IFERROR(SUM(F15,I15,L15,O15,R15,U15,X15,AA15,AD15,AG15,AJ15,AM15,AP15,AS15,AV15,AY15,BB15,BE15,BH15,BK15,BN15,BQ15,BT15,BW15,BZ15,CC15,CF15,CI15,CL15,CO15,CR15), 0)</f>
        <v/>
      </c>
      <c r="CV15" s="16">
        <f>IFERROR(AVERAGE(G15,J15,M15,P15,S15,V15,Y15,AB15,AE15,AH15,AK15,AN15,AQ15,AT15,AW15,AZ15,BC15,BF15,BI15,BL15,BO15,BR15,BU15,BX15,CA15,CD15,CG15,CJ15,CM15,CP15,CS15), 0)</f>
        <v/>
      </c>
      <c r="CW15" s="16">
        <f>CU15*CV15</f>
        <v/>
      </c>
    </row>
    <row r="16" ht="15.75" customHeight="1">
      <c r="A16" s="41" t="inlineStr">
        <is>
          <t>Bolsa basura 65 x 90 # 2</t>
        </is>
      </c>
      <c r="B16" s="41" t="inlineStr">
        <is>
          <t>Pqte</t>
        </is>
      </c>
      <c r="C16" s="42" t="n"/>
      <c r="D16" s="43" t="n"/>
      <c r="E16" s="78">
        <f>IFERROR(+C16*D16, 0)</f>
        <v/>
      </c>
      <c r="F16" s="14" t="n">
        <v>10</v>
      </c>
      <c r="G16" s="15" t="n">
        <v>450</v>
      </c>
      <c r="H16" s="16" t="n">
        <v>4500</v>
      </c>
      <c r="I16" s="14" t="n"/>
      <c r="J16" s="15" t="n"/>
      <c r="K16" s="16">
        <f>IFERROR(I16*J16, 0)</f>
        <v/>
      </c>
      <c r="L16" s="14" t="n"/>
      <c r="M16" s="15" t="n"/>
      <c r="N16" s="16">
        <f>IFERROR(L16*M16, 0)</f>
        <v/>
      </c>
      <c r="O16" s="14" t="n"/>
      <c r="P16" s="15" t="n"/>
      <c r="Q16" s="16">
        <f>IFERROR(O16*P16, 0)</f>
        <v/>
      </c>
      <c r="R16" s="14" t="n"/>
      <c r="S16" s="15" t="n"/>
      <c r="T16" s="16">
        <f>IFERROR(R16*S16, 0)</f>
        <v/>
      </c>
      <c r="U16" s="14" t="n"/>
      <c r="V16" s="15" t="n"/>
      <c r="W16" s="16">
        <f>IFERROR(U16*V16, 0)</f>
        <v/>
      </c>
      <c r="X16" s="14" t="n">
        <v>10</v>
      </c>
      <c r="Y16" s="15" t="n">
        <v>400</v>
      </c>
      <c r="Z16" s="16" t="n">
        <v>4000</v>
      </c>
      <c r="AA16" s="14" t="n"/>
      <c r="AB16" s="15" t="n"/>
      <c r="AC16" s="16">
        <f>IFERROR(AA16*AB16, 0)</f>
        <v/>
      </c>
      <c r="AD16" s="14" t="n"/>
      <c r="AE16" s="15" t="n"/>
      <c r="AF16" s="16">
        <f>IFERROR(AD16*AE16, 0)</f>
        <v/>
      </c>
      <c r="AG16" s="14" t="n"/>
      <c r="AH16" s="15" t="n"/>
      <c r="AI16" s="16">
        <f>IFERROR(AG16*AH16, 0)</f>
        <v/>
      </c>
      <c r="AJ16" s="14" t="n"/>
      <c r="AK16" s="15" t="n"/>
      <c r="AL16" s="16">
        <f>IFERROR(AJ16*AK16, 0)</f>
        <v/>
      </c>
      <c r="AM16" s="14" t="n"/>
      <c r="AN16" s="15" t="n"/>
      <c r="AO16" s="16">
        <f>IFERROR(AM16*AN16, 0)</f>
        <v/>
      </c>
      <c r="AP16" s="14" t="n"/>
      <c r="AQ16" s="15" t="n"/>
      <c r="AR16" s="16">
        <f>IFERROR(AP16*AQ16, 0)</f>
        <v/>
      </c>
      <c r="AS16" s="14" t="n"/>
      <c r="AT16" s="15" t="n"/>
      <c r="AU16" s="16">
        <f>IFERROR(AS16*AT16, 0)</f>
        <v/>
      </c>
      <c r="AV16" s="14" t="n"/>
      <c r="AW16" s="15" t="n"/>
      <c r="AX16" s="16">
        <f>IFERROR(AV16*AW16, 0)</f>
        <v/>
      </c>
      <c r="AY16" s="14" t="n"/>
      <c r="AZ16" s="15" t="n"/>
      <c r="BA16" s="16">
        <f>IFERROR(AY16*AZ16, 0)</f>
        <v/>
      </c>
      <c r="BB16" s="14" t="n"/>
      <c r="BC16" s="15" t="n"/>
      <c r="BD16" s="16">
        <f>IFERROR(BB16*BC16, 0)</f>
        <v/>
      </c>
      <c r="BE16" s="14" t="n">
        <v>10</v>
      </c>
      <c r="BF16" s="15" t="n">
        <v>400</v>
      </c>
      <c r="BG16" s="16" t="n">
        <v>4000</v>
      </c>
      <c r="BH16" s="14" t="n"/>
      <c r="BI16" s="15" t="n"/>
      <c r="BJ16" s="16">
        <f>IFERROR(BH16*BI16, 0)</f>
        <v/>
      </c>
      <c r="BK16" s="14" t="n"/>
      <c r="BL16" s="15" t="n"/>
      <c r="BM16" s="16">
        <f>IFERROR(BK16*BL16, 0)</f>
        <v/>
      </c>
      <c r="BN16" s="14" t="n"/>
      <c r="BO16" s="15" t="n"/>
      <c r="BP16" s="16">
        <f>IFERROR(BN16*BO16, 0)</f>
        <v/>
      </c>
      <c r="BQ16" s="14" t="n">
        <v>10</v>
      </c>
      <c r="BR16" s="15" t="n">
        <v>440</v>
      </c>
      <c r="BS16" s="16" t="n">
        <v>4400</v>
      </c>
      <c r="BT16" s="14" t="n"/>
      <c r="BU16" s="15" t="n"/>
      <c r="BV16" s="16">
        <f>IFERROR(BT16*BU16, 0)</f>
        <v/>
      </c>
      <c r="BW16" s="14" t="n"/>
      <c r="BX16" s="15" t="n"/>
      <c r="BY16" s="16">
        <f>IFERROR(BW16*BX16, 0)</f>
        <v/>
      </c>
      <c r="BZ16" s="14" t="n"/>
      <c r="CA16" s="15" t="n"/>
      <c r="CB16" s="16">
        <f>IFERROR(BZ16*CA16, 0)</f>
        <v/>
      </c>
      <c r="CC16" s="14" t="n"/>
      <c r="CD16" s="15" t="n"/>
      <c r="CE16" s="16">
        <f>IFERROR(CC16*CD16, 0)</f>
        <v/>
      </c>
      <c r="CF16" s="14" t="n"/>
      <c r="CG16" s="15" t="n"/>
      <c r="CH16" s="16">
        <f>IFERROR(CF16*CG16, 0)</f>
        <v/>
      </c>
      <c r="CI16" s="14" t="n"/>
      <c r="CJ16" s="15" t="n"/>
      <c r="CK16" s="16">
        <f>IFERROR(CI16*CJ16, 0)</f>
        <v/>
      </c>
      <c r="CL16" s="14" t="n"/>
      <c r="CM16" s="15" t="n"/>
      <c r="CN16" s="16">
        <f>IFERROR(CL16*CM16, 0)</f>
        <v/>
      </c>
      <c r="CO16" s="14" t="n"/>
      <c r="CP16" s="15" t="n"/>
      <c r="CQ16" s="16">
        <f>IFERROR(CO16*CP16, 0)</f>
        <v/>
      </c>
      <c r="CR16" s="14" t="n"/>
      <c r="CS16" s="15" t="n"/>
      <c r="CT16" s="16">
        <f>IFERROR(CR16*CS16, 0)</f>
        <v/>
      </c>
      <c r="CU16" s="17">
        <f>IFERROR(SUM(F16,I16,L16,O16,R16,U16,X16,AA16,AD16,AG16,AJ16,AM16,AP16,AS16,AV16,AY16,BB16,BE16,BH16,BK16,BN16,BQ16,BT16,BW16,BZ16,CC16,CF16,CI16,CL16,CO16,CR16), 0)</f>
        <v/>
      </c>
      <c r="CV16" s="16">
        <f>IFERROR(AVERAGE(G16,J16,M16,P16,S16,V16,Y16,AB16,AE16,AH16,AK16,AN16,AQ16,AT16,AW16,AZ16,BC16,BF16,BI16,BL16,BO16,BR16,BU16,BX16,CA16,CD16,CG16,CJ16,CM16,CP16,CS16), 0)</f>
        <v/>
      </c>
      <c r="CW16" s="16">
        <f>CU16*CV16</f>
        <v/>
      </c>
    </row>
    <row r="17" ht="15.75" customHeight="1">
      <c r="A17" s="41" t="inlineStr">
        <is>
          <t>Bolsa basura industrial gruesa 90 x 120</t>
        </is>
      </c>
      <c r="B17" s="41" t="inlineStr">
        <is>
          <t>Pqte</t>
        </is>
      </c>
      <c r="C17" s="42" t="n"/>
      <c r="D17" s="43" t="n"/>
      <c r="E17" s="78">
        <f>IFERROR(+C17*D17, 0)</f>
        <v/>
      </c>
      <c r="F17" s="14" t="n"/>
      <c r="G17" s="15" t="n"/>
      <c r="H17" s="16">
        <f>IFERROR(F17*G17, 0)</f>
        <v/>
      </c>
      <c r="I17" s="14" t="n">
        <v>20</v>
      </c>
      <c r="J17" s="15" t="n">
        <v>900</v>
      </c>
      <c r="K17" s="16" t="n">
        <v>18000</v>
      </c>
      <c r="L17" s="14" t="n"/>
      <c r="M17" s="15" t="n"/>
      <c r="N17" s="16">
        <f>IFERROR(L17*M17, 0)</f>
        <v/>
      </c>
      <c r="O17" s="14" t="n"/>
      <c r="P17" s="15" t="n"/>
      <c r="Q17" s="16">
        <f>IFERROR(O17*P17, 0)</f>
        <v/>
      </c>
      <c r="R17" s="14" t="n"/>
      <c r="S17" s="15" t="n"/>
      <c r="T17" s="16">
        <f>IFERROR(R17*S17, 0)</f>
        <v/>
      </c>
      <c r="U17" s="14" t="n"/>
      <c r="V17" s="15" t="n"/>
      <c r="W17" s="16">
        <f>IFERROR(U17*V17, 0)</f>
        <v/>
      </c>
      <c r="X17" s="14" t="n">
        <v>10</v>
      </c>
      <c r="Y17" s="15" t="n">
        <v>900</v>
      </c>
      <c r="Z17" s="16" t="n">
        <v>9000</v>
      </c>
      <c r="AA17" s="14" t="n"/>
      <c r="AB17" s="15" t="n"/>
      <c r="AC17" s="16">
        <f>IFERROR(AA17*AB17, 0)</f>
        <v/>
      </c>
      <c r="AD17" s="14" t="n"/>
      <c r="AE17" s="15" t="n"/>
      <c r="AF17" s="16">
        <f>IFERROR(AD17*AE17, 0)</f>
        <v/>
      </c>
      <c r="AG17" s="14" t="n"/>
      <c r="AH17" s="15" t="n"/>
      <c r="AI17" s="16">
        <f>IFERROR(AG17*AH17, 0)</f>
        <v/>
      </c>
      <c r="AJ17" s="14" t="n"/>
      <c r="AK17" s="15" t="n"/>
      <c r="AL17" s="16">
        <f>IFERROR(AJ17*AK17, 0)</f>
        <v/>
      </c>
      <c r="AM17" s="14" t="n"/>
      <c r="AN17" s="15" t="n"/>
      <c r="AO17" s="16">
        <f>IFERROR(AM17*AN17, 0)</f>
        <v/>
      </c>
      <c r="AP17" s="14" t="n"/>
      <c r="AQ17" s="15" t="n"/>
      <c r="AR17" s="16">
        <f>IFERROR(AP17*AQ17, 0)</f>
        <v/>
      </c>
      <c r="AS17" s="14" t="n"/>
      <c r="AT17" s="15" t="n"/>
      <c r="AU17" s="16">
        <f>IFERROR(AS17*AT17, 0)</f>
        <v/>
      </c>
      <c r="AV17" s="14" t="n"/>
      <c r="AW17" s="15" t="n"/>
      <c r="AX17" s="16">
        <f>IFERROR(AV17*AW17, 0)</f>
        <v/>
      </c>
      <c r="AY17" s="14" t="n"/>
      <c r="AZ17" s="15" t="n"/>
      <c r="BA17" s="16">
        <f>IFERROR(AY17*AZ17, 0)</f>
        <v/>
      </c>
      <c r="BB17" s="14" t="n"/>
      <c r="BC17" s="15" t="n"/>
      <c r="BD17" s="16">
        <f>IFERROR(BB17*BC17, 0)</f>
        <v/>
      </c>
      <c r="BE17" s="14" t="n">
        <v>20</v>
      </c>
      <c r="BF17" s="15" t="n">
        <v>900</v>
      </c>
      <c r="BG17" s="16" t="n">
        <v>18000</v>
      </c>
      <c r="BH17" s="14" t="n"/>
      <c r="BI17" s="15" t="n"/>
      <c r="BJ17" s="16">
        <f>IFERROR(BH17*BI17, 0)</f>
        <v/>
      </c>
      <c r="BK17" s="14" t="n"/>
      <c r="BL17" s="15" t="n"/>
      <c r="BM17" s="16">
        <f>IFERROR(BK17*BL17, 0)</f>
        <v/>
      </c>
      <c r="BN17" s="14" t="n"/>
      <c r="BO17" s="15" t="n"/>
      <c r="BP17" s="16">
        <f>IFERROR(BN17*BO17, 0)</f>
        <v/>
      </c>
      <c r="BQ17" s="14" t="n">
        <v>10</v>
      </c>
      <c r="BR17" s="15" t="n">
        <v>900</v>
      </c>
      <c r="BS17" s="16" t="n">
        <v>9000</v>
      </c>
      <c r="BT17" s="14" t="n"/>
      <c r="BU17" s="15" t="n"/>
      <c r="BV17" s="16">
        <f>IFERROR(BT17*BU17, 0)</f>
        <v/>
      </c>
      <c r="BW17" s="14" t="n"/>
      <c r="BX17" s="15" t="n"/>
      <c r="BY17" s="16">
        <f>IFERROR(BW17*BX17, 0)</f>
        <v/>
      </c>
      <c r="BZ17" s="14" t="n"/>
      <c r="CA17" s="15" t="n"/>
      <c r="CB17" s="16">
        <f>IFERROR(BZ17*CA17, 0)</f>
        <v/>
      </c>
      <c r="CC17" s="14" t="n"/>
      <c r="CD17" s="15" t="n"/>
      <c r="CE17" s="16">
        <f>IFERROR(CC17*CD17, 0)</f>
        <v/>
      </c>
      <c r="CF17" s="14" t="n"/>
      <c r="CG17" s="15" t="n"/>
      <c r="CH17" s="16">
        <f>IFERROR(CF17*CG17, 0)</f>
        <v/>
      </c>
      <c r="CI17" s="14" t="n"/>
      <c r="CJ17" s="15" t="n"/>
      <c r="CK17" s="16">
        <f>IFERROR(CI17*CJ17, 0)</f>
        <v/>
      </c>
      <c r="CL17" s="14" t="n"/>
      <c r="CM17" s="15" t="n"/>
      <c r="CN17" s="16">
        <f>IFERROR(CL17*CM17, 0)</f>
        <v/>
      </c>
      <c r="CO17" s="14" t="n"/>
      <c r="CP17" s="15" t="n"/>
      <c r="CQ17" s="16">
        <f>IFERROR(CO17*CP17, 0)</f>
        <v/>
      </c>
      <c r="CR17" s="14" t="n"/>
      <c r="CS17" s="15" t="n"/>
      <c r="CT17" s="16">
        <f>IFERROR(CR17*CS17, 0)</f>
        <v/>
      </c>
      <c r="CU17" s="17">
        <f>IFERROR(SUM(F17,I17,L17,O17,R17,U17,X17,AA17,AD17,AG17,AJ17,AM17,AP17,AS17,AV17,AY17,BB17,BE17,BH17,BK17,BN17,BQ17,BT17,BW17,BZ17,CC17,CF17,CI17,CL17,CO17,CR17), 0)</f>
        <v/>
      </c>
      <c r="CV17" s="16">
        <f>IFERROR(AVERAGE(G17,J17,M17,P17,S17,V17,Y17,AB17,AE17,AH17,AK17,AN17,AQ17,AT17,AW17,AZ17,BC17,BF17,BI17,BL17,BO17,BR17,BU17,BX17,CA17,CD17,CG17,CJ17,CM17,CP17,CS17), 0)</f>
        <v/>
      </c>
      <c r="CW17" s="16">
        <f>CU17*CV17</f>
        <v/>
      </c>
    </row>
    <row r="18" ht="15.75" customHeight="1">
      <c r="A18" s="41" t="inlineStr">
        <is>
          <t>Bolsa de cubiertos</t>
        </is>
      </c>
      <c r="B18" s="41" t="inlineStr">
        <is>
          <t>Pqte</t>
        </is>
      </c>
      <c r="C18" s="42" t="n"/>
      <c r="D18" s="43" t="n"/>
      <c r="E18" s="78">
        <f>IFERROR(+C18*D18, 0)</f>
        <v/>
      </c>
      <c r="F18" s="14" t="n"/>
      <c r="G18" s="15" t="n"/>
      <c r="H18" s="16">
        <f>IFERROR(F18*G18, 0)</f>
        <v/>
      </c>
      <c r="I18" s="14" t="n"/>
      <c r="J18" s="15" t="n"/>
      <c r="K18" s="16">
        <f>IFERROR(I18*J18, 0)</f>
        <v/>
      </c>
      <c r="L18" s="14" t="n"/>
      <c r="M18" s="15" t="n"/>
      <c r="N18" s="16">
        <f>IFERROR(L18*M18, 0)</f>
        <v/>
      </c>
      <c r="O18" s="14" t="n"/>
      <c r="P18" s="15" t="n"/>
      <c r="Q18" s="16">
        <f>IFERROR(O18*P18, 0)</f>
        <v/>
      </c>
      <c r="R18" s="14" t="n"/>
      <c r="S18" s="15" t="n"/>
      <c r="T18" s="16">
        <f>IFERROR(R18*S18, 0)</f>
        <v/>
      </c>
      <c r="U18" s="14" t="n"/>
      <c r="V18" s="15" t="n"/>
      <c r="W18" s="16">
        <f>IFERROR(U18*V18, 0)</f>
        <v/>
      </c>
      <c r="X18" s="14" t="n"/>
      <c r="Y18" s="15" t="n"/>
      <c r="Z18" s="16">
        <f>IFERROR(X18*Y18, 0)</f>
        <v/>
      </c>
      <c r="AA18" s="14" t="n"/>
      <c r="AB18" s="15" t="n"/>
      <c r="AC18" s="16">
        <f>IFERROR(AA18*AB18, 0)</f>
        <v/>
      </c>
      <c r="AD18" s="14" t="n"/>
      <c r="AE18" s="15" t="n"/>
      <c r="AF18" s="16">
        <f>IFERROR(AD18*AE18, 0)</f>
        <v/>
      </c>
      <c r="AG18" s="14" t="n"/>
      <c r="AH18" s="15" t="n"/>
      <c r="AI18" s="16">
        <f>IFERROR(AG18*AH18, 0)</f>
        <v/>
      </c>
      <c r="AJ18" s="14" t="n"/>
      <c r="AK18" s="15" t="n"/>
      <c r="AL18" s="16">
        <f>IFERROR(AJ18*AK18, 0)</f>
        <v/>
      </c>
      <c r="AM18" s="14" t="n"/>
      <c r="AN18" s="15" t="n"/>
      <c r="AO18" s="16">
        <f>IFERROR(AM18*AN18, 0)</f>
        <v/>
      </c>
      <c r="AP18" s="14" t="n"/>
      <c r="AQ18" s="15" t="n"/>
      <c r="AR18" s="16">
        <f>IFERROR(AP18*AQ18, 0)</f>
        <v/>
      </c>
      <c r="AS18" s="14" t="n"/>
      <c r="AT18" s="15" t="n"/>
      <c r="AU18" s="16">
        <f>IFERROR(AS18*AT18, 0)</f>
        <v/>
      </c>
      <c r="AV18" s="14" t="n"/>
      <c r="AW18" s="15" t="n"/>
      <c r="AX18" s="16">
        <f>IFERROR(AV18*AW18, 0)</f>
        <v/>
      </c>
      <c r="AY18" s="14" t="n"/>
      <c r="AZ18" s="15" t="n"/>
      <c r="BA18" s="16">
        <f>IFERROR(AY18*AZ18, 0)</f>
        <v/>
      </c>
      <c r="BB18" s="14" t="n"/>
      <c r="BC18" s="15" t="n"/>
      <c r="BD18" s="16">
        <f>IFERROR(BB18*BC18, 0)</f>
        <v/>
      </c>
      <c r="BE18" s="14" t="n"/>
      <c r="BF18" s="15" t="n"/>
      <c r="BG18" s="16">
        <f>IFERROR(BE18*BF18, 0)</f>
        <v/>
      </c>
      <c r="BH18" s="14" t="n"/>
      <c r="BI18" s="15" t="n"/>
      <c r="BJ18" s="16">
        <f>IFERROR(BH18*BI18, 0)</f>
        <v/>
      </c>
      <c r="BK18" s="14" t="n"/>
      <c r="BL18" s="15" t="n"/>
      <c r="BM18" s="16">
        <f>IFERROR(BK18*BL18, 0)</f>
        <v/>
      </c>
      <c r="BN18" s="14" t="n"/>
      <c r="BO18" s="15" t="n"/>
      <c r="BP18" s="16">
        <f>IFERROR(BN18*BO18, 0)</f>
        <v/>
      </c>
      <c r="BQ18" s="14" t="n"/>
      <c r="BR18" s="15" t="n"/>
      <c r="BS18" s="16">
        <f>IFERROR(BQ18*BR18, 0)</f>
        <v/>
      </c>
      <c r="BT18" s="14" t="n"/>
      <c r="BU18" s="15" t="n"/>
      <c r="BV18" s="16">
        <f>IFERROR(BT18*BU18, 0)</f>
        <v/>
      </c>
      <c r="BW18" s="14" t="n"/>
      <c r="BX18" s="15" t="n"/>
      <c r="BY18" s="16">
        <f>IFERROR(BW18*BX18, 0)</f>
        <v/>
      </c>
      <c r="BZ18" s="14" t="n"/>
      <c r="CA18" s="15" t="n"/>
      <c r="CB18" s="16">
        <f>IFERROR(BZ18*CA18, 0)</f>
        <v/>
      </c>
      <c r="CC18" s="14" t="n"/>
      <c r="CD18" s="15" t="n"/>
      <c r="CE18" s="16">
        <f>IFERROR(CC18*CD18, 0)</f>
        <v/>
      </c>
      <c r="CF18" s="14" t="n"/>
      <c r="CG18" s="15" t="n"/>
      <c r="CH18" s="16">
        <f>IFERROR(CF18*CG18, 0)</f>
        <v/>
      </c>
      <c r="CI18" s="14" t="n"/>
      <c r="CJ18" s="15" t="n"/>
      <c r="CK18" s="16">
        <f>IFERROR(CI18*CJ18, 0)</f>
        <v/>
      </c>
      <c r="CL18" s="14" t="n"/>
      <c r="CM18" s="15" t="n"/>
      <c r="CN18" s="16">
        <f>IFERROR(CL18*CM18, 0)</f>
        <v/>
      </c>
      <c r="CO18" s="14" t="n"/>
      <c r="CP18" s="15" t="n"/>
      <c r="CQ18" s="16">
        <f>IFERROR(CO18*CP18, 0)</f>
        <v/>
      </c>
      <c r="CR18" s="14" t="n"/>
      <c r="CS18" s="15" t="n"/>
      <c r="CT18" s="16">
        <f>IFERROR(CR18*CS18, 0)</f>
        <v/>
      </c>
      <c r="CU18" s="17">
        <f>IFERROR(SUM(F18,I18,L18,O18,R18,U18,X18,AA18,AD18,AG18,AJ18,AM18,AP18,AS18,AV18,AY18,BB18,BE18,BH18,BK18,BN18,BQ18,BT18,BW18,BZ18,CC18,CF18,CI18,CL18,CO18,CR18), 0)</f>
        <v/>
      </c>
      <c r="CV18" s="16">
        <f>IFERROR(AVERAGE(G18,J18,M18,P18,S18,V18,Y18,AB18,AE18,AH18,AK18,AN18,AQ18,AT18,AW18,AZ18,BC18,BF18,BI18,BL18,BO18,BR18,BU18,BX18,CA18,CD18,CG18,CJ18,CM18,CP18,CS18), 0)</f>
        <v/>
      </c>
      <c r="CW18" s="16">
        <f>CU18*CV18</f>
        <v/>
      </c>
    </row>
    <row r="19" ht="15.75" customHeight="1">
      <c r="A19" s="41" t="inlineStr">
        <is>
          <t>Bolsa industrial</t>
        </is>
      </c>
      <c r="B19" s="41" t="inlineStr">
        <is>
          <t>Pqte</t>
        </is>
      </c>
      <c r="C19" s="42" t="n"/>
      <c r="D19" s="43" t="n"/>
      <c r="E19" s="78">
        <f>IFERROR(+C19*D19, 0)</f>
        <v/>
      </c>
      <c r="F19" s="14" t="n"/>
      <c r="G19" s="15" t="n"/>
      <c r="H19" s="16">
        <f>IFERROR(F19*G19, 0)</f>
        <v/>
      </c>
      <c r="I19" s="14" t="n"/>
      <c r="J19" s="15" t="n"/>
      <c r="K19" s="16">
        <f>IFERROR(I19*J19, 0)</f>
        <v/>
      </c>
      <c r="L19" s="14" t="n"/>
      <c r="M19" s="15" t="n"/>
      <c r="N19" s="16">
        <f>IFERROR(L19*M19, 0)</f>
        <v/>
      </c>
      <c r="O19" s="14" t="n"/>
      <c r="P19" s="15" t="n"/>
      <c r="Q19" s="16">
        <f>IFERROR(O19*P19, 0)</f>
        <v/>
      </c>
      <c r="R19" s="14" t="n"/>
      <c r="S19" s="15" t="n"/>
      <c r="T19" s="16">
        <f>IFERROR(R19*S19, 0)</f>
        <v/>
      </c>
      <c r="U19" s="14" t="n"/>
      <c r="V19" s="15" t="n"/>
      <c r="W19" s="16">
        <f>IFERROR(U19*V19, 0)</f>
        <v/>
      </c>
      <c r="X19" s="14" t="n"/>
      <c r="Y19" s="15" t="n"/>
      <c r="Z19" s="16">
        <f>IFERROR(X19*Y19, 0)</f>
        <v/>
      </c>
      <c r="AA19" s="14" t="n"/>
      <c r="AB19" s="15" t="n"/>
      <c r="AC19" s="16">
        <f>IFERROR(AA19*AB19, 0)</f>
        <v/>
      </c>
      <c r="AD19" s="14" t="n"/>
      <c r="AE19" s="15" t="n"/>
      <c r="AF19" s="16">
        <f>IFERROR(AD19*AE19, 0)</f>
        <v/>
      </c>
      <c r="AG19" s="14" t="n"/>
      <c r="AH19" s="15" t="n"/>
      <c r="AI19" s="16">
        <f>IFERROR(AG19*AH19, 0)</f>
        <v/>
      </c>
      <c r="AJ19" s="14" t="n"/>
      <c r="AK19" s="15" t="n"/>
      <c r="AL19" s="16">
        <f>IFERROR(AJ19*AK19, 0)</f>
        <v/>
      </c>
      <c r="AM19" s="14" t="n"/>
      <c r="AN19" s="15" t="n"/>
      <c r="AO19" s="16">
        <f>IFERROR(AM19*AN19, 0)</f>
        <v/>
      </c>
      <c r="AP19" s="14" t="n"/>
      <c r="AQ19" s="15" t="n"/>
      <c r="AR19" s="16">
        <f>IFERROR(AP19*AQ19, 0)</f>
        <v/>
      </c>
      <c r="AS19" s="14" t="n"/>
      <c r="AT19" s="15" t="n"/>
      <c r="AU19" s="16">
        <f>IFERROR(AS19*AT19, 0)</f>
        <v/>
      </c>
      <c r="AV19" s="14" t="n"/>
      <c r="AW19" s="15" t="n"/>
      <c r="AX19" s="16">
        <f>IFERROR(AV19*AW19, 0)</f>
        <v/>
      </c>
      <c r="AY19" s="14" t="n"/>
      <c r="AZ19" s="15" t="n"/>
      <c r="BA19" s="16">
        <f>IFERROR(AY19*AZ19, 0)</f>
        <v/>
      </c>
      <c r="BB19" s="14" t="n"/>
      <c r="BC19" s="15" t="n"/>
      <c r="BD19" s="16">
        <f>IFERROR(BB19*BC19, 0)</f>
        <v/>
      </c>
      <c r="BE19" s="14" t="n"/>
      <c r="BF19" s="15" t="n"/>
      <c r="BG19" s="16">
        <f>IFERROR(BE19*BF19, 0)</f>
        <v/>
      </c>
      <c r="BH19" s="14" t="n"/>
      <c r="BI19" s="15" t="n"/>
      <c r="BJ19" s="16">
        <f>IFERROR(BH19*BI19, 0)</f>
        <v/>
      </c>
      <c r="BK19" s="14" t="n"/>
      <c r="BL19" s="15" t="n"/>
      <c r="BM19" s="16">
        <f>IFERROR(BK19*BL19, 0)</f>
        <v/>
      </c>
      <c r="BN19" s="14" t="n"/>
      <c r="BO19" s="15" t="n"/>
      <c r="BP19" s="16">
        <f>IFERROR(BN19*BO19, 0)</f>
        <v/>
      </c>
      <c r="BQ19" s="14" t="n"/>
      <c r="BR19" s="15" t="n"/>
      <c r="BS19" s="16">
        <f>IFERROR(BQ19*BR19, 0)</f>
        <v/>
      </c>
      <c r="BT19" s="14" t="n"/>
      <c r="BU19" s="15" t="n"/>
      <c r="BV19" s="16">
        <f>IFERROR(BT19*BU19, 0)</f>
        <v/>
      </c>
      <c r="BW19" s="14" t="n">
        <v>12</v>
      </c>
      <c r="BX19" s="15" t="n">
        <v>2000</v>
      </c>
      <c r="BY19" s="16" t="n">
        <v>24000</v>
      </c>
      <c r="BZ19" s="14" t="n"/>
      <c r="CA19" s="15" t="n"/>
      <c r="CB19" s="16">
        <f>IFERROR(BZ19*CA19, 0)</f>
        <v/>
      </c>
      <c r="CC19" s="14" t="n"/>
      <c r="CD19" s="15" t="n"/>
      <c r="CE19" s="16">
        <f>IFERROR(CC19*CD19, 0)</f>
        <v/>
      </c>
      <c r="CF19" s="14" t="n"/>
      <c r="CG19" s="15" t="n"/>
      <c r="CH19" s="16">
        <f>IFERROR(CF19*CG19, 0)</f>
        <v/>
      </c>
      <c r="CI19" s="14" t="n"/>
      <c r="CJ19" s="15" t="n"/>
      <c r="CK19" s="16">
        <f>IFERROR(CI19*CJ19, 0)</f>
        <v/>
      </c>
      <c r="CL19" s="14" t="n"/>
      <c r="CM19" s="15" t="n"/>
      <c r="CN19" s="16">
        <f>IFERROR(CL19*CM19, 0)</f>
        <v/>
      </c>
      <c r="CO19" s="14" t="n"/>
      <c r="CP19" s="15" t="n"/>
      <c r="CQ19" s="16">
        <f>IFERROR(CO19*CP19, 0)</f>
        <v/>
      </c>
      <c r="CR19" s="14" t="n"/>
      <c r="CS19" s="15" t="n"/>
      <c r="CT19" s="16">
        <f>IFERROR(CR19*CS19, 0)</f>
        <v/>
      </c>
      <c r="CU19" s="17">
        <f>IFERROR(SUM(F19,I19,L19,O19,R19,U19,X19,AA19,AD19,AG19,AJ19,AM19,AP19,AS19,AV19,AY19,BB19,BE19,BH19,BK19,BN19,BQ19,BT19,BW19,BZ19,CC19,CF19,CI19,CL19,CO19,CR19), 0)</f>
        <v/>
      </c>
      <c r="CV19" s="16">
        <f>IFERROR(AVERAGE(G19,J19,M19,P19,S19,V19,Y19,AB19,AE19,AH19,AK19,AN19,AQ19,AT19,AW19,AZ19,BC19,BF19,BI19,BL19,BO19,BR19,BU19,BX19,CA19,CD19,CG19,CJ19,CM19,CP19,CS19), 0)</f>
        <v/>
      </c>
      <c r="CW19" s="16">
        <f>CU19*CV19</f>
        <v/>
      </c>
    </row>
    <row r="20" ht="15.75" customHeight="1">
      <c r="A20" s="41" t="inlineStr">
        <is>
          <t>Bolsa manigueta t25</t>
        </is>
      </c>
      <c r="B20" s="41" t="inlineStr">
        <is>
          <t>Und</t>
        </is>
      </c>
      <c r="C20" s="42" t="n"/>
      <c r="D20" s="43" t="n"/>
      <c r="E20" s="78">
        <f>IFERROR(+C20*D20, 0)</f>
        <v/>
      </c>
      <c r="F20" s="14" t="n"/>
      <c r="G20" s="15" t="n"/>
      <c r="H20" s="16">
        <f>IFERROR(F20*G20, 0)</f>
        <v/>
      </c>
      <c r="I20" s="14" t="n">
        <v>10</v>
      </c>
      <c r="J20" s="15" t="n">
        <v>4800</v>
      </c>
      <c r="K20" s="16" t="n">
        <v>48000</v>
      </c>
      <c r="L20" s="14" t="n"/>
      <c r="M20" s="15" t="n"/>
      <c r="N20" s="16">
        <f>IFERROR(L20*M20, 0)</f>
        <v/>
      </c>
      <c r="O20" s="14" t="n"/>
      <c r="P20" s="15" t="n"/>
      <c r="Q20" s="16">
        <f>IFERROR(O20*P20, 0)</f>
        <v/>
      </c>
      <c r="R20" s="14" t="n"/>
      <c r="S20" s="15" t="n"/>
      <c r="T20" s="16">
        <f>IFERROR(R20*S20, 0)</f>
        <v/>
      </c>
      <c r="U20" s="14" t="n"/>
      <c r="V20" s="15" t="n"/>
      <c r="W20" s="16">
        <f>IFERROR(U20*V20, 0)</f>
        <v/>
      </c>
      <c r="X20" s="14" t="n">
        <v>10</v>
      </c>
      <c r="Y20" s="15" t="n">
        <v>4800</v>
      </c>
      <c r="Z20" s="16" t="n">
        <v>48000</v>
      </c>
      <c r="AA20" s="14" t="n"/>
      <c r="AB20" s="15" t="n"/>
      <c r="AC20" s="16">
        <f>IFERROR(AA20*AB20, 0)</f>
        <v/>
      </c>
      <c r="AD20" s="14" t="n"/>
      <c r="AE20" s="15" t="n"/>
      <c r="AF20" s="16">
        <f>IFERROR(AD20*AE20, 0)</f>
        <v/>
      </c>
      <c r="AG20" s="14" t="n"/>
      <c r="AH20" s="15" t="n"/>
      <c r="AI20" s="16">
        <f>IFERROR(AG20*AH20, 0)</f>
        <v/>
      </c>
      <c r="AJ20" s="14" t="n"/>
      <c r="AK20" s="15" t="n"/>
      <c r="AL20" s="16">
        <f>IFERROR(AJ20*AK20, 0)</f>
        <v/>
      </c>
      <c r="AM20" s="14" t="n"/>
      <c r="AN20" s="15" t="n"/>
      <c r="AO20" s="16">
        <f>IFERROR(AM20*AN20, 0)</f>
        <v/>
      </c>
      <c r="AP20" s="14" t="n"/>
      <c r="AQ20" s="15" t="n"/>
      <c r="AR20" s="16">
        <f>IFERROR(AP20*AQ20, 0)</f>
        <v/>
      </c>
      <c r="AS20" s="14" t="n"/>
      <c r="AT20" s="15" t="n"/>
      <c r="AU20" s="16">
        <f>IFERROR(AS20*AT20, 0)</f>
        <v/>
      </c>
      <c r="AV20" s="14" t="n"/>
      <c r="AW20" s="15" t="n"/>
      <c r="AX20" s="16">
        <f>IFERROR(AV20*AW20, 0)</f>
        <v/>
      </c>
      <c r="AY20" s="14" t="n"/>
      <c r="AZ20" s="15" t="n"/>
      <c r="BA20" s="16">
        <f>IFERROR(AY20*AZ20, 0)</f>
        <v/>
      </c>
      <c r="BB20" s="14" t="n"/>
      <c r="BC20" s="15" t="n"/>
      <c r="BD20" s="16">
        <f>IFERROR(BB20*BC20, 0)</f>
        <v/>
      </c>
      <c r="BE20" s="14" t="n">
        <v>6</v>
      </c>
      <c r="BF20" s="15" t="n">
        <v>4800</v>
      </c>
      <c r="BG20" s="16" t="n">
        <v>28800</v>
      </c>
      <c r="BH20" s="14" t="n"/>
      <c r="BI20" s="15" t="n"/>
      <c r="BJ20" s="16">
        <f>IFERROR(BH20*BI20, 0)</f>
        <v/>
      </c>
      <c r="BK20" s="14" t="n"/>
      <c r="BL20" s="15" t="n"/>
      <c r="BM20" s="16">
        <f>IFERROR(BK20*BL20, 0)</f>
        <v/>
      </c>
      <c r="BN20" s="14" t="n"/>
      <c r="BO20" s="15" t="n"/>
      <c r="BP20" s="16">
        <f>IFERROR(BN20*BO20, 0)</f>
        <v/>
      </c>
      <c r="BQ20" s="14" t="n">
        <v>6</v>
      </c>
      <c r="BR20" s="15" t="n">
        <v>4800</v>
      </c>
      <c r="BS20" s="16" t="n">
        <v>28800</v>
      </c>
      <c r="BT20" s="14" t="n"/>
      <c r="BU20" s="15" t="n"/>
      <c r="BV20" s="16">
        <f>IFERROR(BT20*BU20, 0)</f>
        <v/>
      </c>
      <c r="BW20" s="14" t="n"/>
      <c r="BX20" s="15" t="n"/>
      <c r="BY20" s="16">
        <f>IFERROR(BW20*BX20, 0)</f>
        <v/>
      </c>
      <c r="BZ20" s="14" t="n"/>
      <c r="CA20" s="15" t="n"/>
      <c r="CB20" s="16">
        <f>IFERROR(BZ20*CA20, 0)</f>
        <v/>
      </c>
      <c r="CC20" s="14" t="n"/>
      <c r="CD20" s="15" t="n"/>
      <c r="CE20" s="16">
        <f>IFERROR(CC20*CD20, 0)</f>
        <v/>
      </c>
      <c r="CF20" s="14" t="n"/>
      <c r="CG20" s="15" t="n"/>
      <c r="CH20" s="16">
        <f>IFERROR(CF20*CG20, 0)</f>
        <v/>
      </c>
      <c r="CI20" s="14" t="n"/>
      <c r="CJ20" s="15" t="n"/>
      <c r="CK20" s="16">
        <f>IFERROR(CI20*CJ20, 0)</f>
        <v/>
      </c>
      <c r="CL20" s="14" t="n"/>
      <c r="CM20" s="15" t="n"/>
      <c r="CN20" s="16">
        <f>IFERROR(CL20*CM20, 0)</f>
        <v/>
      </c>
      <c r="CO20" s="14" t="n"/>
      <c r="CP20" s="15" t="n"/>
      <c r="CQ20" s="16">
        <f>IFERROR(CO20*CP20, 0)</f>
        <v/>
      </c>
      <c r="CR20" s="14" t="n"/>
      <c r="CS20" s="15" t="n"/>
      <c r="CT20" s="16">
        <f>IFERROR(CR20*CS20, 0)</f>
        <v/>
      </c>
      <c r="CU20" s="17">
        <f>IFERROR(SUM(F20,I20,L20,O20,R20,U20,X20,AA20,AD20,AG20,AJ20,AM20,AP20,AS20,AV20,AY20,BB20,BE20,BH20,BK20,BN20,BQ20,BT20,BW20,BZ20,CC20,CF20,CI20,CL20,CO20,CR20), 0)</f>
        <v/>
      </c>
      <c r="CV20" s="16">
        <f>IFERROR(AVERAGE(G20,J20,M20,P20,S20,V20,Y20,AB20,AE20,AH20,AK20,AN20,AQ20,AT20,AW20,AZ20,BC20,BF20,BI20,BL20,BO20,BR20,BU20,BX20,CA20,CD20,CG20,CJ20,CM20,CP20,CS20), 0)</f>
        <v/>
      </c>
      <c r="CW20" s="16">
        <f>CU20*CV20</f>
        <v/>
      </c>
    </row>
    <row r="21" ht="15.75" customHeight="1">
      <c r="A21" s="41" t="inlineStr">
        <is>
          <t>Bolsa maniguetat19</t>
        </is>
      </c>
      <c r="B21" s="41" t="inlineStr">
        <is>
          <t>Pqte</t>
        </is>
      </c>
      <c r="C21" s="42" t="n"/>
      <c r="D21" s="43" t="n"/>
      <c r="E21" s="78">
        <f>IFERROR(+C21*D21, 0)</f>
        <v/>
      </c>
      <c r="F21" s="14" t="n"/>
      <c r="G21" s="15" t="n"/>
      <c r="H21" s="16">
        <f>IFERROR(F21*G21, 0)</f>
        <v/>
      </c>
      <c r="I21" s="14" t="n"/>
      <c r="J21" s="15" t="n"/>
      <c r="K21" s="16">
        <f>IFERROR(I21*J21, 0)</f>
        <v/>
      </c>
      <c r="L21" s="14" t="n"/>
      <c r="M21" s="15" t="n"/>
      <c r="N21" s="16">
        <f>IFERROR(L21*M21, 0)</f>
        <v/>
      </c>
      <c r="O21" s="14" t="n"/>
      <c r="P21" s="15" t="n"/>
      <c r="Q21" s="16">
        <f>IFERROR(O21*P21, 0)</f>
        <v/>
      </c>
      <c r="R21" s="14" t="n"/>
      <c r="S21" s="15" t="n"/>
      <c r="T21" s="16">
        <f>IFERROR(R21*S21, 0)</f>
        <v/>
      </c>
      <c r="U21" s="14" t="n"/>
      <c r="V21" s="15" t="n"/>
      <c r="W21" s="16">
        <f>IFERROR(U21*V21, 0)</f>
        <v/>
      </c>
      <c r="X21" s="14" t="n">
        <v>5</v>
      </c>
      <c r="Y21" s="15" t="n">
        <v>2600</v>
      </c>
      <c r="Z21" s="16" t="n">
        <v>13000</v>
      </c>
      <c r="AA21" s="14" t="n"/>
      <c r="AB21" s="15" t="n"/>
      <c r="AC21" s="16">
        <f>IFERROR(AA21*AB21, 0)</f>
        <v/>
      </c>
      <c r="AD21" s="14" t="n"/>
      <c r="AE21" s="15" t="n"/>
      <c r="AF21" s="16">
        <f>IFERROR(AD21*AE21, 0)</f>
        <v/>
      </c>
      <c r="AG21" s="14" t="n"/>
      <c r="AH21" s="15" t="n"/>
      <c r="AI21" s="16">
        <f>IFERROR(AG21*AH21, 0)</f>
        <v/>
      </c>
      <c r="AJ21" s="14" t="n"/>
      <c r="AK21" s="15" t="n"/>
      <c r="AL21" s="16">
        <f>IFERROR(AJ21*AK21, 0)</f>
        <v/>
      </c>
      <c r="AM21" s="14" t="n"/>
      <c r="AN21" s="15" t="n"/>
      <c r="AO21" s="16">
        <f>IFERROR(AM21*AN21, 0)</f>
        <v/>
      </c>
      <c r="AP21" s="14" t="n"/>
      <c r="AQ21" s="15" t="n"/>
      <c r="AR21" s="16">
        <f>IFERROR(AP21*AQ21, 0)</f>
        <v/>
      </c>
      <c r="AS21" s="14" t="n"/>
      <c r="AT21" s="15" t="n"/>
      <c r="AU21" s="16">
        <f>IFERROR(AS21*AT21, 0)</f>
        <v/>
      </c>
      <c r="AV21" s="14" t="n"/>
      <c r="AW21" s="15" t="n"/>
      <c r="AX21" s="16">
        <f>IFERROR(AV21*AW21, 0)</f>
        <v/>
      </c>
      <c r="AY21" s="14" t="n"/>
      <c r="AZ21" s="15" t="n"/>
      <c r="BA21" s="16">
        <f>IFERROR(AY21*AZ21, 0)</f>
        <v/>
      </c>
      <c r="BB21" s="14" t="n"/>
      <c r="BC21" s="15" t="n"/>
      <c r="BD21" s="16">
        <f>IFERROR(BB21*BC21, 0)</f>
        <v/>
      </c>
      <c r="BE21" s="14" t="n"/>
      <c r="BF21" s="15" t="n"/>
      <c r="BG21" s="16">
        <f>IFERROR(BE21*BF21, 0)</f>
        <v/>
      </c>
      <c r="BH21" s="14" t="n"/>
      <c r="BI21" s="15" t="n"/>
      <c r="BJ21" s="16">
        <f>IFERROR(BH21*BI21, 0)</f>
        <v/>
      </c>
      <c r="BK21" s="14" t="n"/>
      <c r="BL21" s="15" t="n"/>
      <c r="BM21" s="16">
        <f>IFERROR(BK21*BL21, 0)</f>
        <v/>
      </c>
      <c r="BN21" s="14" t="n"/>
      <c r="BO21" s="15" t="n"/>
      <c r="BP21" s="16">
        <f>IFERROR(BN21*BO21, 0)</f>
        <v/>
      </c>
      <c r="BQ21" s="14" t="n">
        <v>3</v>
      </c>
      <c r="BR21" s="15" t="n">
        <v>2600</v>
      </c>
      <c r="BS21" s="16" t="n">
        <v>7800</v>
      </c>
      <c r="BT21" s="14" t="n"/>
      <c r="BU21" s="15" t="n"/>
      <c r="BV21" s="16">
        <f>IFERROR(BT21*BU21, 0)</f>
        <v/>
      </c>
      <c r="BW21" s="14" t="n"/>
      <c r="BX21" s="15" t="n"/>
      <c r="BY21" s="16">
        <f>IFERROR(BW21*BX21, 0)</f>
        <v/>
      </c>
      <c r="BZ21" s="14" t="n"/>
      <c r="CA21" s="15" t="n"/>
      <c r="CB21" s="16">
        <f>IFERROR(BZ21*CA21, 0)</f>
        <v/>
      </c>
      <c r="CC21" s="14" t="n"/>
      <c r="CD21" s="15" t="n"/>
      <c r="CE21" s="16">
        <f>IFERROR(CC21*CD21, 0)</f>
        <v/>
      </c>
      <c r="CF21" s="14" t="n"/>
      <c r="CG21" s="15" t="n"/>
      <c r="CH21" s="16">
        <f>IFERROR(CF21*CG21, 0)</f>
        <v/>
      </c>
      <c r="CI21" s="14" t="n"/>
      <c r="CJ21" s="15" t="n"/>
      <c r="CK21" s="16">
        <f>IFERROR(CI21*CJ21, 0)</f>
        <v/>
      </c>
      <c r="CL21" s="14" t="n"/>
      <c r="CM21" s="15" t="n"/>
      <c r="CN21" s="16">
        <f>IFERROR(CL21*CM21, 0)</f>
        <v/>
      </c>
      <c r="CO21" s="14" t="n"/>
      <c r="CP21" s="15" t="n"/>
      <c r="CQ21" s="16">
        <f>IFERROR(CO21*CP21, 0)</f>
        <v/>
      </c>
      <c r="CR21" s="14" t="n"/>
      <c r="CS21" s="15" t="n"/>
      <c r="CT21" s="16">
        <f>IFERROR(CR21*CS21, 0)</f>
        <v/>
      </c>
      <c r="CU21" s="17">
        <f>IFERROR(SUM(F21,I21,L21,O21,R21,U21,X21,AA21,AD21,AG21,AJ21,AM21,AP21,AS21,AV21,AY21,BB21,BE21,BH21,BK21,BN21,BQ21,BT21,BW21,BZ21,CC21,CF21,CI21,CL21,CO21,CR21), 0)</f>
        <v/>
      </c>
      <c r="CV21" s="16">
        <f>IFERROR(AVERAGE(G21,J21,M21,P21,S21,V21,Y21,AB21,AE21,AH21,AK21,AN21,AQ21,AT21,AW21,AZ21,BC21,BF21,BI21,BL21,BO21,BR21,BU21,BX21,CA21,CD21,CG21,CJ21,CM21,CP21,CS21), 0)</f>
        <v/>
      </c>
      <c r="CW21" s="16">
        <f>CU21*CV21</f>
        <v/>
      </c>
    </row>
    <row r="22" ht="15.75" customHeight="1">
      <c r="A22" s="41" t="inlineStr">
        <is>
          <t>Bolsa maniguetat40</t>
        </is>
      </c>
      <c r="B22" s="41" t="inlineStr">
        <is>
          <t>Pqte</t>
        </is>
      </c>
      <c r="C22" s="42" t="n"/>
      <c r="D22" s="43" t="n"/>
      <c r="E22" s="78">
        <f>IFERROR(+C22*D22, 0)</f>
        <v/>
      </c>
      <c r="F22" s="14" t="n">
        <v>2</v>
      </c>
      <c r="G22" s="15" t="n">
        <v>9600</v>
      </c>
      <c r="H22" s="16" t="n">
        <v>19200</v>
      </c>
      <c r="I22" s="14" t="n">
        <v>3</v>
      </c>
      <c r="J22" s="15" t="n">
        <v>9600</v>
      </c>
      <c r="K22" s="16" t="n">
        <v>28800</v>
      </c>
      <c r="L22" s="14" t="n"/>
      <c r="M22" s="15" t="n"/>
      <c r="N22" s="16">
        <f>IFERROR(L22*M22, 0)</f>
        <v/>
      </c>
      <c r="O22" s="14" t="n"/>
      <c r="P22" s="15" t="n"/>
      <c r="Q22" s="16">
        <f>IFERROR(O22*P22, 0)</f>
        <v/>
      </c>
      <c r="R22" s="14" t="n"/>
      <c r="S22" s="15" t="n"/>
      <c r="T22" s="16">
        <f>IFERROR(R22*S22, 0)</f>
        <v/>
      </c>
      <c r="U22" s="14" t="n"/>
      <c r="V22" s="15" t="n"/>
      <c r="W22" s="16">
        <f>IFERROR(U22*V22, 0)</f>
        <v/>
      </c>
      <c r="X22" s="14" t="n">
        <v>6</v>
      </c>
      <c r="Y22" s="15" t="n">
        <v>9600</v>
      </c>
      <c r="Z22" s="16" t="n">
        <v>57600</v>
      </c>
      <c r="AA22" s="14" t="n"/>
      <c r="AB22" s="15" t="n"/>
      <c r="AC22" s="16">
        <f>IFERROR(AA22*AB22, 0)</f>
        <v/>
      </c>
      <c r="AD22" s="14" t="n"/>
      <c r="AE22" s="15" t="n"/>
      <c r="AF22" s="16">
        <f>IFERROR(AD22*AE22, 0)</f>
        <v/>
      </c>
      <c r="AG22" s="14" t="n"/>
      <c r="AH22" s="15" t="n"/>
      <c r="AI22" s="16">
        <f>IFERROR(AG22*AH22, 0)</f>
        <v/>
      </c>
      <c r="AJ22" s="14" t="n"/>
      <c r="AK22" s="15" t="n"/>
      <c r="AL22" s="16">
        <f>IFERROR(AJ22*AK22, 0)</f>
        <v/>
      </c>
      <c r="AM22" s="14" t="n"/>
      <c r="AN22" s="15" t="n"/>
      <c r="AO22" s="16">
        <f>IFERROR(AM22*AN22, 0)</f>
        <v/>
      </c>
      <c r="AP22" s="14" t="n"/>
      <c r="AQ22" s="15" t="n"/>
      <c r="AR22" s="16">
        <f>IFERROR(AP22*AQ22, 0)</f>
        <v/>
      </c>
      <c r="AS22" s="14" t="n"/>
      <c r="AT22" s="15" t="n"/>
      <c r="AU22" s="16">
        <f>IFERROR(AS22*AT22, 0)</f>
        <v/>
      </c>
      <c r="AV22" s="14" t="n"/>
      <c r="AW22" s="15" t="n"/>
      <c r="AX22" s="16">
        <f>IFERROR(AV22*AW22, 0)</f>
        <v/>
      </c>
      <c r="AY22" s="14" t="n"/>
      <c r="AZ22" s="15" t="n"/>
      <c r="BA22" s="16">
        <f>IFERROR(AY22*AZ22, 0)</f>
        <v/>
      </c>
      <c r="BB22" s="14" t="n"/>
      <c r="BC22" s="15" t="n"/>
      <c r="BD22" s="16">
        <f>IFERROR(BB22*BC22, 0)</f>
        <v/>
      </c>
      <c r="BE22" s="14" t="n">
        <v>3</v>
      </c>
      <c r="BF22" s="15" t="n">
        <v>9600</v>
      </c>
      <c r="BG22" s="16" t="n">
        <v>28800</v>
      </c>
      <c r="BH22" s="14" t="n"/>
      <c r="BI22" s="15" t="n"/>
      <c r="BJ22" s="16">
        <f>IFERROR(BH22*BI22, 0)</f>
        <v/>
      </c>
      <c r="BK22" s="14" t="n"/>
      <c r="BL22" s="15" t="n"/>
      <c r="BM22" s="16">
        <f>IFERROR(BK22*BL22, 0)</f>
        <v/>
      </c>
      <c r="BN22" s="14" t="n"/>
      <c r="BO22" s="15" t="n"/>
      <c r="BP22" s="16">
        <f>IFERROR(BN22*BO22, 0)</f>
        <v/>
      </c>
      <c r="BQ22" s="14" t="n">
        <v>5</v>
      </c>
      <c r="BR22" s="15" t="n">
        <v>9600</v>
      </c>
      <c r="BS22" s="16" t="n">
        <v>48000</v>
      </c>
      <c r="BT22" s="14" t="n"/>
      <c r="BU22" s="15" t="n"/>
      <c r="BV22" s="16">
        <f>IFERROR(BT22*BU22, 0)</f>
        <v/>
      </c>
      <c r="BW22" s="14" t="n"/>
      <c r="BX22" s="15" t="n"/>
      <c r="BY22" s="16">
        <f>IFERROR(BW22*BX22, 0)</f>
        <v/>
      </c>
      <c r="BZ22" s="14" t="n"/>
      <c r="CA22" s="15" t="n"/>
      <c r="CB22" s="16">
        <f>IFERROR(BZ22*CA22, 0)</f>
        <v/>
      </c>
      <c r="CC22" s="14" t="n"/>
      <c r="CD22" s="15" t="n"/>
      <c r="CE22" s="16">
        <f>IFERROR(CC22*CD22, 0)</f>
        <v/>
      </c>
      <c r="CF22" s="14" t="n"/>
      <c r="CG22" s="15" t="n"/>
      <c r="CH22" s="16">
        <f>IFERROR(CF22*CG22, 0)</f>
        <v/>
      </c>
      <c r="CI22" s="14" t="n"/>
      <c r="CJ22" s="15" t="n"/>
      <c r="CK22" s="16">
        <f>IFERROR(CI22*CJ22, 0)</f>
        <v/>
      </c>
      <c r="CL22" s="14" t="n"/>
      <c r="CM22" s="15" t="n"/>
      <c r="CN22" s="16">
        <f>IFERROR(CL22*CM22, 0)</f>
        <v/>
      </c>
      <c r="CO22" s="14" t="n"/>
      <c r="CP22" s="15" t="n"/>
      <c r="CQ22" s="16">
        <f>IFERROR(CO22*CP22, 0)</f>
        <v/>
      </c>
      <c r="CR22" s="14" t="n"/>
      <c r="CS22" s="15" t="n"/>
      <c r="CT22" s="16">
        <f>IFERROR(CR22*CS22, 0)</f>
        <v/>
      </c>
      <c r="CU22" s="17">
        <f>IFERROR(SUM(F22,I22,L22,O22,R22,U22,X22,AA22,AD22,AG22,AJ22,AM22,AP22,AS22,AV22,AY22,BB22,BE22,BH22,BK22,BN22,BQ22,BT22,BW22,BZ22,CC22,CF22,CI22,CL22,CO22,CR22), 0)</f>
        <v/>
      </c>
      <c r="CV22" s="16">
        <f>IFERROR(AVERAGE(G22,J22,M22,P22,S22,V22,Y22,AB22,AE22,AH22,AK22,AN22,AQ22,AT22,AW22,AZ22,BC22,BF22,BI22,BL22,BO22,BR22,BU22,BX22,CA22,CD22,CG22,CJ22,CM22,CP22,CS22), 0)</f>
        <v/>
      </c>
      <c r="CW22" s="16">
        <f>CU22*CV22</f>
        <v/>
      </c>
    </row>
    <row r="23" ht="15.75" customHeight="1">
      <c r="A23" s="41" t="inlineStr">
        <is>
          <t>Bolsa tina</t>
        </is>
      </c>
      <c r="B23" s="41" t="inlineStr">
        <is>
          <t>Pqte</t>
        </is>
      </c>
      <c r="C23" s="42" t="n"/>
      <c r="D23" s="43" t="n"/>
      <c r="E23" s="78">
        <f>IFERROR(+C23*D23, 0)</f>
        <v/>
      </c>
      <c r="F23" s="14" t="n"/>
      <c r="G23" s="15" t="n"/>
      <c r="H23" s="16">
        <f>IFERROR(F23*G23, 0)</f>
        <v/>
      </c>
      <c r="I23" s="14" t="n"/>
      <c r="J23" s="15" t="n"/>
      <c r="K23" s="16">
        <f>IFERROR(I23*J23, 0)</f>
        <v/>
      </c>
      <c r="L23" s="14" t="n"/>
      <c r="M23" s="15" t="n"/>
      <c r="N23" s="16">
        <f>IFERROR(L23*M23, 0)</f>
        <v/>
      </c>
      <c r="O23" s="14" t="n"/>
      <c r="P23" s="15" t="n"/>
      <c r="Q23" s="16">
        <f>IFERROR(O23*P23, 0)</f>
        <v/>
      </c>
      <c r="R23" s="14" t="n"/>
      <c r="S23" s="15" t="n"/>
      <c r="T23" s="16">
        <f>IFERROR(R23*S23, 0)</f>
        <v/>
      </c>
      <c r="U23" s="14" t="n"/>
      <c r="V23" s="15" t="n"/>
      <c r="W23" s="16">
        <f>IFERROR(U23*V23, 0)</f>
        <v/>
      </c>
      <c r="X23" s="14" t="n"/>
      <c r="Y23" s="15" t="n"/>
      <c r="Z23" s="16">
        <f>IFERROR(X23*Y23, 0)</f>
        <v/>
      </c>
      <c r="AA23" s="14" t="n"/>
      <c r="AB23" s="15" t="n"/>
      <c r="AC23" s="16">
        <f>IFERROR(AA23*AB23, 0)</f>
        <v/>
      </c>
      <c r="AD23" s="14" t="n"/>
      <c r="AE23" s="15" t="n"/>
      <c r="AF23" s="16">
        <f>IFERROR(AD23*AE23, 0)</f>
        <v/>
      </c>
      <c r="AG23" s="14" t="n"/>
      <c r="AH23" s="15" t="n"/>
      <c r="AI23" s="16">
        <f>IFERROR(AG23*AH23, 0)</f>
        <v/>
      </c>
      <c r="AJ23" s="14" t="n"/>
      <c r="AK23" s="15" t="n"/>
      <c r="AL23" s="16">
        <f>IFERROR(AJ23*AK23, 0)</f>
        <v/>
      </c>
      <c r="AM23" s="14" t="n"/>
      <c r="AN23" s="15" t="n"/>
      <c r="AO23" s="16">
        <f>IFERROR(AM23*AN23, 0)</f>
        <v/>
      </c>
      <c r="AP23" s="14" t="n"/>
      <c r="AQ23" s="15" t="n"/>
      <c r="AR23" s="16">
        <f>IFERROR(AP23*AQ23, 0)</f>
        <v/>
      </c>
      <c r="AS23" s="14" t="n"/>
      <c r="AT23" s="15" t="n"/>
      <c r="AU23" s="16">
        <f>IFERROR(AS23*AT23, 0)</f>
        <v/>
      </c>
      <c r="AV23" s="14" t="n"/>
      <c r="AW23" s="15" t="n"/>
      <c r="AX23" s="16">
        <f>IFERROR(AV23*AW23, 0)</f>
        <v/>
      </c>
      <c r="AY23" s="14" t="n"/>
      <c r="AZ23" s="15" t="n"/>
      <c r="BA23" s="16">
        <f>IFERROR(AY23*AZ23, 0)</f>
        <v/>
      </c>
      <c r="BB23" s="14" t="n"/>
      <c r="BC23" s="15" t="n"/>
      <c r="BD23" s="16">
        <f>IFERROR(BB23*BC23, 0)</f>
        <v/>
      </c>
      <c r="BE23" s="14" t="n"/>
      <c r="BF23" s="15" t="n"/>
      <c r="BG23" s="16">
        <f>IFERROR(BE23*BF23, 0)</f>
        <v/>
      </c>
      <c r="BH23" s="14" t="n"/>
      <c r="BI23" s="15" t="n"/>
      <c r="BJ23" s="16">
        <f>IFERROR(BH23*BI23, 0)</f>
        <v/>
      </c>
      <c r="BK23" s="14" t="n"/>
      <c r="BL23" s="15" t="n"/>
      <c r="BM23" s="16">
        <f>IFERROR(BK23*BL23, 0)</f>
        <v/>
      </c>
      <c r="BN23" s="14" t="n"/>
      <c r="BO23" s="15" t="n"/>
      <c r="BP23" s="16">
        <f>IFERROR(BN23*BO23, 0)</f>
        <v/>
      </c>
      <c r="BQ23" s="14" t="n"/>
      <c r="BR23" s="15" t="n"/>
      <c r="BS23" s="16">
        <f>IFERROR(BQ23*BR23, 0)</f>
        <v/>
      </c>
      <c r="BT23" s="14" t="n"/>
      <c r="BU23" s="15" t="n"/>
      <c r="BV23" s="16">
        <f>IFERROR(BT23*BU23, 0)</f>
        <v/>
      </c>
      <c r="BW23" s="14" t="n"/>
      <c r="BX23" s="15" t="n"/>
      <c r="BY23" s="16">
        <f>IFERROR(BW23*BX23, 0)</f>
        <v/>
      </c>
      <c r="BZ23" s="14" t="n"/>
      <c r="CA23" s="15" t="n"/>
      <c r="CB23" s="16">
        <f>IFERROR(BZ23*CA23, 0)</f>
        <v/>
      </c>
      <c r="CC23" s="14" t="n"/>
      <c r="CD23" s="15" t="n"/>
      <c r="CE23" s="16">
        <f>IFERROR(CC23*CD23, 0)</f>
        <v/>
      </c>
      <c r="CF23" s="14" t="n"/>
      <c r="CG23" s="15" t="n"/>
      <c r="CH23" s="16">
        <f>IFERROR(CF23*CG23, 0)</f>
        <v/>
      </c>
      <c r="CI23" s="14" t="n"/>
      <c r="CJ23" s="15" t="n"/>
      <c r="CK23" s="16">
        <f>IFERROR(CI23*CJ23, 0)</f>
        <v/>
      </c>
      <c r="CL23" s="14" t="n"/>
      <c r="CM23" s="15" t="n"/>
      <c r="CN23" s="16">
        <f>IFERROR(CL23*CM23, 0)</f>
        <v/>
      </c>
      <c r="CO23" s="14" t="n"/>
      <c r="CP23" s="15" t="n"/>
      <c r="CQ23" s="16">
        <f>IFERROR(CO23*CP23, 0)</f>
        <v/>
      </c>
      <c r="CR23" s="14" t="n"/>
      <c r="CS23" s="15" t="n"/>
      <c r="CT23" s="16">
        <f>IFERROR(CR23*CS23, 0)</f>
        <v/>
      </c>
      <c r="CU23" s="17">
        <f>IFERROR(SUM(F23,I23,L23,O23,R23,U23,X23,AA23,AD23,AG23,AJ23,AM23,AP23,AS23,AV23,AY23,BB23,BE23,BH23,BK23,BN23,BQ23,BT23,BW23,BZ23,CC23,CF23,CI23,CL23,CO23,CR23), 0)</f>
        <v/>
      </c>
      <c r="CV23" s="16">
        <f>IFERROR(AVERAGE(G23,J23,M23,P23,S23,V23,Y23,AB23,AE23,AH23,AK23,AN23,AQ23,AT23,AW23,AZ23,BC23,BF23,BI23,BL23,BO23,BR23,BU23,BX23,CA23,CD23,CG23,CJ23,CM23,CP23,CS23), 0)</f>
        <v/>
      </c>
      <c r="CW23" s="16">
        <f>CU23*CV23</f>
        <v/>
      </c>
    </row>
    <row r="24" ht="15.75" customHeight="1">
      <c r="A24" s="21" t="inlineStr">
        <is>
          <t>Bolsa manigueta t40 bio</t>
        </is>
      </c>
      <c r="B24" s="21" t="inlineStr">
        <is>
          <t>Pqte</t>
        </is>
      </c>
      <c r="C24" s="44" t="n"/>
      <c r="D24" s="22" t="n"/>
      <c r="E24" s="78">
        <f>IFERROR(+C24*D24, 0)</f>
        <v/>
      </c>
      <c r="F24" s="14" t="n"/>
      <c r="G24" s="15" t="n"/>
      <c r="H24" s="16">
        <f>IFERROR(F24*G24, 0)</f>
        <v/>
      </c>
      <c r="I24" s="14" t="n"/>
      <c r="J24" s="15" t="n"/>
      <c r="K24" s="16">
        <f>IFERROR(I24*J24, 0)</f>
        <v/>
      </c>
      <c r="L24" s="14" t="n"/>
      <c r="M24" s="15" t="n"/>
      <c r="N24" s="16">
        <f>IFERROR(L24*M24, 0)</f>
        <v/>
      </c>
      <c r="O24" s="14" t="n"/>
      <c r="P24" s="15" t="n"/>
      <c r="Q24" s="16">
        <f>IFERROR(O24*P24, 0)</f>
        <v/>
      </c>
      <c r="R24" s="14" t="n"/>
      <c r="S24" s="15" t="n"/>
      <c r="T24" s="16">
        <f>IFERROR(R24*S24, 0)</f>
        <v/>
      </c>
      <c r="U24" s="14" t="n"/>
      <c r="V24" s="15" t="n"/>
      <c r="W24" s="16">
        <f>IFERROR(U24*V24, 0)</f>
        <v/>
      </c>
      <c r="X24" s="14" t="n"/>
      <c r="Y24" s="15" t="n"/>
      <c r="Z24" s="16">
        <f>IFERROR(X24*Y24, 0)</f>
        <v/>
      </c>
      <c r="AA24" s="14" t="n"/>
      <c r="AB24" s="15" t="n"/>
      <c r="AC24" s="16">
        <f>IFERROR(AA24*AB24, 0)</f>
        <v/>
      </c>
      <c r="AD24" s="14" t="n"/>
      <c r="AE24" s="15" t="n"/>
      <c r="AF24" s="16">
        <f>IFERROR(AD24*AE24, 0)</f>
        <v/>
      </c>
      <c r="AG24" s="14" t="n"/>
      <c r="AH24" s="15" t="n"/>
      <c r="AI24" s="16">
        <f>IFERROR(AG24*AH24, 0)</f>
        <v/>
      </c>
      <c r="AJ24" s="14" t="n"/>
      <c r="AK24" s="15" t="n"/>
      <c r="AL24" s="16">
        <f>IFERROR(AJ24*AK24, 0)</f>
        <v/>
      </c>
      <c r="AM24" s="14" t="n"/>
      <c r="AN24" s="15" t="n"/>
      <c r="AO24" s="16">
        <f>IFERROR(AM24*AN24, 0)</f>
        <v/>
      </c>
      <c r="AP24" s="14" t="n"/>
      <c r="AQ24" s="15" t="n"/>
      <c r="AR24" s="16">
        <f>IFERROR(AP24*AQ24, 0)</f>
        <v/>
      </c>
      <c r="AS24" s="14" t="n"/>
      <c r="AT24" s="15" t="n"/>
      <c r="AU24" s="16">
        <f>IFERROR(AS24*AT24, 0)</f>
        <v/>
      </c>
      <c r="AV24" s="14" t="n"/>
      <c r="AW24" s="15" t="n"/>
      <c r="AX24" s="16">
        <f>IFERROR(AV24*AW24, 0)</f>
        <v/>
      </c>
      <c r="AY24" s="14" t="n"/>
      <c r="AZ24" s="15" t="n"/>
      <c r="BA24" s="16">
        <f>IFERROR(AY24*AZ24, 0)</f>
        <v/>
      </c>
      <c r="BB24" s="14" t="n"/>
      <c r="BC24" s="15" t="n"/>
      <c r="BD24" s="16">
        <f>IFERROR(BB24*BC24, 0)</f>
        <v/>
      </c>
      <c r="BE24" s="14" t="n"/>
      <c r="BF24" s="15" t="n"/>
      <c r="BG24" s="16">
        <f>IFERROR(BE24*BF24, 0)</f>
        <v/>
      </c>
      <c r="BH24" s="14" t="n"/>
      <c r="BI24" s="15" t="n"/>
      <c r="BJ24" s="16">
        <f>IFERROR(BH24*BI24, 0)</f>
        <v/>
      </c>
      <c r="BK24" s="14" t="n"/>
      <c r="BL24" s="15" t="n"/>
      <c r="BM24" s="16">
        <f>IFERROR(BK24*BL24, 0)</f>
        <v/>
      </c>
      <c r="BN24" s="14" t="n"/>
      <c r="BO24" s="15" t="n"/>
      <c r="BP24" s="16">
        <f>IFERROR(BN24*BO24, 0)</f>
        <v/>
      </c>
      <c r="BQ24" s="14" t="n"/>
      <c r="BR24" s="15" t="n"/>
      <c r="BS24" s="16">
        <f>IFERROR(BQ24*BR24, 0)</f>
        <v/>
      </c>
      <c r="BT24" s="14" t="n"/>
      <c r="BU24" s="15" t="n"/>
      <c r="BV24" s="16">
        <f>IFERROR(BT24*BU24, 0)</f>
        <v/>
      </c>
      <c r="BW24" s="14" t="n"/>
      <c r="BX24" s="15" t="n"/>
      <c r="BY24" s="16">
        <f>IFERROR(BW24*BX24, 0)</f>
        <v/>
      </c>
      <c r="BZ24" s="14" t="n"/>
      <c r="CA24" s="15" t="n"/>
      <c r="CB24" s="16">
        <f>IFERROR(BZ24*CA24, 0)</f>
        <v/>
      </c>
      <c r="CC24" s="14" t="n"/>
      <c r="CD24" s="15" t="n"/>
      <c r="CE24" s="16">
        <f>IFERROR(CC24*CD24, 0)</f>
        <v/>
      </c>
      <c r="CF24" s="14" t="n"/>
      <c r="CG24" s="15" t="n"/>
      <c r="CH24" s="16">
        <f>IFERROR(CF24*CG24, 0)</f>
        <v/>
      </c>
      <c r="CI24" s="14" t="n"/>
      <c r="CJ24" s="15" t="n"/>
      <c r="CK24" s="16">
        <f>IFERROR(CI24*CJ24, 0)</f>
        <v/>
      </c>
      <c r="CL24" s="14" t="n"/>
      <c r="CM24" s="15" t="n"/>
      <c r="CN24" s="16">
        <f>IFERROR(CL24*CM24, 0)</f>
        <v/>
      </c>
      <c r="CO24" s="14" t="n"/>
      <c r="CP24" s="15" t="n"/>
      <c r="CQ24" s="16">
        <f>IFERROR(CO24*CP24, 0)</f>
        <v/>
      </c>
      <c r="CR24" s="14" t="n"/>
      <c r="CS24" s="15" t="n"/>
      <c r="CT24" s="16">
        <f>IFERROR(CR24*CS24, 0)</f>
        <v/>
      </c>
      <c r="CU24" s="17">
        <f>IFERROR(SUM(F24,I24,L24,O24,R24,U24,X24,AA24,AD24,AG24,AJ24,AM24,AP24,AS24,AV24,AY24,BB24,BE24,BH24,BK24,BN24,BQ24,BT24,BW24,BZ24,CC24,CF24,CI24,CL24,CO24,CR24), 0)</f>
        <v/>
      </c>
      <c r="CV24" s="16">
        <f>IFERROR(AVERAGE(G24,J24,M24,P24,S24,V24,Y24,AB24,AE24,AH24,AK24,AN24,AQ24,AT24,AW24,AZ24,BC24,BF24,BI24,BL24,BO24,BR24,BU24,BX24,CA24,CD24,CG24,CJ24,CM24,CP24,CS24), 0)</f>
        <v/>
      </c>
      <c r="CW24" s="16">
        <f>CU24*CV24</f>
        <v/>
      </c>
    </row>
    <row r="25" ht="15.75" customHeight="1">
      <c r="A25" s="41" t="inlineStr">
        <is>
          <t>Cajas de palillos</t>
        </is>
      </c>
      <c r="B25" s="41" t="inlineStr">
        <is>
          <t>Pqte</t>
        </is>
      </c>
      <c r="C25" s="42" t="n"/>
      <c r="D25" s="43" t="n"/>
      <c r="E25" s="78">
        <f>IFERROR(+C25*D25, 0)</f>
        <v/>
      </c>
      <c r="F25" s="14" t="n"/>
      <c r="G25" s="15" t="n"/>
      <c r="H25" s="16">
        <f>IFERROR(F25*G25, 0)</f>
        <v/>
      </c>
      <c r="I25" s="14" t="n"/>
      <c r="J25" s="15" t="n"/>
      <c r="K25" s="16">
        <f>IFERROR(I25*J25, 0)</f>
        <v/>
      </c>
      <c r="L25" s="14" t="n"/>
      <c r="M25" s="15" t="n"/>
      <c r="N25" s="16">
        <f>IFERROR(L25*M25, 0)</f>
        <v/>
      </c>
      <c r="O25" s="14" t="n"/>
      <c r="P25" s="15" t="n"/>
      <c r="Q25" s="16">
        <f>IFERROR(O25*P25, 0)</f>
        <v/>
      </c>
      <c r="R25" s="14" t="n"/>
      <c r="S25" s="15" t="n"/>
      <c r="T25" s="16">
        <f>IFERROR(R25*S25, 0)</f>
        <v/>
      </c>
      <c r="U25" s="14" t="n"/>
      <c r="V25" s="15" t="n"/>
      <c r="W25" s="16">
        <f>IFERROR(U25*V25, 0)</f>
        <v/>
      </c>
      <c r="X25" s="14" t="n"/>
      <c r="Y25" s="15" t="n"/>
      <c r="Z25" s="16">
        <f>IFERROR(X25*Y25, 0)</f>
        <v/>
      </c>
      <c r="AA25" s="14" t="n"/>
      <c r="AB25" s="15" t="n"/>
      <c r="AC25" s="16">
        <f>IFERROR(AA25*AB25, 0)</f>
        <v/>
      </c>
      <c r="AD25" s="14" t="n"/>
      <c r="AE25" s="15" t="n"/>
      <c r="AF25" s="16">
        <f>IFERROR(AD25*AE25, 0)</f>
        <v/>
      </c>
      <c r="AG25" s="14" t="n"/>
      <c r="AH25" s="15" t="n"/>
      <c r="AI25" s="16">
        <f>IFERROR(AG25*AH25, 0)</f>
        <v/>
      </c>
      <c r="AJ25" s="14" t="n"/>
      <c r="AK25" s="15" t="n"/>
      <c r="AL25" s="16">
        <f>IFERROR(AJ25*AK25, 0)</f>
        <v/>
      </c>
      <c r="AM25" s="14" t="n"/>
      <c r="AN25" s="15" t="n"/>
      <c r="AO25" s="16">
        <f>IFERROR(AM25*AN25, 0)</f>
        <v/>
      </c>
      <c r="AP25" s="14" t="n"/>
      <c r="AQ25" s="15" t="n"/>
      <c r="AR25" s="16">
        <f>IFERROR(AP25*AQ25, 0)</f>
        <v/>
      </c>
      <c r="AS25" s="14" t="n"/>
      <c r="AT25" s="15" t="n"/>
      <c r="AU25" s="16">
        <f>IFERROR(AS25*AT25, 0)</f>
        <v/>
      </c>
      <c r="AV25" s="14" t="n"/>
      <c r="AW25" s="15" t="n"/>
      <c r="AX25" s="16">
        <f>IFERROR(AV25*AW25, 0)</f>
        <v/>
      </c>
      <c r="AY25" s="14" t="n"/>
      <c r="AZ25" s="15" t="n"/>
      <c r="BA25" s="16">
        <f>IFERROR(AY25*AZ25, 0)</f>
        <v/>
      </c>
      <c r="BB25" s="14" t="n"/>
      <c r="BC25" s="15" t="n"/>
      <c r="BD25" s="16">
        <f>IFERROR(BB25*BC25, 0)</f>
        <v/>
      </c>
      <c r="BE25" s="14" t="n"/>
      <c r="BF25" s="15" t="n"/>
      <c r="BG25" s="16">
        <f>IFERROR(BE25*BF25, 0)</f>
        <v/>
      </c>
      <c r="BH25" s="14" t="n"/>
      <c r="BI25" s="15" t="n"/>
      <c r="BJ25" s="16">
        <f>IFERROR(BH25*BI25, 0)</f>
        <v/>
      </c>
      <c r="BK25" s="14" t="n"/>
      <c r="BL25" s="15" t="n"/>
      <c r="BM25" s="16">
        <f>IFERROR(BK25*BL25, 0)</f>
        <v/>
      </c>
      <c r="BN25" s="14" t="n"/>
      <c r="BO25" s="15" t="n"/>
      <c r="BP25" s="16">
        <f>IFERROR(BN25*BO25, 0)</f>
        <v/>
      </c>
      <c r="BQ25" s="14" t="n"/>
      <c r="BR25" s="15" t="n"/>
      <c r="BS25" s="16">
        <f>IFERROR(BQ25*BR25, 0)</f>
        <v/>
      </c>
      <c r="BT25" s="14" t="n"/>
      <c r="BU25" s="15" t="n"/>
      <c r="BV25" s="16">
        <f>IFERROR(BT25*BU25, 0)</f>
        <v/>
      </c>
      <c r="BW25" s="14" t="n"/>
      <c r="BX25" s="15" t="n"/>
      <c r="BY25" s="16">
        <f>IFERROR(BW25*BX25, 0)</f>
        <v/>
      </c>
      <c r="BZ25" s="14" t="n"/>
      <c r="CA25" s="15" t="n"/>
      <c r="CB25" s="16">
        <f>IFERROR(BZ25*CA25, 0)</f>
        <v/>
      </c>
      <c r="CC25" s="14" t="n"/>
      <c r="CD25" s="15" t="n"/>
      <c r="CE25" s="16">
        <f>IFERROR(CC25*CD25, 0)</f>
        <v/>
      </c>
      <c r="CF25" s="14" t="n"/>
      <c r="CG25" s="15" t="n"/>
      <c r="CH25" s="16">
        <f>IFERROR(CF25*CG25, 0)</f>
        <v/>
      </c>
      <c r="CI25" s="14" t="n"/>
      <c r="CJ25" s="15" t="n"/>
      <c r="CK25" s="16">
        <f>IFERROR(CI25*CJ25, 0)</f>
        <v/>
      </c>
      <c r="CL25" s="14" t="n"/>
      <c r="CM25" s="15" t="n"/>
      <c r="CN25" s="16">
        <f>IFERROR(CL25*CM25, 0)</f>
        <v/>
      </c>
      <c r="CO25" s="14" t="n"/>
      <c r="CP25" s="15" t="n"/>
      <c r="CQ25" s="16">
        <f>IFERROR(CO25*CP25, 0)</f>
        <v/>
      </c>
      <c r="CR25" s="14" t="n"/>
      <c r="CS25" s="15" t="n"/>
      <c r="CT25" s="16">
        <f>IFERROR(CR25*CS25, 0)</f>
        <v/>
      </c>
      <c r="CU25" s="17">
        <f>IFERROR(SUM(F25,I25,L25,O25,R25,U25,X25,AA25,AD25,AG25,AJ25,AM25,AP25,AS25,AV25,AY25,BB25,BE25,BH25,BK25,BN25,BQ25,BT25,BW25,BZ25,CC25,CF25,CI25,CL25,CO25,CR25), 0)</f>
        <v/>
      </c>
      <c r="CV25" s="16">
        <f>IFERROR(AVERAGE(G25,J25,M25,P25,S25,V25,Y25,AB25,AE25,AH25,AK25,AN25,AQ25,AT25,AW25,AZ25,BC25,BF25,BI25,BL25,BO25,BR25,BU25,BX25,CA25,CD25,CG25,CJ25,CM25,CP25,CS25), 0)</f>
        <v/>
      </c>
      <c r="CW25" s="16">
        <f>CU25*CV25</f>
        <v/>
      </c>
    </row>
    <row r="26" ht="15.75" customHeight="1">
      <c r="A26" s="41" t="inlineStr">
        <is>
          <t>Café</t>
        </is>
      </c>
      <c r="B26" s="41" t="inlineStr">
        <is>
          <t>Lb</t>
        </is>
      </c>
      <c r="C26" s="42" t="n"/>
      <c r="D26" s="43" t="n"/>
      <c r="E26" s="78">
        <f>IFERROR(+C26*D26, 0)</f>
        <v/>
      </c>
      <c r="F26" s="14" t="n"/>
      <c r="G26" s="15" t="n"/>
      <c r="H26" s="16">
        <f>IFERROR(F26*G26, 0)</f>
        <v/>
      </c>
      <c r="I26" s="14" t="n"/>
      <c r="J26" s="15" t="n"/>
      <c r="K26" s="16">
        <f>IFERROR(I26*J26, 0)</f>
        <v/>
      </c>
      <c r="L26" s="14" t="n"/>
      <c r="M26" s="15" t="n"/>
      <c r="N26" s="16">
        <f>IFERROR(L26*M26, 0)</f>
        <v/>
      </c>
      <c r="O26" s="14" t="n"/>
      <c r="P26" s="15" t="n"/>
      <c r="Q26" s="16">
        <f>IFERROR(O26*P26, 0)</f>
        <v/>
      </c>
      <c r="R26" s="14" t="n"/>
      <c r="S26" s="15" t="n"/>
      <c r="T26" s="16">
        <f>IFERROR(R26*S26, 0)</f>
        <v/>
      </c>
      <c r="U26" s="14" t="n"/>
      <c r="V26" s="15" t="n"/>
      <c r="W26" s="16">
        <f>IFERROR(U26*V26, 0)</f>
        <v/>
      </c>
      <c r="X26" s="14" t="n">
        <v>2</v>
      </c>
      <c r="Y26" s="15" t="n">
        <v>27500</v>
      </c>
      <c r="Z26" s="16" t="n">
        <v>55000</v>
      </c>
      <c r="AA26" s="14" t="n"/>
      <c r="AB26" s="15" t="n"/>
      <c r="AC26" s="16">
        <f>IFERROR(AA26*AB26, 0)</f>
        <v/>
      </c>
      <c r="AD26" s="14" t="n"/>
      <c r="AE26" s="15" t="n"/>
      <c r="AF26" s="16">
        <f>IFERROR(AD26*AE26, 0)</f>
        <v/>
      </c>
      <c r="AG26" s="14" t="n">
        <v>1</v>
      </c>
      <c r="AH26" s="15" t="n">
        <v>27500</v>
      </c>
      <c r="AI26" s="16" t="n">
        <v>27500</v>
      </c>
      <c r="AJ26" s="14" t="n"/>
      <c r="AK26" s="15" t="n"/>
      <c r="AL26" s="16">
        <f>IFERROR(AJ26*AK26, 0)</f>
        <v/>
      </c>
      <c r="AM26" s="14" t="n"/>
      <c r="AN26" s="15" t="n"/>
      <c r="AO26" s="16">
        <f>IFERROR(AM26*AN26, 0)</f>
        <v/>
      </c>
      <c r="AP26" s="14" t="n"/>
      <c r="AQ26" s="15" t="n"/>
      <c r="AR26" s="16">
        <f>IFERROR(AP26*AQ26, 0)</f>
        <v/>
      </c>
      <c r="AS26" s="14" t="n"/>
      <c r="AT26" s="15" t="n"/>
      <c r="AU26" s="16">
        <f>IFERROR(AS26*AT26, 0)</f>
        <v/>
      </c>
      <c r="AV26" s="14" t="n"/>
      <c r="AW26" s="15" t="n"/>
      <c r="AX26" s="16">
        <f>IFERROR(AV26*AW26, 0)</f>
        <v/>
      </c>
      <c r="AY26" s="14" t="n"/>
      <c r="AZ26" s="15" t="n"/>
      <c r="BA26" s="16">
        <f>IFERROR(AY26*AZ26, 0)</f>
        <v/>
      </c>
      <c r="BB26" s="14" t="n"/>
      <c r="BC26" s="15" t="n"/>
      <c r="BD26" s="16">
        <f>IFERROR(BB26*BC26, 0)</f>
        <v/>
      </c>
      <c r="BE26" s="14" t="n"/>
      <c r="BF26" s="15" t="n"/>
      <c r="BG26" s="16">
        <f>IFERROR(BE26*BF26, 0)</f>
        <v/>
      </c>
      <c r="BH26" s="14" t="n"/>
      <c r="BI26" s="15" t="n"/>
      <c r="BJ26" s="16">
        <f>IFERROR(BH26*BI26, 0)</f>
        <v/>
      </c>
      <c r="BK26" s="14" t="n"/>
      <c r="BL26" s="15" t="n"/>
      <c r="BM26" s="16">
        <f>IFERROR(BK26*BL26, 0)</f>
        <v/>
      </c>
      <c r="BN26" s="14" t="n"/>
      <c r="BO26" s="15" t="n"/>
      <c r="BP26" s="16">
        <f>IFERROR(BN26*BO26, 0)</f>
        <v/>
      </c>
      <c r="BQ26" s="14" t="n">
        <v>2</v>
      </c>
      <c r="BR26" s="15" t="n">
        <v>27500</v>
      </c>
      <c r="BS26" s="16" t="n">
        <v>55000</v>
      </c>
      <c r="BT26" s="14" t="n"/>
      <c r="BU26" s="15" t="n"/>
      <c r="BV26" s="16">
        <f>IFERROR(BT26*BU26, 0)</f>
        <v/>
      </c>
      <c r="BW26" s="14" t="n"/>
      <c r="BX26" s="15" t="n"/>
      <c r="BY26" s="16">
        <f>IFERROR(BW26*BX26, 0)</f>
        <v/>
      </c>
      <c r="BZ26" s="14" t="n"/>
      <c r="CA26" s="15" t="n"/>
      <c r="CB26" s="16">
        <f>IFERROR(BZ26*CA26, 0)</f>
        <v/>
      </c>
      <c r="CC26" s="14" t="n"/>
      <c r="CD26" s="15" t="n"/>
      <c r="CE26" s="16">
        <f>IFERROR(CC26*CD26, 0)</f>
        <v/>
      </c>
      <c r="CF26" s="14" t="n"/>
      <c r="CG26" s="15" t="n"/>
      <c r="CH26" s="16">
        <f>IFERROR(CF26*CG26, 0)</f>
        <v/>
      </c>
      <c r="CI26" s="14" t="n"/>
      <c r="CJ26" s="15" t="n"/>
      <c r="CK26" s="16">
        <f>IFERROR(CI26*CJ26, 0)</f>
        <v/>
      </c>
      <c r="CL26" s="14" t="n"/>
      <c r="CM26" s="15" t="n"/>
      <c r="CN26" s="16">
        <f>IFERROR(CL26*CM26, 0)</f>
        <v/>
      </c>
      <c r="CO26" s="14" t="n"/>
      <c r="CP26" s="15" t="n"/>
      <c r="CQ26" s="16">
        <f>IFERROR(CO26*CP26, 0)</f>
        <v/>
      </c>
      <c r="CR26" s="14" t="n"/>
      <c r="CS26" s="15" t="n"/>
      <c r="CT26" s="16">
        <f>IFERROR(CR26*CS26, 0)</f>
        <v/>
      </c>
      <c r="CU26" s="17">
        <f>IFERROR(SUM(F26,I26,L26,O26,R26,U26,X26,AA26,AD26,AG26,AJ26,AM26,AP26,AS26,AV26,AY26,BB26,BE26,BH26,BK26,BN26,BQ26,BT26,BW26,BZ26,CC26,CF26,CI26,CL26,CO26,CR26), 0)</f>
        <v/>
      </c>
      <c r="CV26" s="16">
        <f>IFERROR(AVERAGE(G26,J26,M26,P26,S26,V26,Y26,AB26,AE26,AH26,AK26,AN26,AQ26,AT26,AW26,AZ26,BC26,BF26,BI26,BL26,BO26,BR26,BU26,BX26,CA26,CD26,CG26,CJ26,CM26,CP26,CS26), 0)</f>
        <v/>
      </c>
      <c r="CW26" s="16">
        <f>CU26*CV26</f>
        <v/>
      </c>
    </row>
    <row r="27" ht="15.75" customHeight="1">
      <c r="A27" s="41" t="inlineStr">
        <is>
          <t>Cintas</t>
        </is>
      </c>
      <c r="B27" s="41" t="inlineStr">
        <is>
          <t>Und</t>
        </is>
      </c>
      <c r="C27" s="42" t="n"/>
      <c r="D27" s="43" t="n"/>
      <c r="E27" s="78">
        <f>IFERROR(+C27*D27, 0)</f>
        <v/>
      </c>
      <c r="F27" s="14" t="n"/>
      <c r="G27" s="15" t="n"/>
      <c r="H27" s="16">
        <f>IFERROR(F27*G27, 0)</f>
        <v/>
      </c>
      <c r="I27" s="14" t="n"/>
      <c r="J27" s="15" t="n"/>
      <c r="K27" s="16">
        <f>IFERROR(I27*J27, 0)</f>
        <v/>
      </c>
      <c r="L27" s="14" t="n"/>
      <c r="M27" s="15" t="n"/>
      <c r="N27" s="16">
        <f>IFERROR(L27*M27, 0)</f>
        <v/>
      </c>
      <c r="O27" s="14" t="n"/>
      <c r="P27" s="15" t="n"/>
      <c r="Q27" s="16">
        <f>IFERROR(O27*P27, 0)</f>
        <v/>
      </c>
      <c r="R27" s="14" t="n"/>
      <c r="S27" s="15" t="n"/>
      <c r="T27" s="16">
        <f>IFERROR(R27*S27, 0)</f>
        <v/>
      </c>
      <c r="U27" s="14" t="n"/>
      <c r="V27" s="15" t="n"/>
      <c r="W27" s="16">
        <f>IFERROR(U27*V27, 0)</f>
        <v/>
      </c>
      <c r="X27" s="14" t="n"/>
      <c r="Y27" s="15" t="n"/>
      <c r="Z27" s="16">
        <f>IFERROR(X27*Y27, 0)</f>
        <v/>
      </c>
      <c r="AA27" s="14" t="n"/>
      <c r="AB27" s="15" t="n"/>
      <c r="AC27" s="16">
        <f>IFERROR(AA27*AB27, 0)</f>
        <v/>
      </c>
      <c r="AD27" s="14" t="n"/>
      <c r="AE27" s="15" t="n"/>
      <c r="AF27" s="16">
        <f>IFERROR(AD27*AE27, 0)</f>
        <v/>
      </c>
      <c r="AG27" s="14" t="n"/>
      <c r="AH27" s="15" t="n"/>
      <c r="AI27" s="16">
        <f>IFERROR(AG27*AH27, 0)</f>
        <v/>
      </c>
      <c r="AJ27" s="14" t="n"/>
      <c r="AK27" s="15" t="n"/>
      <c r="AL27" s="16">
        <f>IFERROR(AJ27*AK27, 0)</f>
        <v/>
      </c>
      <c r="AM27" s="14" t="n"/>
      <c r="AN27" s="15" t="n"/>
      <c r="AO27" s="16">
        <f>IFERROR(AM27*AN27, 0)</f>
        <v/>
      </c>
      <c r="AP27" s="14" t="n"/>
      <c r="AQ27" s="15" t="n"/>
      <c r="AR27" s="16">
        <f>IFERROR(AP27*AQ27, 0)</f>
        <v/>
      </c>
      <c r="AS27" s="14" t="n"/>
      <c r="AT27" s="15" t="n"/>
      <c r="AU27" s="16">
        <f>IFERROR(AS27*AT27, 0)</f>
        <v/>
      </c>
      <c r="AV27" s="14" t="n"/>
      <c r="AW27" s="15" t="n"/>
      <c r="AX27" s="16">
        <f>IFERROR(AV27*AW27, 0)</f>
        <v/>
      </c>
      <c r="AY27" s="14" t="n"/>
      <c r="AZ27" s="15" t="n"/>
      <c r="BA27" s="16">
        <f>IFERROR(AY27*AZ27, 0)</f>
        <v/>
      </c>
      <c r="BB27" s="14" t="n"/>
      <c r="BC27" s="15" t="n"/>
      <c r="BD27" s="16">
        <f>IFERROR(BB27*BC27, 0)</f>
        <v/>
      </c>
      <c r="BE27" s="14" t="n"/>
      <c r="BF27" s="15" t="n"/>
      <c r="BG27" s="16">
        <f>IFERROR(BE27*BF27, 0)</f>
        <v/>
      </c>
      <c r="BH27" s="14" t="n"/>
      <c r="BI27" s="15" t="n"/>
      <c r="BJ27" s="16">
        <f>IFERROR(BH27*BI27, 0)</f>
        <v/>
      </c>
      <c r="BK27" s="14" t="n"/>
      <c r="BL27" s="15" t="n"/>
      <c r="BM27" s="16">
        <f>IFERROR(BK27*BL27, 0)</f>
        <v/>
      </c>
      <c r="BN27" s="14" t="n"/>
      <c r="BO27" s="15" t="n"/>
      <c r="BP27" s="16">
        <f>IFERROR(BN27*BO27, 0)</f>
        <v/>
      </c>
      <c r="BQ27" s="14" t="n"/>
      <c r="BR27" s="15" t="n"/>
      <c r="BS27" s="16">
        <f>IFERROR(BQ27*BR27, 0)</f>
        <v/>
      </c>
      <c r="BT27" s="14" t="n"/>
      <c r="BU27" s="15" t="n"/>
      <c r="BV27" s="16">
        <f>IFERROR(BT27*BU27, 0)</f>
        <v/>
      </c>
      <c r="BW27" s="14" t="n"/>
      <c r="BX27" s="15" t="n"/>
      <c r="BY27" s="16">
        <f>IFERROR(BW27*BX27, 0)</f>
        <v/>
      </c>
      <c r="BZ27" s="14" t="n"/>
      <c r="CA27" s="15" t="n"/>
      <c r="CB27" s="16">
        <f>IFERROR(BZ27*CA27, 0)</f>
        <v/>
      </c>
      <c r="CC27" s="14" t="n"/>
      <c r="CD27" s="15" t="n"/>
      <c r="CE27" s="16">
        <f>IFERROR(CC27*CD27, 0)</f>
        <v/>
      </c>
      <c r="CF27" s="14" t="n"/>
      <c r="CG27" s="15" t="n"/>
      <c r="CH27" s="16">
        <f>IFERROR(CF27*CG27, 0)</f>
        <v/>
      </c>
      <c r="CI27" s="14" t="n"/>
      <c r="CJ27" s="15" t="n"/>
      <c r="CK27" s="16">
        <f>IFERROR(CI27*CJ27, 0)</f>
        <v/>
      </c>
      <c r="CL27" s="14" t="n"/>
      <c r="CM27" s="15" t="n"/>
      <c r="CN27" s="16">
        <f>IFERROR(CL27*CM27, 0)</f>
        <v/>
      </c>
      <c r="CO27" s="14" t="n"/>
      <c r="CP27" s="15" t="n"/>
      <c r="CQ27" s="16">
        <f>IFERROR(CO27*CP27, 0)</f>
        <v/>
      </c>
      <c r="CR27" s="14" t="n"/>
      <c r="CS27" s="15" t="n"/>
      <c r="CT27" s="16">
        <f>IFERROR(CR27*CS27, 0)</f>
        <v/>
      </c>
      <c r="CU27" s="17">
        <f>IFERROR(SUM(F27,I27,L27,O27,R27,U27,X27,AA27,AD27,AG27,AJ27,AM27,AP27,AS27,AV27,AY27,BB27,BE27,BH27,BK27,BN27,BQ27,BT27,BW27,BZ27,CC27,CF27,CI27,CL27,CO27,CR27), 0)</f>
        <v/>
      </c>
      <c r="CV27" s="16">
        <f>IFERROR(AVERAGE(G27,J27,M27,P27,S27,V27,Y27,AB27,AE27,AH27,AK27,AN27,AQ27,AT27,AW27,AZ27,BC27,BF27,BI27,BL27,BO27,BR27,BU27,BX27,CA27,CD27,CG27,CJ27,CM27,CP27,CS27), 0)</f>
        <v/>
      </c>
      <c r="CW27" s="16">
        <f>CU27*CV27</f>
        <v/>
      </c>
    </row>
    <row r="28" ht="15.75" customHeight="1">
      <c r="A28" s="41" t="inlineStr">
        <is>
          <t>Color azafran</t>
        </is>
      </c>
      <c r="B28" s="41" t="inlineStr">
        <is>
          <t>Pqte</t>
        </is>
      </c>
      <c r="C28" s="42" t="n"/>
      <c r="D28" s="43" t="n"/>
      <c r="E28" s="78">
        <f>IFERROR(+C28*D28, 0)</f>
        <v/>
      </c>
      <c r="F28" s="14" t="n"/>
      <c r="G28" s="15" t="n"/>
      <c r="H28" s="16">
        <f>IFERROR(F28*G28, 0)</f>
        <v/>
      </c>
      <c r="I28" s="14" t="n">
        <v>2</v>
      </c>
      <c r="J28" s="15" t="n">
        <v>18750</v>
      </c>
      <c r="K28" s="16" t="n">
        <v>37500</v>
      </c>
      <c r="L28" s="14" t="n"/>
      <c r="M28" s="15" t="n"/>
      <c r="N28" s="16">
        <f>IFERROR(L28*M28, 0)</f>
        <v/>
      </c>
      <c r="O28" s="14" t="n"/>
      <c r="P28" s="15" t="n"/>
      <c r="Q28" s="16">
        <f>IFERROR(O28*P28, 0)</f>
        <v/>
      </c>
      <c r="R28" s="14" t="n"/>
      <c r="S28" s="15" t="n"/>
      <c r="T28" s="16">
        <f>IFERROR(R28*S28, 0)</f>
        <v/>
      </c>
      <c r="U28" s="14" t="n"/>
      <c r="V28" s="15" t="n"/>
      <c r="W28" s="16">
        <f>IFERROR(U28*V28, 0)</f>
        <v/>
      </c>
      <c r="X28" s="14" t="n">
        <v>1</v>
      </c>
      <c r="Y28" s="15" t="n">
        <v>23800</v>
      </c>
      <c r="Z28" s="16" t="n">
        <v>23800</v>
      </c>
      <c r="AA28" s="14" t="n"/>
      <c r="AB28" s="15" t="n"/>
      <c r="AC28" s="16">
        <f>IFERROR(AA28*AB28, 0)</f>
        <v/>
      </c>
      <c r="AD28" s="14" t="n"/>
      <c r="AE28" s="15" t="n"/>
      <c r="AF28" s="16">
        <f>IFERROR(AD28*AE28, 0)</f>
        <v/>
      </c>
      <c r="AG28" s="14" t="n"/>
      <c r="AH28" s="15" t="n"/>
      <c r="AI28" s="16">
        <f>IFERROR(AG28*AH28, 0)</f>
        <v/>
      </c>
      <c r="AJ28" s="14" t="n"/>
      <c r="AK28" s="15" t="n"/>
      <c r="AL28" s="16">
        <f>IFERROR(AJ28*AK28, 0)</f>
        <v/>
      </c>
      <c r="AM28" s="14" t="n"/>
      <c r="AN28" s="15" t="n"/>
      <c r="AO28" s="16">
        <f>IFERROR(AM28*AN28, 0)</f>
        <v/>
      </c>
      <c r="AP28" s="14" t="n"/>
      <c r="AQ28" s="15" t="n"/>
      <c r="AR28" s="16">
        <f>IFERROR(AP28*AQ28, 0)</f>
        <v/>
      </c>
      <c r="AS28" s="14" t="n"/>
      <c r="AT28" s="15" t="n"/>
      <c r="AU28" s="16">
        <f>IFERROR(AS28*AT28, 0)</f>
        <v/>
      </c>
      <c r="AV28" s="14" t="n"/>
      <c r="AW28" s="15" t="n"/>
      <c r="AX28" s="16">
        <f>IFERROR(AV28*AW28, 0)</f>
        <v/>
      </c>
      <c r="AY28" s="14" t="n"/>
      <c r="AZ28" s="15" t="n"/>
      <c r="BA28" s="16">
        <f>IFERROR(AY28*AZ28, 0)</f>
        <v/>
      </c>
      <c r="BB28" s="14" t="n"/>
      <c r="BC28" s="15" t="n"/>
      <c r="BD28" s="16">
        <f>IFERROR(BB28*BC28, 0)</f>
        <v/>
      </c>
      <c r="BE28" s="14" t="n">
        <v>1</v>
      </c>
      <c r="BF28" s="15" t="n">
        <v>23800</v>
      </c>
      <c r="BG28" s="16" t="n">
        <v>23800</v>
      </c>
      <c r="BH28" s="14" t="n"/>
      <c r="BI28" s="15" t="n"/>
      <c r="BJ28" s="16">
        <f>IFERROR(BH28*BI28, 0)</f>
        <v/>
      </c>
      <c r="BK28" s="14" t="n"/>
      <c r="BL28" s="15" t="n"/>
      <c r="BM28" s="16">
        <f>IFERROR(BK28*BL28, 0)</f>
        <v/>
      </c>
      <c r="BN28" s="14" t="n"/>
      <c r="BO28" s="15" t="n"/>
      <c r="BP28" s="16">
        <f>IFERROR(BN28*BO28, 0)</f>
        <v/>
      </c>
      <c r="BQ28" s="14" t="n">
        <v>2</v>
      </c>
      <c r="BR28" s="15" t="n">
        <v>23800</v>
      </c>
      <c r="BS28" s="16" t="n">
        <v>47600</v>
      </c>
      <c r="BT28" s="14" t="n"/>
      <c r="BU28" s="15" t="n"/>
      <c r="BV28" s="16">
        <f>IFERROR(BT28*BU28, 0)</f>
        <v/>
      </c>
      <c r="BW28" s="14" t="n"/>
      <c r="BX28" s="15" t="n"/>
      <c r="BY28" s="16">
        <f>IFERROR(BW28*BX28, 0)</f>
        <v/>
      </c>
      <c r="BZ28" s="14" t="n"/>
      <c r="CA28" s="15" t="n"/>
      <c r="CB28" s="16">
        <f>IFERROR(BZ28*CA28, 0)</f>
        <v/>
      </c>
      <c r="CC28" s="14" t="n"/>
      <c r="CD28" s="15" t="n"/>
      <c r="CE28" s="16">
        <f>IFERROR(CC28*CD28, 0)</f>
        <v/>
      </c>
      <c r="CF28" s="14" t="n"/>
      <c r="CG28" s="15" t="n"/>
      <c r="CH28" s="16">
        <f>IFERROR(CF28*CG28, 0)</f>
        <v/>
      </c>
      <c r="CI28" s="14" t="n"/>
      <c r="CJ28" s="15" t="n"/>
      <c r="CK28" s="16">
        <f>IFERROR(CI28*CJ28, 0)</f>
        <v/>
      </c>
      <c r="CL28" s="14" t="n"/>
      <c r="CM28" s="15" t="n"/>
      <c r="CN28" s="16">
        <f>IFERROR(CL28*CM28, 0)</f>
        <v/>
      </c>
      <c r="CO28" s="14" t="n"/>
      <c r="CP28" s="15" t="n"/>
      <c r="CQ28" s="16">
        <f>IFERROR(CO28*CP28, 0)</f>
        <v/>
      </c>
      <c r="CR28" s="14" t="n"/>
      <c r="CS28" s="15" t="n"/>
      <c r="CT28" s="16">
        <f>IFERROR(CR28*CS28, 0)</f>
        <v/>
      </c>
      <c r="CU28" s="17">
        <f>IFERROR(SUM(F28,I28,L28,O28,R28,U28,X28,AA28,AD28,AG28,AJ28,AM28,AP28,AS28,AV28,AY28,BB28,BE28,BH28,BK28,BN28,BQ28,BT28,BW28,BZ28,CC28,CF28,CI28,CL28,CO28,CR28), 0)</f>
        <v/>
      </c>
      <c r="CV28" s="16">
        <f>IFERROR(AVERAGE(G28,J28,M28,P28,S28,V28,Y28,AB28,AE28,AH28,AK28,AN28,AQ28,AT28,AW28,AZ28,BC28,BF28,BI28,BL28,BO28,BR28,BU28,BX28,CA28,CD28,CG28,CJ28,CM28,CP28,CS28), 0)</f>
        <v/>
      </c>
      <c r="CW28" s="16">
        <f>CU28*CV28</f>
        <v/>
      </c>
    </row>
    <row r="29" ht="15.75" customHeight="1">
      <c r="A29" s="41" t="inlineStr">
        <is>
          <t>Contenedor 12 onz.</t>
        </is>
      </c>
      <c r="B29" s="41" t="inlineStr">
        <is>
          <t>Pqte</t>
        </is>
      </c>
      <c r="C29" s="42" t="n"/>
      <c r="D29" s="43" t="n"/>
      <c r="E29" s="78">
        <f>IFERROR(+C29*D29, 0)</f>
        <v/>
      </c>
      <c r="F29" s="14" t="n"/>
      <c r="G29" s="15" t="n"/>
      <c r="H29" s="16">
        <f>IFERROR(F29*G29, 0)</f>
        <v/>
      </c>
      <c r="I29" s="14" t="n"/>
      <c r="J29" s="15" t="n"/>
      <c r="K29" s="16">
        <f>IFERROR(I29*J29, 0)</f>
        <v/>
      </c>
      <c r="L29" s="14" t="n"/>
      <c r="M29" s="15" t="n"/>
      <c r="N29" s="16">
        <f>IFERROR(L29*M29, 0)</f>
        <v/>
      </c>
      <c r="O29" s="14" t="n"/>
      <c r="P29" s="15" t="n"/>
      <c r="Q29" s="16">
        <f>IFERROR(O29*P29, 0)</f>
        <v/>
      </c>
      <c r="R29" s="14" t="n"/>
      <c r="S29" s="15" t="n"/>
      <c r="T29" s="16">
        <f>IFERROR(R29*S29, 0)</f>
        <v/>
      </c>
      <c r="U29" s="14" t="n"/>
      <c r="V29" s="15" t="n"/>
      <c r="W29" s="16">
        <f>IFERROR(U29*V29, 0)</f>
        <v/>
      </c>
      <c r="X29" s="14" t="n">
        <v>4</v>
      </c>
      <c r="Y29" s="15" t="n">
        <v>15850</v>
      </c>
      <c r="Z29" s="16" t="n">
        <v>63400</v>
      </c>
      <c r="AA29" s="14" t="n"/>
      <c r="AB29" s="15" t="n"/>
      <c r="AC29" s="16">
        <f>IFERROR(AA29*AB29, 0)</f>
        <v/>
      </c>
      <c r="AD29" s="14" t="n"/>
      <c r="AE29" s="15" t="n"/>
      <c r="AF29" s="16">
        <f>IFERROR(AD29*AE29, 0)</f>
        <v/>
      </c>
      <c r="AG29" s="14" t="n"/>
      <c r="AH29" s="15" t="n"/>
      <c r="AI29" s="16">
        <f>IFERROR(AG29*AH29, 0)</f>
        <v/>
      </c>
      <c r="AJ29" s="14" t="n"/>
      <c r="AK29" s="15" t="n"/>
      <c r="AL29" s="16">
        <f>IFERROR(AJ29*AK29, 0)</f>
        <v/>
      </c>
      <c r="AM29" s="14" t="n"/>
      <c r="AN29" s="15" t="n"/>
      <c r="AO29" s="16">
        <f>IFERROR(AM29*AN29, 0)</f>
        <v/>
      </c>
      <c r="AP29" s="14" t="n"/>
      <c r="AQ29" s="15" t="n"/>
      <c r="AR29" s="16">
        <f>IFERROR(AP29*AQ29, 0)</f>
        <v/>
      </c>
      <c r="AS29" s="14" t="n"/>
      <c r="AT29" s="15" t="n"/>
      <c r="AU29" s="16">
        <f>IFERROR(AS29*AT29, 0)</f>
        <v/>
      </c>
      <c r="AV29" s="14" t="n"/>
      <c r="AW29" s="15" t="n"/>
      <c r="AX29" s="16">
        <f>IFERROR(AV29*AW29, 0)</f>
        <v/>
      </c>
      <c r="AY29" s="14" t="n"/>
      <c r="AZ29" s="15" t="n"/>
      <c r="BA29" s="16">
        <f>IFERROR(AY29*AZ29, 0)</f>
        <v/>
      </c>
      <c r="BB29" s="14" t="n"/>
      <c r="BC29" s="15" t="n"/>
      <c r="BD29" s="16">
        <f>IFERROR(BB29*BC29, 0)</f>
        <v/>
      </c>
      <c r="BE29" s="14" t="n"/>
      <c r="BF29" s="15" t="n"/>
      <c r="BG29" s="16">
        <f>IFERROR(BE29*BF29, 0)</f>
        <v/>
      </c>
      <c r="BH29" s="14" t="n"/>
      <c r="BI29" s="15" t="n"/>
      <c r="BJ29" s="16">
        <f>IFERROR(BH29*BI29, 0)</f>
        <v/>
      </c>
      <c r="BK29" s="14" t="n"/>
      <c r="BL29" s="15" t="n"/>
      <c r="BM29" s="16">
        <f>IFERROR(BK29*BL29, 0)</f>
        <v/>
      </c>
      <c r="BN29" s="14" t="n"/>
      <c r="BO29" s="15" t="n"/>
      <c r="BP29" s="16">
        <f>IFERROR(BN29*BO29, 0)</f>
        <v/>
      </c>
      <c r="BQ29" s="14" t="n">
        <v>5</v>
      </c>
      <c r="BR29" s="15" t="n">
        <v>15850</v>
      </c>
      <c r="BS29" s="16" t="n">
        <v>79250</v>
      </c>
      <c r="BT29" s="14" t="n"/>
      <c r="BU29" s="15" t="n"/>
      <c r="BV29" s="16">
        <f>IFERROR(BT29*BU29, 0)</f>
        <v/>
      </c>
      <c r="BW29" s="14" t="n"/>
      <c r="BX29" s="15" t="n"/>
      <c r="BY29" s="16">
        <f>IFERROR(BW29*BX29, 0)</f>
        <v/>
      </c>
      <c r="BZ29" s="14" t="n"/>
      <c r="CA29" s="15" t="n"/>
      <c r="CB29" s="16">
        <f>IFERROR(BZ29*CA29, 0)</f>
        <v/>
      </c>
      <c r="CC29" s="14" t="n"/>
      <c r="CD29" s="15" t="n"/>
      <c r="CE29" s="16">
        <f>IFERROR(CC29*CD29, 0)</f>
        <v/>
      </c>
      <c r="CF29" s="14" t="n"/>
      <c r="CG29" s="15" t="n"/>
      <c r="CH29" s="16">
        <f>IFERROR(CF29*CG29, 0)</f>
        <v/>
      </c>
      <c r="CI29" s="14" t="n"/>
      <c r="CJ29" s="15" t="n"/>
      <c r="CK29" s="16">
        <f>IFERROR(CI29*CJ29, 0)</f>
        <v/>
      </c>
      <c r="CL29" s="14" t="n"/>
      <c r="CM29" s="15" t="n"/>
      <c r="CN29" s="16">
        <f>IFERROR(CL29*CM29, 0)</f>
        <v/>
      </c>
      <c r="CO29" s="14" t="n"/>
      <c r="CP29" s="15" t="n"/>
      <c r="CQ29" s="16">
        <f>IFERROR(CO29*CP29, 0)</f>
        <v/>
      </c>
      <c r="CR29" s="14" t="n"/>
      <c r="CS29" s="15" t="n"/>
      <c r="CT29" s="16">
        <f>IFERROR(CR29*CS29, 0)</f>
        <v/>
      </c>
      <c r="CU29" s="17">
        <f>IFERROR(SUM(F29,I29,L29,O29,R29,U29,X29,AA29,AD29,AG29,AJ29,AM29,AP29,AS29,AV29,AY29,BB29,BE29,BH29,BK29,BN29,BQ29,BT29,BW29,BZ29,CC29,CF29,CI29,CL29,CO29,CR29), 0)</f>
        <v/>
      </c>
      <c r="CV29" s="16">
        <f>IFERROR(AVERAGE(G29,J29,M29,P29,S29,V29,Y29,AB29,AE29,AH29,AK29,AN29,AQ29,AT29,AW29,AZ29,BC29,BF29,BI29,BL29,BO29,BR29,BU29,BX29,CA29,CD29,CG29,CJ29,CM29,CP29,CS29), 0)</f>
        <v/>
      </c>
      <c r="CW29" s="16">
        <f>CU29*CV29</f>
        <v/>
      </c>
    </row>
    <row r="30" ht="15.75" customHeight="1">
      <c r="A30" s="41" t="inlineStr">
        <is>
          <t>Canela entera x 125gr</t>
        </is>
      </c>
      <c r="B30" s="41" t="inlineStr">
        <is>
          <t>Lb</t>
        </is>
      </c>
      <c r="C30" s="42" t="n"/>
      <c r="D30" s="43" t="n"/>
      <c r="E30" s="78">
        <f>IFERROR(+C30*D30, 0)</f>
        <v/>
      </c>
      <c r="F30" s="14" t="n"/>
      <c r="G30" s="15" t="n"/>
      <c r="H30" s="16">
        <f>IFERROR(F30*G30, 0)</f>
        <v/>
      </c>
      <c r="I30" s="14" t="n"/>
      <c r="J30" s="15" t="n"/>
      <c r="K30" s="16">
        <f>IFERROR(I30*J30, 0)</f>
        <v/>
      </c>
      <c r="L30" s="14" t="n"/>
      <c r="M30" s="15" t="n"/>
      <c r="N30" s="16">
        <f>IFERROR(L30*M30, 0)</f>
        <v/>
      </c>
      <c r="O30" s="14" t="n"/>
      <c r="P30" s="15" t="n"/>
      <c r="Q30" s="16">
        <f>IFERROR(O30*P30, 0)</f>
        <v/>
      </c>
      <c r="R30" s="14" t="n"/>
      <c r="S30" s="15" t="n"/>
      <c r="T30" s="16">
        <f>IFERROR(R30*S30, 0)</f>
        <v/>
      </c>
      <c r="U30" s="14" t="n"/>
      <c r="V30" s="15" t="n"/>
      <c r="W30" s="16">
        <f>IFERROR(U30*V30, 0)</f>
        <v/>
      </c>
      <c r="X30" s="14" t="n">
        <v>1</v>
      </c>
      <c r="Y30" s="15" t="n">
        <v>17500</v>
      </c>
      <c r="Z30" s="16" t="n">
        <v>17500</v>
      </c>
      <c r="AA30" s="14" t="n"/>
      <c r="AB30" s="15" t="n"/>
      <c r="AC30" s="16">
        <f>IFERROR(AA30*AB30, 0)</f>
        <v/>
      </c>
      <c r="AD30" s="14" t="n"/>
      <c r="AE30" s="15" t="n"/>
      <c r="AF30" s="16">
        <f>IFERROR(AD30*AE30, 0)</f>
        <v/>
      </c>
      <c r="AG30" s="14" t="n"/>
      <c r="AH30" s="15" t="n"/>
      <c r="AI30" s="16">
        <f>IFERROR(AG30*AH30, 0)</f>
        <v/>
      </c>
      <c r="AJ30" s="14" t="n"/>
      <c r="AK30" s="15" t="n"/>
      <c r="AL30" s="16">
        <f>IFERROR(AJ30*AK30, 0)</f>
        <v/>
      </c>
      <c r="AM30" s="14" t="n"/>
      <c r="AN30" s="15" t="n"/>
      <c r="AO30" s="16">
        <f>IFERROR(AM30*AN30, 0)</f>
        <v/>
      </c>
      <c r="AP30" s="14" t="n"/>
      <c r="AQ30" s="15" t="n"/>
      <c r="AR30" s="16">
        <f>IFERROR(AP30*AQ30, 0)</f>
        <v/>
      </c>
      <c r="AS30" s="14" t="n"/>
      <c r="AT30" s="15" t="n"/>
      <c r="AU30" s="16">
        <f>IFERROR(AS30*AT30, 0)</f>
        <v/>
      </c>
      <c r="AV30" s="14" t="n"/>
      <c r="AW30" s="15" t="n"/>
      <c r="AX30" s="16">
        <f>IFERROR(AV30*AW30, 0)</f>
        <v/>
      </c>
      <c r="AY30" s="14" t="n"/>
      <c r="AZ30" s="15" t="n"/>
      <c r="BA30" s="16">
        <f>IFERROR(AY30*AZ30, 0)</f>
        <v/>
      </c>
      <c r="BB30" s="14" t="n"/>
      <c r="BC30" s="15" t="n"/>
      <c r="BD30" s="16">
        <f>IFERROR(BB30*BC30, 0)</f>
        <v/>
      </c>
      <c r="BE30" s="14" t="n"/>
      <c r="BF30" s="15" t="n"/>
      <c r="BG30" s="16">
        <f>IFERROR(BE30*BF30, 0)</f>
        <v/>
      </c>
      <c r="BH30" s="14" t="n"/>
      <c r="BI30" s="15" t="n"/>
      <c r="BJ30" s="16">
        <f>IFERROR(BH30*BI30, 0)</f>
        <v/>
      </c>
      <c r="BK30" s="14" t="n"/>
      <c r="BL30" s="15" t="n"/>
      <c r="BM30" s="16">
        <f>IFERROR(BK30*BL30, 0)</f>
        <v/>
      </c>
      <c r="BN30" s="14" t="n"/>
      <c r="BO30" s="15" t="n"/>
      <c r="BP30" s="16">
        <f>IFERROR(BN30*BO30, 0)</f>
        <v/>
      </c>
      <c r="BQ30" s="14" t="n"/>
      <c r="BR30" s="15" t="n"/>
      <c r="BS30" s="16">
        <f>IFERROR(BQ30*BR30, 0)</f>
        <v/>
      </c>
      <c r="BT30" s="14" t="n"/>
      <c r="BU30" s="15" t="n"/>
      <c r="BV30" s="16">
        <f>IFERROR(BT30*BU30, 0)</f>
        <v/>
      </c>
      <c r="BW30" s="14" t="n"/>
      <c r="BX30" s="15" t="n"/>
      <c r="BY30" s="16">
        <f>IFERROR(BW30*BX30, 0)</f>
        <v/>
      </c>
      <c r="BZ30" s="14" t="n"/>
      <c r="CA30" s="15" t="n"/>
      <c r="CB30" s="16">
        <f>IFERROR(BZ30*CA30, 0)</f>
        <v/>
      </c>
      <c r="CC30" s="14" t="n"/>
      <c r="CD30" s="15" t="n"/>
      <c r="CE30" s="16">
        <f>IFERROR(CC30*CD30, 0)</f>
        <v/>
      </c>
      <c r="CF30" s="14" t="n"/>
      <c r="CG30" s="15" t="n"/>
      <c r="CH30" s="16">
        <f>IFERROR(CF30*CG30, 0)</f>
        <v/>
      </c>
      <c r="CI30" s="14" t="n"/>
      <c r="CJ30" s="15" t="n"/>
      <c r="CK30" s="16">
        <f>IFERROR(CI30*CJ30, 0)</f>
        <v/>
      </c>
      <c r="CL30" s="14" t="n"/>
      <c r="CM30" s="15" t="n"/>
      <c r="CN30" s="16">
        <f>IFERROR(CL30*CM30, 0)</f>
        <v/>
      </c>
      <c r="CO30" s="14" t="n"/>
      <c r="CP30" s="15" t="n"/>
      <c r="CQ30" s="16">
        <f>IFERROR(CO30*CP30, 0)</f>
        <v/>
      </c>
      <c r="CR30" s="14" t="n"/>
      <c r="CS30" s="15" t="n"/>
      <c r="CT30" s="16">
        <f>IFERROR(CR30*CS30, 0)</f>
        <v/>
      </c>
      <c r="CU30" s="17">
        <f>IFERROR(SUM(F30,I30,L30,O30,R30,U30,X30,AA30,AD30,AG30,AJ30,AM30,AP30,AS30,AV30,AY30,BB30,BE30,BH30,BK30,BN30,BQ30,BT30,BW30,BZ30,CC30,CF30,CI30,CL30,CO30,CR30), 0)</f>
        <v/>
      </c>
      <c r="CV30" s="16">
        <f>IFERROR(AVERAGE(G30,J30,M30,P30,S30,V30,Y30,AB30,AE30,AH30,AK30,AN30,AQ30,AT30,AW30,AZ30,BC30,BF30,BI30,BL30,BO30,BR30,BU30,BX30,CA30,CD30,CG30,CJ30,CM30,CP30,CS30), 0)</f>
        <v/>
      </c>
      <c r="CW30" s="16">
        <f>CU30*CV30</f>
        <v/>
      </c>
    </row>
    <row r="31" ht="15.75" customHeight="1">
      <c r="A31" s="21" t="inlineStr">
        <is>
          <t>Cinta impronta 24x80mm</t>
        </is>
      </c>
      <c r="B31" s="21" t="inlineStr">
        <is>
          <t>Pqte</t>
        </is>
      </c>
      <c r="C31" s="44" t="n"/>
      <c r="D31" s="22" t="n"/>
      <c r="E31" s="78">
        <f>IFERROR(+C31*D31, 0)</f>
        <v/>
      </c>
      <c r="F31" s="14" t="n"/>
      <c r="G31" s="15" t="n"/>
      <c r="H31" s="16">
        <f>IFERROR(F31*G31, 0)</f>
        <v/>
      </c>
      <c r="I31" s="14" t="n">
        <v>5</v>
      </c>
      <c r="J31" s="15" t="n">
        <v>2600</v>
      </c>
      <c r="K31" s="16" t="n">
        <v>13000</v>
      </c>
      <c r="L31" s="14" t="n"/>
      <c r="M31" s="15" t="n"/>
      <c r="N31" s="16">
        <f>IFERROR(L31*M31, 0)</f>
        <v/>
      </c>
      <c r="O31" s="14" t="n"/>
      <c r="P31" s="15" t="n"/>
      <c r="Q31" s="16">
        <f>IFERROR(O31*P31, 0)</f>
        <v/>
      </c>
      <c r="R31" s="14" t="n"/>
      <c r="S31" s="15" t="n"/>
      <c r="T31" s="16">
        <f>IFERROR(R31*S31, 0)</f>
        <v/>
      </c>
      <c r="U31" s="14" t="n"/>
      <c r="V31" s="15" t="n"/>
      <c r="W31" s="16">
        <f>IFERROR(U31*V31, 0)</f>
        <v/>
      </c>
      <c r="X31" s="14" t="n">
        <v>5</v>
      </c>
      <c r="Y31" s="15" t="n">
        <v>2600</v>
      </c>
      <c r="Z31" s="16" t="n">
        <v>13000</v>
      </c>
      <c r="AA31" s="14" t="n"/>
      <c r="AB31" s="15" t="n"/>
      <c r="AC31" s="16">
        <f>IFERROR(AA31*AB31, 0)</f>
        <v/>
      </c>
      <c r="AD31" s="14" t="n"/>
      <c r="AE31" s="15" t="n"/>
      <c r="AF31" s="16">
        <f>IFERROR(AD31*AE31, 0)</f>
        <v/>
      </c>
      <c r="AG31" s="14" t="n">
        <v>5</v>
      </c>
      <c r="AH31" s="15" t="n">
        <v>2600</v>
      </c>
      <c r="AI31" s="16" t="n">
        <v>13000</v>
      </c>
      <c r="AJ31" s="14" t="n"/>
      <c r="AK31" s="15" t="n"/>
      <c r="AL31" s="16">
        <f>IFERROR(AJ31*AK31, 0)</f>
        <v/>
      </c>
      <c r="AM31" s="14" t="n"/>
      <c r="AN31" s="15" t="n"/>
      <c r="AO31" s="16">
        <f>IFERROR(AM31*AN31, 0)</f>
        <v/>
      </c>
      <c r="AP31" s="14" t="n"/>
      <c r="AQ31" s="15" t="n"/>
      <c r="AR31" s="16">
        <f>IFERROR(AP31*AQ31, 0)</f>
        <v/>
      </c>
      <c r="AS31" s="14" t="n"/>
      <c r="AT31" s="15" t="n"/>
      <c r="AU31" s="16">
        <f>IFERROR(AS31*AT31, 0)</f>
        <v/>
      </c>
      <c r="AV31" s="14" t="n"/>
      <c r="AW31" s="15" t="n"/>
      <c r="AX31" s="16">
        <f>IFERROR(AV31*AW31, 0)</f>
        <v/>
      </c>
      <c r="AY31" s="14" t="n"/>
      <c r="AZ31" s="15" t="n"/>
      <c r="BA31" s="16">
        <f>IFERROR(AY31*AZ31, 0)</f>
        <v/>
      </c>
      <c r="BB31" s="14" t="n"/>
      <c r="BC31" s="15" t="n"/>
      <c r="BD31" s="16">
        <f>IFERROR(BB31*BC31, 0)</f>
        <v/>
      </c>
      <c r="BE31" s="14" t="n"/>
      <c r="BF31" s="15" t="n"/>
      <c r="BG31" s="16">
        <f>IFERROR(BE31*BF31, 0)</f>
        <v/>
      </c>
      <c r="BH31" s="14" t="n"/>
      <c r="BI31" s="15" t="n"/>
      <c r="BJ31" s="16">
        <f>IFERROR(BH31*BI31, 0)</f>
        <v/>
      </c>
      <c r="BK31" s="14" t="n"/>
      <c r="BL31" s="15" t="n"/>
      <c r="BM31" s="16">
        <f>IFERROR(BK31*BL31, 0)</f>
        <v/>
      </c>
      <c r="BN31" s="14" t="n"/>
      <c r="BO31" s="15" t="n"/>
      <c r="BP31" s="16">
        <f>IFERROR(BN31*BO31, 0)</f>
        <v/>
      </c>
      <c r="BQ31" s="14" t="n">
        <v>24</v>
      </c>
      <c r="BR31" s="15" t="n">
        <v>2600</v>
      </c>
      <c r="BS31" s="16" t="n">
        <v>62400</v>
      </c>
      <c r="BT31" s="14" t="n"/>
      <c r="BU31" s="15" t="n"/>
      <c r="BV31" s="16">
        <f>IFERROR(BT31*BU31, 0)</f>
        <v/>
      </c>
      <c r="BW31" s="14" t="n"/>
      <c r="BX31" s="15" t="n"/>
      <c r="BY31" s="16">
        <f>IFERROR(BW31*BX31, 0)</f>
        <v/>
      </c>
      <c r="BZ31" s="14" t="n"/>
      <c r="CA31" s="15" t="n"/>
      <c r="CB31" s="16">
        <f>IFERROR(BZ31*CA31, 0)</f>
        <v/>
      </c>
      <c r="CC31" s="14" t="n"/>
      <c r="CD31" s="15" t="n"/>
      <c r="CE31" s="16">
        <f>IFERROR(CC31*CD31, 0)</f>
        <v/>
      </c>
      <c r="CF31" s="14" t="n"/>
      <c r="CG31" s="15" t="n"/>
      <c r="CH31" s="16">
        <f>IFERROR(CF31*CG31, 0)</f>
        <v/>
      </c>
      <c r="CI31" s="14" t="n"/>
      <c r="CJ31" s="15" t="n"/>
      <c r="CK31" s="16">
        <f>IFERROR(CI31*CJ31, 0)</f>
        <v/>
      </c>
      <c r="CL31" s="14" t="n"/>
      <c r="CM31" s="15" t="n"/>
      <c r="CN31" s="16">
        <f>IFERROR(CL31*CM31, 0)</f>
        <v/>
      </c>
      <c r="CO31" s="14" t="n"/>
      <c r="CP31" s="15" t="n"/>
      <c r="CQ31" s="16">
        <f>IFERROR(CO31*CP31, 0)</f>
        <v/>
      </c>
      <c r="CR31" s="14" t="n"/>
      <c r="CS31" s="15" t="n"/>
      <c r="CT31" s="16">
        <f>IFERROR(CR31*CS31, 0)</f>
        <v/>
      </c>
      <c r="CU31" s="17">
        <f>IFERROR(SUM(F31,I31,L31,O31,R31,U31,X31,AA31,AD31,AG31,AJ31,AM31,AP31,AS31,AV31,AY31,BB31,BE31,BH31,BK31,BN31,BQ31,BT31,BW31,BZ31,CC31,CF31,CI31,CL31,CO31,CR31), 0)</f>
        <v/>
      </c>
      <c r="CV31" s="16">
        <f>IFERROR(AVERAGE(G31,J31,M31,P31,S31,V31,Y31,AB31,AE31,AH31,AK31,AN31,AQ31,AT31,AW31,AZ31,BC31,BF31,BI31,BL31,BO31,BR31,BU31,BX31,CA31,CD31,CG31,CJ31,CM31,CP31,CS31), 0)</f>
        <v/>
      </c>
      <c r="CW31" s="16">
        <f>CU31*CV31</f>
        <v/>
      </c>
    </row>
    <row r="32" ht="15.75" customHeight="1">
      <c r="A32" s="41" t="inlineStr">
        <is>
          <t>Contenedor darnel 8 onz. x 20 x 25</t>
        </is>
      </c>
      <c r="B32" s="41" t="inlineStr">
        <is>
          <t>Pqte</t>
        </is>
      </c>
      <c r="C32" s="42" t="n"/>
      <c r="D32" s="43" t="n"/>
      <c r="E32" s="78">
        <f>IFERROR(+C32*D32, 0)</f>
        <v/>
      </c>
      <c r="F32" s="14" t="n"/>
      <c r="G32" s="15" t="n"/>
      <c r="H32" s="16">
        <f>IFERROR(F32*G32, 0)</f>
        <v/>
      </c>
      <c r="I32" s="14" t="n"/>
      <c r="J32" s="15" t="n"/>
      <c r="K32" s="16">
        <f>IFERROR(I32*J32, 0)</f>
        <v/>
      </c>
      <c r="L32" s="14" t="n"/>
      <c r="M32" s="15" t="n"/>
      <c r="N32" s="16">
        <f>IFERROR(L32*M32, 0)</f>
        <v/>
      </c>
      <c r="O32" s="14" t="n"/>
      <c r="P32" s="15" t="n"/>
      <c r="Q32" s="16">
        <f>IFERROR(O32*P32, 0)</f>
        <v/>
      </c>
      <c r="R32" s="14" t="n"/>
      <c r="S32" s="15" t="n"/>
      <c r="T32" s="16">
        <f>IFERROR(R32*S32, 0)</f>
        <v/>
      </c>
      <c r="U32" s="14" t="n"/>
      <c r="V32" s="15" t="n"/>
      <c r="W32" s="16">
        <f>IFERROR(U32*V32, 0)</f>
        <v/>
      </c>
      <c r="X32" s="14" t="n"/>
      <c r="Y32" s="15" t="n"/>
      <c r="Z32" s="16">
        <f>IFERROR(X32*Y32, 0)</f>
        <v/>
      </c>
      <c r="AA32" s="14" t="n"/>
      <c r="AB32" s="15" t="n"/>
      <c r="AC32" s="16">
        <f>IFERROR(AA32*AB32, 0)</f>
        <v/>
      </c>
      <c r="AD32" s="14" t="n"/>
      <c r="AE32" s="15" t="n"/>
      <c r="AF32" s="16">
        <f>IFERROR(AD32*AE32, 0)</f>
        <v/>
      </c>
      <c r="AG32" s="14" t="n"/>
      <c r="AH32" s="15" t="n"/>
      <c r="AI32" s="16">
        <f>IFERROR(AG32*AH32, 0)</f>
        <v/>
      </c>
      <c r="AJ32" s="14" t="n"/>
      <c r="AK32" s="15" t="n"/>
      <c r="AL32" s="16">
        <f>IFERROR(AJ32*AK32, 0)</f>
        <v/>
      </c>
      <c r="AM32" s="14" t="n"/>
      <c r="AN32" s="15" t="n"/>
      <c r="AO32" s="16">
        <f>IFERROR(AM32*AN32, 0)</f>
        <v/>
      </c>
      <c r="AP32" s="14" t="n"/>
      <c r="AQ32" s="15" t="n"/>
      <c r="AR32" s="16">
        <f>IFERROR(AP32*AQ32, 0)</f>
        <v/>
      </c>
      <c r="AS32" s="14" t="n"/>
      <c r="AT32" s="15" t="n"/>
      <c r="AU32" s="16">
        <f>IFERROR(AS32*AT32, 0)</f>
        <v/>
      </c>
      <c r="AV32" s="14" t="n"/>
      <c r="AW32" s="15" t="n"/>
      <c r="AX32" s="16">
        <f>IFERROR(AV32*AW32, 0)</f>
        <v/>
      </c>
      <c r="AY32" s="14" t="n"/>
      <c r="AZ32" s="15" t="n"/>
      <c r="BA32" s="16">
        <f>IFERROR(AY32*AZ32, 0)</f>
        <v/>
      </c>
      <c r="BB32" s="14" t="n"/>
      <c r="BC32" s="15" t="n"/>
      <c r="BD32" s="16">
        <f>IFERROR(BB32*BC32, 0)</f>
        <v/>
      </c>
      <c r="BE32" s="14" t="n"/>
      <c r="BF32" s="15" t="n"/>
      <c r="BG32" s="16">
        <f>IFERROR(BE32*BF32, 0)</f>
        <v/>
      </c>
      <c r="BH32" s="14" t="n"/>
      <c r="BI32" s="15" t="n"/>
      <c r="BJ32" s="16">
        <f>IFERROR(BH32*BI32, 0)</f>
        <v/>
      </c>
      <c r="BK32" s="14" t="n"/>
      <c r="BL32" s="15" t="n"/>
      <c r="BM32" s="16">
        <f>IFERROR(BK32*BL32, 0)</f>
        <v/>
      </c>
      <c r="BN32" s="14" t="n"/>
      <c r="BO32" s="15" t="n"/>
      <c r="BP32" s="16">
        <f>IFERROR(BN32*BO32, 0)</f>
        <v/>
      </c>
      <c r="BQ32" s="14" t="n"/>
      <c r="BR32" s="15" t="n"/>
      <c r="BS32" s="16">
        <f>IFERROR(BQ32*BR32, 0)</f>
        <v/>
      </c>
      <c r="BT32" s="14" t="n"/>
      <c r="BU32" s="15" t="n"/>
      <c r="BV32" s="16">
        <f>IFERROR(BT32*BU32, 0)</f>
        <v/>
      </c>
      <c r="BW32" s="14" t="n"/>
      <c r="BX32" s="15" t="n"/>
      <c r="BY32" s="16">
        <f>IFERROR(BW32*BX32, 0)</f>
        <v/>
      </c>
      <c r="BZ32" s="14" t="n"/>
      <c r="CA32" s="15" t="n"/>
      <c r="CB32" s="16">
        <f>IFERROR(BZ32*CA32, 0)</f>
        <v/>
      </c>
      <c r="CC32" s="14" t="n"/>
      <c r="CD32" s="15" t="n"/>
      <c r="CE32" s="16">
        <f>IFERROR(CC32*CD32, 0)</f>
        <v/>
      </c>
      <c r="CF32" s="14" t="n"/>
      <c r="CG32" s="15" t="n"/>
      <c r="CH32" s="16">
        <f>IFERROR(CF32*CG32, 0)</f>
        <v/>
      </c>
      <c r="CI32" s="14" t="n"/>
      <c r="CJ32" s="15" t="n"/>
      <c r="CK32" s="16">
        <f>IFERROR(CI32*CJ32, 0)</f>
        <v/>
      </c>
      <c r="CL32" s="14" t="n"/>
      <c r="CM32" s="15" t="n"/>
      <c r="CN32" s="16">
        <f>IFERROR(CL32*CM32, 0)</f>
        <v/>
      </c>
      <c r="CO32" s="14" t="n"/>
      <c r="CP32" s="15" t="n"/>
      <c r="CQ32" s="16">
        <f>IFERROR(CO32*CP32, 0)</f>
        <v/>
      </c>
      <c r="CR32" s="14" t="n"/>
      <c r="CS32" s="15" t="n"/>
      <c r="CT32" s="16">
        <f>IFERROR(CR32*CS32, 0)</f>
        <v/>
      </c>
      <c r="CU32" s="17">
        <f>IFERROR(SUM(F32,I32,L32,O32,R32,U32,X32,AA32,AD32,AG32,AJ32,AM32,AP32,AS32,AV32,AY32,BB32,BE32,BH32,BK32,BN32,BQ32,BT32,BW32,BZ32,CC32,CF32,CI32,CL32,CO32,CR32), 0)</f>
        <v/>
      </c>
      <c r="CV32" s="16">
        <f>IFERROR(AVERAGE(G32,J32,M32,P32,S32,V32,Y32,AB32,AE32,AH32,AK32,AN32,AQ32,AT32,AW32,AZ32,BC32,BF32,BI32,BL32,BO32,BR32,BU32,BX32,CA32,CD32,CG32,CJ32,CM32,CP32,CS32), 0)</f>
        <v/>
      </c>
      <c r="CW32" s="16">
        <f>CU32*CV32</f>
        <v/>
      </c>
    </row>
    <row r="33" ht="15.75" customHeight="1">
      <c r="A33" s="41" t="inlineStr">
        <is>
          <t>Contenedor 16 onz. darnel 20x20</t>
        </is>
      </c>
      <c r="B33" s="41" t="inlineStr">
        <is>
          <t>Pqte</t>
        </is>
      </c>
      <c r="C33" s="42" t="n"/>
      <c r="D33" s="43" t="n"/>
      <c r="E33" s="78">
        <f>IFERROR(+C33*D33, 0)</f>
        <v/>
      </c>
      <c r="F33" s="14" t="n"/>
      <c r="G33" s="15" t="n"/>
      <c r="H33" s="16">
        <f>IFERROR(F33*G33, 0)</f>
        <v/>
      </c>
      <c r="I33" s="14" t="n">
        <v>13</v>
      </c>
      <c r="J33" s="15" t="n">
        <v>15800</v>
      </c>
      <c r="K33" s="16" t="n">
        <v>205400</v>
      </c>
      <c r="L33" s="14" t="n"/>
      <c r="M33" s="15" t="n"/>
      <c r="N33" s="16">
        <f>IFERROR(L33*M33, 0)</f>
        <v/>
      </c>
      <c r="O33" s="14" t="n"/>
      <c r="P33" s="15" t="n"/>
      <c r="Q33" s="16">
        <f>IFERROR(O33*P33, 0)</f>
        <v/>
      </c>
      <c r="R33" s="14" t="n"/>
      <c r="S33" s="15" t="n"/>
      <c r="T33" s="16">
        <f>IFERROR(R33*S33, 0)</f>
        <v/>
      </c>
      <c r="U33" s="14" t="n"/>
      <c r="V33" s="15" t="n"/>
      <c r="W33" s="16">
        <f>IFERROR(U33*V33, 0)</f>
        <v/>
      </c>
      <c r="X33" s="14" t="n">
        <v>13</v>
      </c>
      <c r="Y33" s="15" t="n">
        <v>15800</v>
      </c>
      <c r="Z33" s="16" t="n">
        <v>205400</v>
      </c>
      <c r="AA33" s="14" t="n"/>
      <c r="AB33" s="15" t="n"/>
      <c r="AC33" s="16">
        <f>IFERROR(AA33*AB33, 0)</f>
        <v/>
      </c>
      <c r="AD33" s="14" t="n"/>
      <c r="AE33" s="15" t="n"/>
      <c r="AF33" s="16">
        <f>IFERROR(AD33*AE33, 0)</f>
        <v/>
      </c>
      <c r="AG33" s="14" t="n">
        <v>13</v>
      </c>
      <c r="AH33" s="15" t="n">
        <v>15800</v>
      </c>
      <c r="AI33" s="16" t="n">
        <v>205400</v>
      </c>
      <c r="AJ33" s="14" t="n"/>
      <c r="AK33" s="15" t="n"/>
      <c r="AL33" s="16">
        <f>IFERROR(AJ33*AK33, 0)</f>
        <v/>
      </c>
      <c r="AM33" s="14" t="n"/>
      <c r="AN33" s="15" t="n"/>
      <c r="AO33" s="16">
        <f>IFERROR(AM33*AN33, 0)</f>
        <v/>
      </c>
      <c r="AP33" s="14" t="n"/>
      <c r="AQ33" s="15" t="n"/>
      <c r="AR33" s="16">
        <f>IFERROR(AP33*AQ33, 0)</f>
        <v/>
      </c>
      <c r="AS33" s="14" t="n"/>
      <c r="AT33" s="15" t="n"/>
      <c r="AU33" s="16">
        <f>IFERROR(AS33*AT33, 0)</f>
        <v/>
      </c>
      <c r="AV33" s="14" t="n"/>
      <c r="AW33" s="15" t="n"/>
      <c r="AX33" s="16">
        <f>IFERROR(AV33*AW33, 0)</f>
        <v/>
      </c>
      <c r="AY33" s="14" t="n"/>
      <c r="AZ33" s="15" t="n"/>
      <c r="BA33" s="16">
        <f>IFERROR(AY33*AZ33, 0)</f>
        <v/>
      </c>
      <c r="BB33" s="14" t="n"/>
      <c r="BC33" s="15" t="n"/>
      <c r="BD33" s="16">
        <f>IFERROR(BB33*BC33, 0)</f>
        <v/>
      </c>
      <c r="BE33" s="14" t="n"/>
      <c r="BF33" s="15" t="n"/>
      <c r="BG33" s="16">
        <f>IFERROR(BE33*BF33, 0)</f>
        <v/>
      </c>
      <c r="BH33" s="14" t="n"/>
      <c r="BI33" s="15" t="n"/>
      <c r="BJ33" s="16">
        <f>IFERROR(BH33*BI33, 0)</f>
        <v/>
      </c>
      <c r="BK33" s="14" t="n"/>
      <c r="BL33" s="15" t="n"/>
      <c r="BM33" s="16">
        <f>IFERROR(BK33*BL33, 0)</f>
        <v/>
      </c>
      <c r="BN33" s="14" t="n"/>
      <c r="BO33" s="15" t="n"/>
      <c r="BP33" s="16">
        <f>IFERROR(BN33*BO33, 0)</f>
        <v/>
      </c>
      <c r="BQ33" s="14" t="n">
        <v>20</v>
      </c>
      <c r="BR33" s="15" t="n">
        <v>15800</v>
      </c>
      <c r="BS33" s="16" t="n">
        <v>316000</v>
      </c>
      <c r="BT33" s="14" t="n"/>
      <c r="BU33" s="15" t="n"/>
      <c r="BV33" s="16">
        <f>IFERROR(BT33*BU33, 0)</f>
        <v/>
      </c>
      <c r="BW33" s="14" t="n"/>
      <c r="BX33" s="15" t="n"/>
      <c r="BY33" s="16">
        <f>IFERROR(BW33*BX33, 0)</f>
        <v/>
      </c>
      <c r="BZ33" s="14" t="n"/>
      <c r="CA33" s="15" t="n"/>
      <c r="CB33" s="16">
        <f>IFERROR(BZ33*CA33, 0)</f>
        <v/>
      </c>
      <c r="CC33" s="14" t="n"/>
      <c r="CD33" s="15" t="n"/>
      <c r="CE33" s="16">
        <f>IFERROR(CC33*CD33, 0)</f>
        <v/>
      </c>
      <c r="CF33" s="14" t="n"/>
      <c r="CG33" s="15" t="n"/>
      <c r="CH33" s="16">
        <f>IFERROR(CF33*CG33, 0)</f>
        <v/>
      </c>
      <c r="CI33" s="14" t="n"/>
      <c r="CJ33" s="15" t="n"/>
      <c r="CK33" s="16">
        <f>IFERROR(CI33*CJ33, 0)</f>
        <v/>
      </c>
      <c r="CL33" s="14" t="n"/>
      <c r="CM33" s="15" t="n"/>
      <c r="CN33" s="16">
        <f>IFERROR(CL33*CM33, 0)</f>
        <v/>
      </c>
      <c r="CO33" s="14" t="n"/>
      <c r="CP33" s="15" t="n"/>
      <c r="CQ33" s="16">
        <f>IFERROR(CO33*CP33, 0)</f>
        <v/>
      </c>
      <c r="CR33" s="14" t="n"/>
      <c r="CS33" s="15" t="n"/>
      <c r="CT33" s="16">
        <f>IFERROR(CR33*CS33, 0)</f>
        <v/>
      </c>
      <c r="CU33" s="17">
        <f>IFERROR(SUM(F33,I33,L33,O33,R33,U33,X33,AA33,AD33,AG33,AJ33,AM33,AP33,AS33,AV33,AY33,BB33,BE33,BH33,BK33,BN33,BQ33,BT33,BW33,BZ33,CC33,CF33,CI33,CL33,CO33,CR33), 0)</f>
        <v/>
      </c>
      <c r="CV33" s="16">
        <f>IFERROR(AVERAGE(G33,J33,M33,P33,S33,V33,Y33,AB33,AE33,AH33,AK33,AN33,AQ33,AT33,AW33,AZ33,BC33,BF33,BI33,BL33,BO33,BR33,BU33,BX33,CA33,CD33,CG33,CJ33,CM33,CP33,CS33), 0)</f>
        <v/>
      </c>
      <c r="CW33" s="16">
        <f>CU33*CV33</f>
        <v/>
      </c>
    </row>
    <row r="34" ht="15.75" customHeight="1">
      <c r="A34" s="21" t="inlineStr">
        <is>
          <t>Tapa copa troforma 1 1/2</t>
        </is>
      </c>
      <c r="B34" s="21" t="inlineStr">
        <is>
          <t>Pqte</t>
        </is>
      </c>
      <c r="C34" s="44" t="n"/>
      <c r="D34" s="22" t="n"/>
      <c r="E34" s="78">
        <f>IFERROR(+C34*D34, 0)</f>
        <v/>
      </c>
      <c r="F34" s="14" t="n">
        <v>3</v>
      </c>
      <c r="G34" s="15" t="n">
        <v>2400</v>
      </c>
      <c r="H34" s="16" t="n">
        <v>7200</v>
      </c>
      <c r="I34" s="14" t="n">
        <v>5</v>
      </c>
      <c r="J34" s="15" t="n">
        <v>2250</v>
      </c>
      <c r="K34" s="16" t="n">
        <v>11250</v>
      </c>
      <c r="L34" s="14" t="n"/>
      <c r="M34" s="15" t="n"/>
      <c r="N34" s="16">
        <f>IFERROR(L34*M34, 0)</f>
        <v/>
      </c>
      <c r="O34" s="14" t="n"/>
      <c r="P34" s="15" t="n"/>
      <c r="Q34" s="16">
        <f>IFERROR(O34*P34, 0)</f>
        <v/>
      </c>
      <c r="R34" s="14" t="n"/>
      <c r="S34" s="15" t="n"/>
      <c r="T34" s="16">
        <f>IFERROR(R34*S34, 0)</f>
        <v/>
      </c>
      <c r="U34" s="14" t="n"/>
      <c r="V34" s="15" t="n"/>
      <c r="W34" s="16">
        <f>IFERROR(U34*V34, 0)</f>
        <v/>
      </c>
      <c r="X34" s="14" t="n">
        <v>6</v>
      </c>
      <c r="Y34" s="15" t="n">
        <v>2400</v>
      </c>
      <c r="Z34" s="16" t="n">
        <v>14400</v>
      </c>
      <c r="AA34" s="14" t="n"/>
      <c r="AB34" s="15" t="n"/>
      <c r="AC34" s="16">
        <f>IFERROR(AA34*AB34, 0)</f>
        <v/>
      </c>
      <c r="AD34" s="14" t="n"/>
      <c r="AE34" s="15" t="n"/>
      <c r="AF34" s="16">
        <f>IFERROR(AD34*AE34, 0)</f>
        <v/>
      </c>
      <c r="AG34" s="14" t="n">
        <v>8</v>
      </c>
      <c r="AH34" s="15" t="n">
        <v>2400</v>
      </c>
      <c r="AI34" s="16" t="n">
        <v>19200</v>
      </c>
      <c r="AJ34" s="14" t="n"/>
      <c r="AK34" s="15" t="n"/>
      <c r="AL34" s="16">
        <f>IFERROR(AJ34*AK34, 0)</f>
        <v/>
      </c>
      <c r="AM34" s="14" t="n"/>
      <c r="AN34" s="15" t="n"/>
      <c r="AO34" s="16">
        <f>IFERROR(AM34*AN34, 0)</f>
        <v/>
      </c>
      <c r="AP34" s="14" t="n"/>
      <c r="AQ34" s="15" t="n"/>
      <c r="AR34" s="16">
        <f>IFERROR(AP34*AQ34, 0)</f>
        <v/>
      </c>
      <c r="AS34" s="14" t="n"/>
      <c r="AT34" s="15" t="n"/>
      <c r="AU34" s="16">
        <f>IFERROR(AS34*AT34, 0)</f>
        <v/>
      </c>
      <c r="AV34" s="14" t="n"/>
      <c r="AW34" s="15" t="n"/>
      <c r="AX34" s="16">
        <f>IFERROR(AV34*AW34, 0)</f>
        <v/>
      </c>
      <c r="AY34" s="14" t="n"/>
      <c r="AZ34" s="15" t="n"/>
      <c r="BA34" s="16">
        <f>IFERROR(AY34*AZ34, 0)</f>
        <v/>
      </c>
      <c r="BB34" s="14" t="n"/>
      <c r="BC34" s="15" t="n"/>
      <c r="BD34" s="16">
        <f>IFERROR(BB34*BC34, 0)</f>
        <v/>
      </c>
      <c r="BE34" s="14" t="n">
        <v>8</v>
      </c>
      <c r="BF34" s="15" t="n">
        <v>2400</v>
      </c>
      <c r="BG34" s="16" t="n">
        <v>19200</v>
      </c>
      <c r="BH34" s="14" t="n"/>
      <c r="BI34" s="15" t="n"/>
      <c r="BJ34" s="16">
        <f>IFERROR(BH34*BI34, 0)</f>
        <v/>
      </c>
      <c r="BK34" s="14" t="n"/>
      <c r="BL34" s="15" t="n"/>
      <c r="BM34" s="16">
        <f>IFERROR(BK34*BL34, 0)</f>
        <v/>
      </c>
      <c r="BN34" s="14" t="n"/>
      <c r="BO34" s="15" t="n"/>
      <c r="BP34" s="16">
        <f>IFERROR(BN34*BO34, 0)</f>
        <v/>
      </c>
      <c r="BQ34" s="14" t="n">
        <v>10</v>
      </c>
      <c r="BR34" s="15" t="n">
        <v>2400</v>
      </c>
      <c r="BS34" s="16" t="n">
        <v>24000</v>
      </c>
      <c r="BT34" s="14" t="n"/>
      <c r="BU34" s="15" t="n"/>
      <c r="BV34" s="16">
        <f>IFERROR(BT34*BU34, 0)</f>
        <v/>
      </c>
      <c r="BW34" s="14" t="n"/>
      <c r="BX34" s="15" t="n"/>
      <c r="BY34" s="16">
        <f>IFERROR(BW34*BX34, 0)</f>
        <v/>
      </c>
      <c r="BZ34" s="14" t="n"/>
      <c r="CA34" s="15" t="n"/>
      <c r="CB34" s="16">
        <f>IFERROR(BZ34*CA34, 0)</f>
        <v/>
      </c>
      <c r="CC34" s="14" t="n"/>
      <c r="CD34" s="15" t="n"/>
      <c r="CE34" s="16">
        <f>IFERROR(CC34*CD34, 0)</f>
        <v/>
      </c>
      <c r="CF34" s="14" t="n"/>
      <c r="CG34" s="15" t="n"/>
      <c r="CH34" s="16">
        <f>IFERROR(CF34*CG34, 0)</f>
        <v/>
      </c>
      <c r="CI34" s="14" t="n"/>
      <c r="CJ34" s="15" t="n"/>
      <c r="CK34" s="16">
        <f>IFERROR(CI34*CJ34, 0)</f>
        <v/>
      </c>
      <c r="CL34" s="14" t="n"/>
      <c r="CM34" s="15" t="n"/>
      <c r="CN34" s="16">
        <f>IFERROR(CL34*CM34, 0)</f>
        <v/>
      </c>
      <c r="CO34" s="14" t="n"/>
      <c r="CP34" s="15" t="n"/>
      <c r="CQ34" s="16">
        <f>IFERROR(CO34*CP34, 0)</f>
        <v/>
      </c>
      <c r="CR34" s="14" t="n"/>
      <c r="CS34" s="15" t="n"/>
      <c r="CT34" s="16">
        <f>IFERROR(CR34*CS34, 0)</f>
        <v/>
      </c>
      <c r="CU34" s="17">
        <f>IFERROR(SUM(F34,I34,L34,O34,R34,U34,X34,AA34,AD34,AG34,AJ34,AM34,AP34,AS34,AV34,AY34,BB34,BE34,BH34,BK34,BN34,BQ34,BT34,BW34,BZ34,CC34,CF34,CI34,CL34,CO34,CR34), 0)</f>
        <v/>
      </c>
      <c r="CV34" s="16">
        <f>IFERROR(AVERAGE(G34,J34,M34,P34,S34,V34,Y34,AB34,AE34,AH34,AK34,AN34,AQ34,AT34,AW34,AZ34,BC34,BF34,BI34,BL34,BO34,BR34,BU34,BX34,CA34,CD34,CG34,CJ34,CM34,CP34,CS34), 0)</f>
        <v/>
      </c>
      <c r="CW34" s="16">
        <f>CU34*CV34</f>
        <v/>
      </c>
    </row>
    <row r="35" ht="15.75" customHeight="1">
      <c r="A35" s="41" t="inlineStr">
        <is>
          <t>Tapa copa 20nz domingo x100 x25</t>
        </is>
      </c>
      <c r="B35" s="41" t="inlineStr">
        <is>
          <t>Pqte</t>
        </is>
      </c>
      <c r="C35" s="19" t="n"/>
      <c r="D35" s="20" t="n"/>
      <c r="E35" s="78">
        <f>IFERROR(+C35*D35, 0)</f>
        <v/>
      </c>
      <c r="F35" s="14" t="n"/>
      <c r="G35" s="15" t="n"/>
      <c r="H35" s="16">
        <f>IFERROR(F35*G35, 0)</f>
        <v/>
      </c>
      <c r="I35" s="14" t="n">
        <v>1</v>
      </c>
      <c r="J35" s="15" t="n">
        <v>8100</v>
      </c>
      <c r="K35" s="16" t="n">
        <v>8100</v>
      </c>
      <c r="L35" s="14" t="n"/>
      <c r="M35" s="15" t="n"/>
      <c r="N35" s="16">
        <f>IFERROR(L35*M35, 0)</f>
        <v/>
      </c>
      <c r="O35" s="14" t="n"/>
      <c r="P35" s="15" t="n"/>
      <c r="Q35" s="16">
        <f>IFERROR(O35*P35, 0)</f>
        <v/>
      </c>
      <c r="R35" s="14" t="n"/>
      <c r="S35" s="15" t="n"/>
      <c r="T35" s="16">
        <f>IFERROR(R35*S35, 0)</f>
        <v/>
      </c>
      <c r="U35" s="14" t="n"/>
      <c r="V35" s="15" t="n"/>
      <c r="W35" s="16">
        <f>IFERROR(U35*V35, 0)</f>
        <v/>
      </c>
      <c r="X35" s="14" t="n"/>
      <c r="Y35" s="15" t="n"/>
      <c r="Z35" s="16">
        <f>IFERROR(X35*Y35, 0)</f>
        <v/>
      </c>
      <c r="AA35" s="14" t="n"/>
      <c r="AB35" s="15" t="n"/>
      <c r="AC35" s="16">
        <f>IFERROR(AA35*AB35, 0)</f>
        <v/>
      </c>
      <c r="AD35" s="14" t="n"/>
      <c r="AE35" s="15" t="n"/>
      <c r="AF35" s="16">
        <f>IFERROR(AD35*AE35, 0)</f>
        <v/>
      </c>
      <c r="AG35" s="14" t="n">
        <v>1</v>
      </c>
      <c r="AH35" s="15" t="n">
        <v>8100</v>
      </c>
      <c r="AI35" s="16" t="n">
        <v>8100</v>
      </c>
      <c r="AJ35" s="14" t="n"/>
      <c r="AK35" s="15" t="n"/>
      <c r="AL35" s="16">
        <f>IFERROR(AJ35*AK35, 0)</f>
        <v/>
      </c>
      <c r="AM35" s="14" t="n"/>
      <c r="AN35" s="15" t="n"/>
      <c r="AO35" s="16">
        <f>IFERROR(AM35*AN35, 0)</f>
        <v/>
      </c>
      <c r="AP35" s="14" t="n"/>
      <c r="AQ35" s="15" t="n"/>
      <c r="AR35" s="16">
        <f>IFERROR(AP35*AQ35, 0)</f>
        <v/>
      </c>
      <c r="AS35" s="14" t="n"/>
      <c r="AT35" s="15" t="n"/>
      <c r="AU35" s="16">
        <f>IFERROR(AS35*AT35, 0)</f>
        <v/>
      </c>
      <c r="AV35" s="14" t="n"/>
      <c r="AW35" s="15" t="n"/>
      <c r="AX35" s="16">
        <f>IFERROR(AV35*AW35, 0)</f>
        <v/>
      </c>
      <c r="AY35" s="14" t="n"/>
      <c r="AZ35" s="15" t="n"/>
      <c r="BA35" s="16">
        <f>IFERROR(AY35*AZ35, 0)</f>
        <v/>
      </c>
      <c r="BB35" s="14" t="n"/>
      <c r="BC35" s="15" t="n"/>
      <c r="BD35" s="16">
        <f>IFERROR(BB35*BC35, 0)</f>
        <v/>
      </c>
      <c r="BE35" s="14" t="n"/>
      <c r="BF35" s="15" t="n"/>
      <c r="BG35" s="16">
        <f>IFERROR(BE35*BF35, 0)</f>
        <v/>
      </c>
      <c r="BH35" s="14" t="n"/>
      <c r="BI35" s="15" t="n"/>
      <c r="BJ35" s="16">
        <f>IFERROR(BH35*BI35, 0)</f>
        <v/>
      </c>
      <c r="BK35" s="14" t="n"/>
      <c r="BL35" s="15" t="n"/>
      <c r="BM35" s="16">
        <f>IFERROR(BK35*BL35, 0)</f>
        <v/>
      </c>
      <c r="BN35" s="14" t="n"/>
      <c r="BO35" s="15" t="n"/>
      <c r="BP35" s="16">
        <f>IFERROR(BN35*BO35, 0)</f>
        <v/>
      </c>
      <c r="BQ35" s="14" t="n"/>
      <c r="BR35" s="15" t="n"/>
      <c r="BS35" s="16">
        <f>IFERROR(BQ35*BR35, 0)</f>
        <v/>
      </c>
      <c r="BT35" s="14" t="n"/>
      <c r="BU35" s="15" t="n"/>
      <c r="BV35" s="16">
        <f>IFERROR(BT35*BU35, 0)</f>
        <v/>
      </c>
      <c r="BW35" s="14" t="n"/>
      <c r="BX35" s="15" t="n"/>
      <c r="BY35" s="16">
        <f>IFERROR(BW35*BX35, 0)</f>
        <v/>
      </c>
      <c r="BZ35" s="14" t="n"/>
      <c r="CA35" s="15" t="n"/>
      <c r="CB35" s="16">
        <f>IFERROR(BZ35*CA35, 0)</f>
        <v/>
      </c>
      <c r="CC35" s="14" t="n"/>
      <c r="CD35" s="15" t="n"/>
      <c r="CE35" s="16">
        <f>IFERROR(CC35*CD35, 0)</f>
        <v/>
      </c>
      <c r="CF35" s="14" t="n"/>
      <c r="CG35" s="15" t="n"/>
      <c r="CH35" s="16">
        <f>IFERROR(CF35*CG35, 0)</f>
        <v/>
      </c>
      <c r="CI35" s="14" t="n"/>
      <c r="CJ35" s="15" t="n"/>
      <c r="CK35" s="16">
        <f>IFERROR(CI35*CJ35, 0)</f>
        <v/>
      </c>
      <c r="CL35" s="14" t="n"/>
      <c r="CM35" s="15" t="n"/>
      <c r="CN35" s="16">
        <f>IFERROR(CL35*CM35, 0)</f>
        <v/>
      </c>
      <c r="CO35" s="14" t="n"/>
      <c r="CP35" s="15" t="n"/>
      <c r="CQ35" s="16">
        <f>IFERROR(CO35*CP35, 0)</f>
        <v/>
      </c>
      <c r="CR35" s="14" t="n"/>
      <c r="CS35" s="15" t="n"/>
      <c r="CT35" s="16">
        <f>IFERROR(CR35*CS35, 0)</f>
        <v/>
      </c>
      <c r="CU35" s="17">
        <f>IFERROR(SUM(F35,I35,L35,O35,R35,U35,X35,AA35,AD35,AG35,AJ35,AM35,AP35,AS35,AV35,AY35,BB35,BE35,BH35,BK35,BN35,BQ35,BT35,BW35,BZ35,CC35,CF35,CI35,CL35,CO35,CR35), 0)</f>
        <v/>
      </c>
      <c r="CV35" s="16">
        <f>IFERROR(AVERAGE(G35,J35,M35,P35,S35,V35,Y35,AB35,AE35,AH35,AK35,AN35,AQ35,AT35,AW35,AZ35,BC35,BF35,BI35,BL35,BO35,BR35,BU35,BX35,CA35,CD35,CG35,CJ35,CM35,CP35,CS35), 0)</f>
        <v/>
      </c>
      <c r="CW35" s="16">
        <f>CU35*CV35</f>
        <v/>
      </c>
    </row>
    <row r="36" ht="15.75" customHeight="1">
      <c r="A36" s="41" t="inlineStr">
        <is>
          <t>Crema de leche</t>
        </is>
      </c>
      <c r="B36" s="41" t="inlineStr">
        <is>
          <t>Pqte</t>
        </is>
      </c>
      <c r="C36" s="42" t="n"/>
      <c r="D36" s="43" t="n"/>
      <c r="E36" s="78">
        <f>IFERROR(+C36*D36, 0)</f>
        <v/>
      </c>
      <c r="F36" s="14" t="n">
        <v>2</v>
      </c>
      <c r="G36" s="15" t="n">
        <v>18200</v>
      </c>
      <c r="H36" s="16" t="n">
        <v>36400</v>
      </c>
      <c r="I36" s="14" t="n"/>
      <c r="J36" s="15" t="n"/>
      <c r="K36" s="16">
        <f>IFERROR(I36*J36, 0)</f>
        <v/>
      </c>
      <c r="L36" s="14" t="n"/>
      <c r="M36" s="15" t="n"/>
      <c r="N36" s="16">
        <f>IFERROR(L36*M36, 0)</f>
        <v/>
      </c>
      <c r="O36" s="14" t="n"/>
      <c r="P36" s="15" t="n"/>
      <c r="Q36" s="16">
        <f>IFERROR(O36*P36, 0)</f>
        <v/>
      </c>
      <c r="R36" s="14" t="n"/>
      <c r="S36" s="15" t="n"/>
      <c r="T36" s="16">
        <f>IFERROR(R36*S36, 0)</f>
        <v/>
      </c>
      <c r="U36" s="14" t="n"/>
      <c r="V36" s="15" t="n"/>
      <c r="W36" s="16">
        <f>IFERROR(U36*V36, 0)</f>
        <v/>
      </c>
      <c r="X36" s="14" t="n"/>
      <c r="Y36" s="15" t="n"/>
      <c r="Z36" s="16">
        <f>IFERROR(X36*Y36, 0)</f>
        <v/>
      </c>
      <c r="AA36" s="14" t="n">
        <v>2</v>
      </c>
      <c r="AB36" s="15" t="n">
        <v>18200</v>
      </c>
      <c r="AC36" s="16" t="n">
        <v>36400</v>
      </c>
      <c r="AD36" s="14" t="n"/>
      <c r="AE36" s="15" t="n"/>
      <c r="AF36" s="16">
        <f>IFERROR(AD36*AE36, 0)</f>
        <v/>
      </c>
      <c r="AG36" s="14" t="n"/>
      <c r="AH36" s="15" t="n"/>
      <c r="AI36" s="16">
        <f>IFERROR(AG36*AH36, 0)</f>
        <v/>
      </c>
      <c r="AJ36" s="14" t="n"/>
      <c r="AK36" s="15" t="n"/>
      <c r="AL36" s="16">
        <f>IFERROR(AJ36*AK36, 0)</f>
        <v/>
      </c>
      <c r="AM36" s="14" t="n"/>
      <c r="AN36" s="15" t="n"/>
      <c r="AO36" s="16">
        <f>IFERROR(AM36*AN36, 0)</f>
        <v/>
      </c>
      <c r="AP36" s="14" t="n"/>
      <c r="AQ36" s="15" t="n"/>
      <c r="AR36" s="16">
        <f>IFERROR(AP36*AQ36, 0)</f>
        <v/>
      </c>
      <c r="AS36" s="14" t="n"/>
      <c r="AT36" s="15" t="n"/>
      <c r="AU36" s="16">
        <f>IFERROR(AS36*AT36, 0)</f>
        <v/>
      </c>
      <c r="AV36" s="14" t="n"/>
      <c r="AW36" s="15" t="n"/>
      <c r="AX36" s="16">
        <f>IFERROR(AV36*AW36, 0)</f>
        <v/>
      </c>
      <c r="AY36" s="14" t="n"/>
      <c r="AZ36" s="15" t="n"/>
      <c r="BA36" s="16">
        <f>IFERROR(AY36*AZ36, 0)</f>
        <v/>
      </c>
      <c r="BB36" s="14" t="n"/>
      <c r="BC36" s="15" t="n"/>
      <c r="BD36" s="16">
        <f>IFERROR(BB36*BC36, 0)</f>
        <v/>
      </c>
      <c r="BE36" s="14" t="n"/>
      <c r="BF36" s="15" t="n"/>
      <c r="BG36" s="16">
        <f>IFERROR(BE36*BF36, 0)</f>
        <v/>
      </c>
      <c r="BH36" s="14" t="n"/>
      <c r="BI36" s="15" t="n"/>
      <c r="BJ36" s="16">
        <f>IFERROR(BH36*BI36, 0)</f>
        <v/>
      </c>
      <c r="BK36" s="14" t="n"/>
      <c r="BL36" s="15" t="n"/>
      <c r="BM36" s="16">
        <f>IFERROR(BK36*BL36, 0)</f>
        <v/>
      </c>
      <c r="BN36" s="14" t="n">
        <v>2</v>
      </c>
      <c r="BO36" s="15" t="n">
        <v>18200</v>
      </c>
      <c r="BP36" s="16" t="n">
        <v>36400</v>
      </c>
      <c r="BQ36" s="14" t="n">
        <v>4</v>
      </c>
      <c r="BR36" s="15" t="n">
        <v>18200</v>
      </c>
      <c r="BS36" s="16" t="n">
        <v>72800</v>
      </c>
      <c r="BT36" s="14" t="n"/>
      <c r="BU36" s="15" t="n"/>
      <c r="BV36" s="16">
        <f>IFERROR(BT36*BU36, 0)</f>
        <v/>
      </c>
      <c r="BW36" s="14" t="n"/>
      <c r="BX36" s="15" t="n"/>
      <c r="BY36" s="16">
        <f>IFERROR(BW36*BX36, 0)</f>
        <v/>
      </c>
      <c r="BZ36" s="14" t="n"/>
      <c r="CA36" s="15" t="n"/>
      <c r="CB36" s="16">
        <f>IFERROR(BZ36*CA36, 0)</f>
        <v/>
      </c>
      <c r="CC36" s="14" t="n"/>
      <c r="CD36" s="15" t="n"/>
      <c r="CE36" s="16">
        <f>IFERROR(CC36*CD36, 0)</f>
        <v/>
      </c>
      <c r="CF36" s="14" t="n"/>
      <c r="CG36" s="15" t="n"/>
      <c r="CH36" s="16">
        <f>IFERROR(CF36*CG36, 0)</f>
        <v/>
      </c>
      <c r="CI36" s="14" t="n"/>
      <c r="CJ36" s="15" t="n"/>
      <c r="CK36" s="16">
        <f>IFERROR(CI36*CJ36, 0)</f>
        <v/>
      </c>
      <c r="CL36" s="14" t="n"/>
      <c r="CM36" s="15" t="n"/>
      <c r="CN36" s="16">
        <f>IFERROR(CL36*CM36, 0)</f>
        <v/>
      </c>
      <c r="CO36" s="14" t="n"/>
      <c r="CP36" s="15" t="n"/>
      <c r="CQ36" s="16">
        <f>IFERROR(CO36*CP36, 0)</f>
        <v/>
      </c>
      <c r="CR36" s="14" t="n"/>
      <c r="CS36" s="15" t="n"/>
      <c r="CT36" s="16">
        <f>IFERROR(CR36*CS36, 0)</f>
        <v/>
      </c>
      <c r="CU36" s="17">
        <f>IFERROR(SUM(F36,I36,L36,O36,R36,U36,X36,AA36,AD36,AG36,AJ36,AM36,AP36,AS36,AV36,AY36,BB36,BE36,BH36,BK36,BN36,BQ36,BT36,BW36,BZ36,CC36,CF36,CI36,CL36,CO36,CR36), 0)</f>
        <v/>
      </c>
      <c r="CV36" s="16">
        <f>IFERROR(AVERAGE(G36,J36,M36,P36,S36,V36,Y36,AB36,AE36,AH36,AK36,AN36,AQ36,AT36,AW36,AZ36,BC36,BF36,BI36,BL36,BO36,BR36,BU36,BX36,CA36,CD36,CG36,CJ36,CM36,CP36,CS36), 0)</f>
        <v/>
      </c>
      <c r="CW36" s="16">
        <f>CU36*CV36</f>
        <v/>
      </c>
    </row>
    <row r="37" ht="15.75" customHeight="1">
      <c r="A37" s="41" t="inlineStr">
        <is>
          <t>Cuchara</t>
        </is>
      </c>
      <c r="B37" s="41" t="inlineStr">
        <is>
          <t>Pqte</t>
        </is>
      </c>
      <c r="C37" s="42" t="n"/>
      <c r="D37" s="43" t="n"/>
      <c r="E37" s="78">
        <f>IFERROR(+C37*D37, 0)</f>
        <v/>
      </c>
      <c r="F37" s="14" t="n"/>
      <c r="G37" s="15" t="n"/>
      <c r="H37" s="16">
        <f>IFERROR(F37*G37, 0)</f>
        <v/>
      </c>
      <c r="I37" s="14" t="n"/>
      <c r="J37" s="15" t="n"/>
      <c r="K37" s="16">
        <f>IFERROR(I37*J37, 0)</f>
        <v/>
      </c>
      <c r="L37" s="14" t="n"/>
      <c r="M37" s="15" t="n"/>
      <c r="N37" s="16">
        <f>IFERROR(L37*M37, 0)</f>
        <v/>
      </c>
      <c r="O37" s="14" t="n"/>
      <c r="P37" s="15" t="n"/>
      <c r="Q37" s="16">
        <f>IFERROR(O37*P37, 0)</f>
        <v/>
      </c>
      <c r="R37" s="14" t="n"/>
      <c r="S37" s="15" t="n"/>
      <c r="T37" s="16">
        <f>IFERROR(R37*S37, 0)</f>
        <v/>
      </c>
      <c r="U37" s="14" t="n"/>
      <c r="V37" s="15" t="n"/>
      <c r="W37" s="16">
        <f>IFERROR(U37*V37, 0)</f>
        <v/>
      </c>
      <c r="X37" s="14" t="n"/>
      <c r="Y37" s="15" t="n"/>
      <c r="Z37" s="16">
        <f>IFERROR(X37*Y37, 0)</f>
        <v/>
      </c>
      <c r="AA37" s="14" t="n"/>
      <c r="AB37" s="15" t="n"/>
      <c r="AC37" s="16">
        <f>IFERROR(AA37*AB37, 0)</f>
        <v/>
      </c>
      <c r="AD37" s="14" t="n"/>
      <c r="AE37" s="15" t="n"/>
      <c r="AF37" s="16">
        <f>IFERROR(AD37*AE37, 0)</f>
        <v/>
      </c>
      <c r="AG37" s="14" t="n"/>
      <c r="AH37" s="15" t="n"/>
      <c r="AI37" s="16">
        <f>IFERROR(AG37*AH37, 0)</f>
        <v/>
      </c>
      <c r="AJ37" s="14" t="n"/>
      <c r="AK37" s="15" t="n"/>
      <c r="AL37" s="16">
        <f>IFERROR(AJ37*AK37, 0)</f>
        <v/>
      </c>
      <c r="AM37" s="14" t="n"/>
      <c r="AN37" s="15" t="n"/>
      <c r="AO37" s="16">
        <f>IFERROR(AM37*AN37, 0)</f>
        <v/>
      </c>
      <c r="AP37" s="14" t="n"/>
      <c r="AQ37" s="15" t="n"/>
      <c r="AR37" s="16">
        <f>IFERROR(AP37*AQ37, 0)</f>
        <v/>
      </c>
      <c r="AS37" s="14" t="n"/>
      <c r="AT37" s="15" t="n"/>
      <c r="AU37" s="16">
        <f>IFERROR(AS37*AT37, 0)</f>
        <v/>
      </c>
      <c r="AV37" s="14" t="n"/>
      <c r="AW37" s="15" t="n"/>
      <c r="AX37" s="16">
        <f>IFERROR(AV37*AW37, 0)</f>
        <v/>
      </c>
      <c r="AY37" s="14" t="n"/>
      <c r="AZ37" s="15" t="n"/>
      <c r="BA37" s="16">
        <f>IFERROR(AY37*AZ37, 0)</f>
        <v/>
      </c>
      <c r="BB37" s="14" t="n"/>
      <c r="BC37" s="15" t="n"/>
      <c r="BD37" s="16">
        <f>IFERROR(BB37*BC37, 0)</f>
        <v/>
      </c>
      <c r="BE37" s="14" t="n"/>
      <c r="BF37" s="15" t="n"/>
      <c r="BG37" s="16">
        <f>IFERROR(BE37*BF37, 0)</f>
        <v/>
      </c>
      <c r="BH37" s="14" t="n"/>
      <c r="BI37" s="15" t="n"/>
      <c r="BJ37" s="16">
        <f>IFERROR(BH37*BI37, 0)</f>
        <v/>
      </c>
      <c r="BK37" s="14" t="n"/>
      <c r="BL37" s="15" t="n"/>
      <c r="BM37" s="16">
        <f>IFERROR(BK37*BL37, 0)</f>
        <v/>
      </c>
      <c r="BN37" s="14" t="n"/>
      <c r="BO37" s="15" t="n"/>
      <c r="BP37" s="16">
        <f>IFERROR(BN37*BO37, 0)</f>
        <v/>
      </c>
      <c r="BQ37" s="14" t="n"/>
      <c r="BR37" s="15" t="n"/>
      <c r="BS37" s="16">
        <f>IFERROR(BQ37*BR37, 0)</f>
        <v/>
      </c>
      <c r="BT37" s="14" t="n"/>
      <c r="BU37" s="15" t="n"/>
      <c r="BV37" s="16">
        <f>IFERROR(BT37*BU37, 0)</f>
        <v/>
      </c>
      <c r="BW37" s="14" t="n"/>
      <c r="BX37" s="15" t="n"/>
      <c r="BY37" s="16">
        <f>IFERROR(BW37*BX37, 0)</f>
        <v/>
      </c>
      <c r="BZ37" s="14" t="n"/>
      <c r="CA37" s="15" t="n"/>
      <c r="CB37" s="16">
        <f>IFERROR(BZ37*CA37, 0)</f>
        <v/>
      </c>
      <c r="CC37" s="14" t="n"/>
      <c r="CD37" s="15" t="n"/>
      <c r="CE37" s="16">
        <f>IFERROR(CC37*CD37, 0)</f>
        <v/>
      </c>
      <c r="CF37" s="14" t="n"/>
      <c r="CG37" s="15" t="n"/>
      <c r="CH37" s="16">
        <f>IFERROR(CF37*CG37, 0)</f>
        <v/>
      </c>
      <c r="CI37" s="14" t="n"/>
      <c r="CJ37" s="15" t="n"/>
      <c r="CK37" s="16">
        <f>IFERROR(CI37*CJ37, 0)</f>
        <v/>
      </c>
      <c r="CL37" s="14" t="n"/>
      <c r="CM37" s="15" t="n"/>
      <c r="CN37" s="16">
        <f>IFERROR(CL37*CM37, 0)</f>
        <v/>
      </c>
      <c r="CO37" s="14" t="n"/>
      <c r="CP37" s="15" t="n"/>
      <c r="CQ37" s="16">
        <f>IFERROR(CO37*CP37, 0)</f>
        <v/>
      </c>
      <c r="CR37" s="14" t="n"/>
      <c r="CS37" s="15" t="n"/>
      <c r="CT37" s="16">
        <f>IFERROR(CR37*CS37, 0)</f>
        <v/>
      </c>
      <c r="CU37" s="17">
        <f>IFERROR(SUM(F37,I37,L37,O37,R37,U37,X37,AA37,AD37,AG37,AJ37,AM37,AP37,AS37,AV37,AY37,BB37,BE37,BH37,BK37,BN37,BQ37,BT37,BW37,BZ37,CC37,CF37,CI37,CL37,CO37,CR37), 0)</f>
        <v/>
      </c>
      <c r="CV37" s="16">
        <f>IFERROR(AVERAGE(G37,J37,M37,P37,S37,V37,Y37,AB37,AE37,AH37,AK37,AN37,AQ37,AT37,AW37,AZ37,BC37,BF37,BI37,BL37,BO37,BR37,BU37,BX37,CA37,CD37,CG37,CJ37,CM37,CP37,CS37), 0)</f>
        <v/>
      </c>
      <c r="CW37" s="16">
        <f>CU37*CV37</f>
        <v/>
      </c>
    </row>
    <row r="38" ht="15.75" customHeight="1">
      <c r="A38" s="41" t="inlineStr">
        <is>
          <t>Cuchara grande suraplas x 100</t>
        </is>
      </c>
      <c r="B38" s="41" t="inlineStr">
        <is>
          <t>Pqte</t>
        </is>
      </c>
      <c r="C38" s="42" t="n"/>
      <c r="D38" s="43" t="n"/>
      <c r="E38" s="78">
        <f>IFERROR(+C38*D38, 0)</f>
        <v/>
      </c>
      <c r="F38" s="14" t="n"/>
      <c r="G38" s="15" t="n"/>
      <c r="H38" s="16">
        <f>IFERROR(F38*G38, 0)</f>
        <v/>
      </c>
      <c r="I38" s="14" t="n"/>
      <c r="J38" s="15" t="n"/>
      <c r="K38" s="16">
        <f>IFERROR(I38*J38, 0)</f>
        <v/>
      </c>
      <c r="L38" s="14" t="n"/>
      <c r="M38" s="15" t="n"/>
      <c r="N38" s="16">
        <f>IFERROR(L38*M38, 0)</f>
        <v/>
      </c>
      <c r="O38" s="14" t="n"/>
      <c r="P38" s="15" t="n"/>
      <c r="Q38" s="16">
        <f>IFERROR(O38*P38, 0)</f>
        <v/>
      </c>
      <c r="R38" s="14" t="n"/>
      <c r="S38" s="15" t="n"/>
      <c r="T38" s="16">
        <f>IFERROR(R38*S38, 0)</f>
        <v/>
      </c>
      <c r="U38" s="14" t="n"/>
      <c r="V38" s="15" t="n"/>
      <c r="W38" s="16">
        <f>IFERROR(U38*V38, 0)</f>
        <v/>
      </c>
      <c r="X38" s="14" t="n">
        <v>1</v>
      </c>
      <c r="Y38" s="15" t="n">
        <v>6800</v>
      </c>
      <c r="Z38" s="16" t="n">
        <v>6800</v>
      </c>
      <c r="AA38" s="14" t="n"/>
      <c r="AB38" s="15" t="n"/>
      <c r="AC38" s="16">
        <f>IFERROR(AA38*AB38, 0)</f>
        <v/>
      </c>
      <c r="AD38" s="14" t="n"/>
      <c r="AE38" s="15" t="n"/>
      <c r="AF38" s="16">
        <f>IFERROR(AD38*AE38, 0)</f>
        <v/>
      </c>
      <c r="AG38" s="14" t="n"/>
      <c r="AH38" s="15" t="n"/>
      <c r="AI38" s="16">
        <f>IFERROR(AG38*AH38, 0)</f>
        <v/>
      </c>
      <c r="AJ38" s="14" t="n"/>
      <c r="AK38" s="15" t="n"/>
      <c r="AL38" s="16">
        <f>IFERROR(AJ38*AK38, 0)</f>
        <v/>
      </c>
      <c r="AM38" s="14" t="n"/>
      <c r="AN38" s="15" t="n"/>
      <c r="AO38" s="16">
        <f>IFERROR(AM38*AN38, 0)</f>
        <v/>
      </c>
      <c r="AP38" s="14" t="n"/>
      <c r="AQ38" s="15" t="n"/>
      <c r="AR38" s="16">
        <f>IFERROR(AP38*AQ38, 0)</f>
        <v/>
      </c>
      <c r="AS38" s="14" t="n"/>
      <c r="AT38" s="15" t="n"/>
      <c r="AU38" s="16">
        <f>IFERROR(AS38*AT38, 0)</f>
        <v/>
      </c>
      <c r="AV38" s="14" t="n"/>
      <c r="AW38" s="15" t="n"/>
      <c r="AX38" s="16">
        <f>IFERROR(AV38*AW38, 0)</f>
        <v/>
      </c>
      <c r="AY38" s="14" t="n"/>
      <c r="AZ38" s="15" t="n"/>
      <c r="BA38" s="16">
        <f>IFERROR(AY38*AZ38, 0)</f>
        <v/>
      </c>
      <c r="BB38" s="14" t="n"/>
      <c r="BC38" s="15" t="n"/>
      <c r="BD38" s="16">
        <f>IFERROR(BB38*BC38, 0)</f>
        <v/>
      </c>
      <c r="BE38" s="14" t="n"/>
      <c r="BF38" s="15" t="n"/>
      <c r="BG38" s="16">
        <f>IFERROR(BE38*BF38, 0)</f>
        <v/>
      </c>
      <c r="BH38" s="14" t="n"/>
      <c r="BI38" s="15" t="n"/>
      <c r="BJ38" s="16">
        <f>IFERROR(BH38*BI38, 0)</f>
        <v/>
      </c>
      <c r="BK38" s="14" t="n"/>
      <c r="BL38" s="15" t="n"/>
      <c r="BM38" s="16">
        <f>IFERROR(BK38*BL38, 0)</f>
        <v/>
      </c>
      <c r="BN38" s="14" t="n"/>
      <c r="BO38" s="15" t="n"/>
      <c r="BP38" s="16">
        <f>IFERROR(BN38*BO38, 0)</f>
        <v/>
      </c>
      <c r="BQ38" s="14" t="n"/>
      <c r="BR38" s="15" t="n"/>
      <c r="BS38" s="16">
        <f>IFERROR(BQ38*BR38, 0)</f>
        <v/>
      </c>
      <c r="BT38" s="14" t="n"/>
      <c r="BU38" s="15" t="n"/>
      <c r="BV38" s="16">
        <f>IFERROR(BT38*BU38, 0)</f>
        <v/>
      </c>
      <c r="BW38" s="14" t="n"/>
      <c r="BX38" s="15" t="n"/>
      <c r="BY38" s="16">
        <f>IFERROR(BW38*BX38, 0)</f>
        <v/>
      </c>
      <c r="BZ38" s="14" t="n"/>
      <c r="CA38" s="15" t="n"/>
      <c r="CB38" s="16">
        <f>IFERROR(BZ38*CA38, 0)</f>
        <v/>
      </c>
      <c r="CC38" s="14" t="n"/>
      <c r="CD38" s="15" t="n"/>
      <c r="CE38" s="16">
        <f>IFERROR(CC38*CD38, 0)</f>
        <v/>
      </c>
      <c r="CF38" s="14" t="n"/>
      <c r="CG38" s="15" t="n"/>
      <c r="CH38" s="16">
        <f>IFERROR(CF38*CG38, 0)</f>
        <v/>
      </c>
      <c r="CI38" s="14" t="n"/>
      <c r="CJ38" s="15" t="n"/>
      <c r="CK38" s="16">
        <f>IFERROR(CI38*CJ38, 0)</f>
        <v/>
      </c>
      <c r="CL38" s="14" t="n"/>
      <c r="CM38" s="15" t="n"/>
      <c r="CN38" s="16">
        <f>IFERROR(CL38*CM38, 0)</f>
        <v/>
      </c>
      <c r="CO38" s="14" t="n"/>
      <c r="CP38" s="15" t="n"/>
      <c r="CQ38" s="16">
        <f>IFERROR(CO38*CP38, 0)</f>
        <v/>
      </c>
      <c r="CR38" s="14" t="n"/>
      <c r="CS38" s="15" t="n"/>
      <c r="CT38" s="16">
        <f>IFERROR(CR38*CS38, 0)</f>
        <v/>
      </c>
      <c r="CU38" s="17">
        <f>IFERROR(SUM(F38,I38,L38,O38,R38,U38,X38,AA38,AD38,AG38,AJ38,AM38,AP38,AS38,AV38,AY38,BB38,BE38,BH38,BK38,BN38,BQ38,BT38,BW38,BZ38,CC38,CF38,CI38,CL38,CO38,CR38), 0)</f>
        <v/>
      </c>
      <c r="CV38" s="16">
        <f>IFERROR(AVERAGE(G38,J38,M38,P38,S38,V38,Y38,AB38,AE38,AH38,AK38,AN38,AQ38,AT38,AW38,AZ38,BC38,BF38,BI38,BL38,BO38,BR38,BU38,BX38,CA38,CD38,CG38,CJ38,CM38,CP38,CS38), 0)</f>
        <v/>
      </c>
      <c r="CW38" s="16">
        <f>CU38*CV38</f>
        <v/>
      </c>
    </row>
    <row r="39" ht="15.75" customHeight="1">
      <c r="A39" s="41" t="inlineStr">
        <is>
          <t>Contenedor 8 onz.</t>
        </is>
      </c>
      <c r="B39" s="41" t="inlineStr">
        <is>
          <t>Pqte</t>
        </is>
      </c>
      <c r="C39" s="42" t="n"/>
      <c r="D39" s="43" t="n"/>
      <c r="E39" s="78">
        <f>IFERROR(+C39*D39, 0)</f>
        <v/>
      </c>
      <c r="F39" s="14" t="n"/>
      <c r="G39" s="15" t="n"/>
      <c r="H39" s="16">
        <f>IFERROR(F39*G39, 0)</f>
        <v/>
      </c>
      <c r="I39" s="14" t="n">
        <v>13</v>
      </c>
      <c r="J39" s="15" t="n">
        <v>10000</v>
      </c>
      <c r="K39" s="16" t="n">
        <v>130000</v>
      </c>
      <c r="L39" s="14" t="n"/>
      <c r="M39" s="15" t="n"/>
      <c r="N39" s="16">
        <f>IFERROR(L39*M39, 0)</f>
        <v/>
      </c>
      <c r="O39" s="14" t="n"/>
      <c r="P39" s="15" t="n"/>
      <c r="Q39" s="16">
        <f>IFERROR(O39*P39, 0)</f>
        <v/>
      </c>
      <c r="R39" s="14" t="n"/>
      <c r="S39" s="15" t="n"/>
      <c r="T39" s="16">
        <f>IFERROR(R39*S39, 0)</f>
        <v/>
      </c>
      <c r="U39" s="14" t="n"/>
      <c r="V39" s="15" t="n"/>
      <c r="W39" s="16">
        <f>IFERROR(U39*V39, 0)</f>
        <v/>
      </c>
      <c r="X39" s="14" t="n">
        <v>13</v>
      </c>
      <c r="Y39" s="15" t="n">
        <v>10000</v>
      </c>
      <c r="Z39" s="16" t="n">
        <v>130000</v>
      </c>
      <c r="AA39" s="14" t="n"/>
      <c r="AB39" s="15" t="n"/>
      <c r="AC39" s="16">
        <f>IFERROR(AA39*AB39, 0)</f>
        <v/>
      </c>
      <c r="AD39" s="14" t="n"/>
      <c r="AE39" s="15" t="n"/>
      <c r="AF39" s="16">
        <f>IFERROR(AD39*AE39, 0)</f>
        <v/>
      </c>
      <c r="AG39" s="14" t="n">
        <v>13</v>
      </c>
      <c r="AH39" s="15" t="n">
        <v>10000</v>
      </c>
      <c r="AI39" s="16" t="n">
        <v>130000</v>
      </c>
      <c r="AJ39" s="14" t="n"/>
      <c r="AK39" s="15" t="n"/>
      <c r="AL39" s="16">
        <f>IFERROR(AJ39*AK39, 0)</f>
        <v/>
      </c>
      <c r="AM39" s="14" t="n"/>
      <c r="AN39" s="15" t="n"/>
      <c r="AO39" s="16">
        <f>IFERROR(AM39*AN39, 0)</f>
        <v/>
      </c>
      <c r="AP39" s="14" t="n"/>
      <c r="AQ39" s="15" t="n"/>
      <c r="AR39" s="16">
        <f>IFERROR(AP39*AQ39, 0)</f>
        <v/>
      </c>
      <c r="AS39" s="14" t="n"/>
      <c r="AT39" s="15" t="n"/>
      <c r="AU39" s="16">
        <f>IFERROR(AS39*AT39, 0)</f>
        <v/>
      </c>
      <c r="AV39" s="14" t="n"/>
      <c r="AW39" s="15" t="n"/>
      <c r="AX39" s="16">
        <f>IFERROR(AV39*AW39, 0)</f>
        <v/>
      </c>
      <c r="AY39" s="14" t="n"/>
      <c r="AZ39" s="15" t="n"/>
      <c r="BA39" s="16">
        <f>IFERROR(AY39*AZ39, 0)</f>
        <v/>
      </c>
      <c r="BB39" s="14" t="n"/>
      <c r="BC39" s="15" t="n"/>
      <c r="BD39" s="16">
        <f>IFERROR(BB39*BC39, 0)</f>
        <v/>
      </c>
      <c r="BE39" s="14" t="n"/>
      <c r="BF39" s="15" t="n"/>
      <c r="BG39" s="16">
        <f>IFERROR(BE39*BF39, 0)</f>
        <v/>
      </c>
      <c r="BH39" s="14" t="n"/>
      <c r="BI39" s="15" t="n"/>
      <c r="BJ39" s="16">
        <f>IFERROR(BH39*BI39, 0)</f>
        <v/>
      </c>
      <c r="BK39" s="14" t="n"/>
      <c r="BL39" s="15" t="n"/>
      <c r="BM39" s="16">
        <f>IFERROR(BK39*BL39, 0)</f>
        <v/>
      </c>
      <c r="BN39" s="14" t="n"/>
      <c r="BO39" s="15" t="n"/>
      <c r="BP39" s="16">
        <f>IFERROR(BN39*BO39, 0)</f>
        <v/>
      </c>
      <c r="BQ39" s="14" t="n">
        <v>20</v>
      </c>
      <c r="BR39" s="15" t="n">
        <v>10000</v>
      </c>
      <c r="BS39" s="16" t="n">
        <v>200000</v>
      </c>
      <c r="BT39" s="14" t="n"/>
      <c r="BU39" s="15" t="n"/>
      <c r="BV39" s="16">
        <f>IFERROR(BT39*BU39, 0)</f>
        <v/>
      </c>
      <c r="BW39" s="14" t="n"/>
      <c r="BX39" s="15" t="n"/>
      <c r="BY39" s="16">
        <f>IFERROR(BW39*BX39, 0)</f>
        <v/>
      </c>
      <c r="BZ39" s="14" t="n"/>
      <c r="CA39" s="15" t="n"/>
      <c r="CB39" s="16">
        <f>IFERROR(BZ39*CA39, 0)</f>
        <v/>
      </c>
      <c r="CC39" s="14" t="n"/>
      <c r="CD39" s="15" t="n"/>
      <c r="CE39" s="16">
        <f>IFERROR(CC39*CD39, 0)</f>
        <v/>
      </c>
      <c r="CF39" s="14" t="n"/>
      <c r="CG39" s="15" t="n"/>
      <c r="CH39" s="16">
        <f>IFERROR(CF39*CG39, 0)</f>
        <v/>
      </c>
      <c r="CI39" s="14" t="n"/>
      <c r="CJ39" s="15" t="n"/>
      <c r="CK39" s="16">
        <f>IFERROR(CI39*CJ39, 0)</f>
        <v/>
      </c>
      <c r="CL39" s="14" t="n"/>
      <c r="CM39" s="15" t="n"/>
      <c r="CN39" s="16">
        <f>IFERROR(CL39*CM39, 0)</f>
        <v/>
      </c>
      <c r="CO39" s="14" t="n"/>
      <c r="CP39" s="15" t="n"/>
      <c r="CQ39" s="16">
        <f>IFERROR(CO39*CP39, 0)</f>
        <v/>
      </c>
      <c r="CR39" s="14" t="n"/>
      <c r="CS39" s="15" t="n"/>
      <c r="CT39" s="16">
        <f>IFERROR(CR39*CS39, 0)</f>
        <v/>
      </c>
      <c r="CU39" s="17">
        <f>IFERROR(SUM(F39,I39,L39,O39,R39,U39,X39,AA39,AD39,AG39,AJ39,AM39,AP39,AS39,AV39,AY39,BB39,BE39,BH39,BK39,BN39,BQ39,BT39,BW39,BZ39,CC39,CF39,CI39,CL39,CO39,CR39), 0)</f>
        <v/>
      </c>
      <c r="CV39" s="16">
        <f>IFERROR(AVERAGE(G39,J39,M39,P39,S39,V39,Y39,AB39,AE39,AH39,AK39,AN39,AQ39,AT39,AW39,AZ39,BC39,BF39,BI39,BL39,BO39,BR39,BU39,BX39,CA39,CD39,CG39,CJ39,CM39,CP39,CS39), 0)</f>
        <v/>
      </c>
      <c r="CW39" s="16">
        <f>CU39*CV39</f>
        <v/>
      </c>
    </row>
    <row r="40" ht="15.75" customHeight="1">
      <c r="A40" s="41" t="inlineStr">
        <is>
          <t>Contenedor t1</t>
        </is>
      </c>
      <c r="B40" s="41" t="inlineStr">
        <is>
          <t>Und</t>
        </is>
      </c>
      <c r="C40" s="42" t="n"/>
      <c r="D40" s="43" t="n"/>
      <c r="E40" s="78">
        <f>IFERROR(+C40*D40, 0)</f>
        <v/>
      </c>
      <c r="F40" s="14" t="n"/>
      <c r="G40" s="15" t="n"/>
      <c r="H40" s="16">
        <f>IFERROR(F40*G40, 0)</f>
        <v/>
      </c>
      <c r="I40" s="14" t="n"/>
      <c r="J40" s="15" t="n"/>
      <c r="K40" s="16">
        <f>IFERROR(I40*J40, 0)</f>
        <v/>
      </c>
      <c r="L40" s="14" t="n"/>
      <c r="M40" s="15" t="n"/>
      <c r="N40" s="16">
        <f>IFERROR(L40*M40, 0)</f>
        <v/>
      </c>
      <c r="O40" s="14" t="n"/>
      <c r="P40" s="15" t="n"/>
      <c r="Q40" s="16">
        <f>IFERROR(O40*P40, 0)</f>
        <v/>
      </c>
      <c r="R40" s="14" t="n"/>
      <c r="S40" s="15" t="n"/>
      <c r="T40" s="16">
        <f>IFERROR(R40*S40, 0)</f>
        <v/>
      </c>
      <c r="U40" s="14" t="n"/>
      <c r="V40" s="15" t="n"/>
      <c r="W40" s="16">
        <f>IFERROR(U40*V40, 0)</f>
        <v/>
      </c>
      <c r="X40" s="14" t="n">
        <v>100</v>
      </c>
      <c r="Y40" s="15" t="n">
        <v>270</v>
      </c>
      <c r="Z40" s="16" t="n">
        <v>27000</v>
      </c>
      <c r="AA40" s="14" t="n"/>
      <c r="AB40" s="15" t="n"/>
      <c r="AC40" s="16">
        <f>IFERROR(AA40*AB40, 0)</f>
        <v/>
      </c>
      <c r="AD40" s="14" t="n"/>
      <c r="AE40" s="15" t="n"/>
      <c r="AF40" s="16">
        <f>IFERROR(AD40*AE40, 0)</f>
        <v/>
      </c>
      <c r="AG40" s="14" t="n"/>
      <c r="AH40" s="15" t="n"/>
      <c r="AI40" s="16">
        <f>IFERROR(AG40*AH40, 0)</f>
        <v/>
      </c>
      <c r="AJ40" s="14" t="n"/>
      <c r="AK40" s="15" t="n"/>
      <c r="AL40" s="16">
        <f>IFERROR(AJ40*AK40, 0)</f>
        <v/>
      </c>
      <c r="AM40" s="14" t="n"/>
      <c r="AN40" s="15" t="n"/>
      <c r="AO40" s="16">
        <f>IFERROR(AM40*AN40, 0)</f>
        <v/>
      </c>
      <c r="AP40" s="14" t="n"/>
      <c r="AQ40" s="15" t="n"/>
      <c r="AR40" s="16">
        <f>IFERROR(AP40*AQ40, 0)</f>
        <v/>
      </c>
      <c r="AS40" s="14" t="n"/>
      <c r="AT40" s="15" t="n"/>
      <c r="AU40" s="16">
        <f>IFERROR(AS40*AT40, 0)</f>
        <v/>
      </c>
      <c r="AV40" s="14" t="n"/>
      <c r="AW40" s="15" t="n"/>
      <c r="AX40" s="16">
        <f>IFERROR(AV40*AW40, 0)</f>
        <v/>
      </c>
      <c r="AY40" s="14" t="n"/>
      <c r="AZ40" s="15" t="n"/>
      <c r="BA40" s="16">
        <f>IFERROR(AY40*AZ40, 0)</f>
        <v/>
      </c>
      <c r="BB40" s="14" t="n"/>
      <c r="BC40" s="15" t="n"/>
      <c r="BD40" s="16">
        <f>IFERROR(BB40*BC40, 0)</f>
        <v/>
      </c>
      <c r="BE40" s="14" t="n">
        <v>100</v>
      </c>
      <c r="BF40" s="15" t="n">
        <v>950</v>
      </c>
      <c r="BG40" s="16" t="n">
        <v>95000</v>
      </c>
      <c r="BH40" s="14" t="n"/>
      <c r="BI40" s="15" t="n"/>
      <c r="BJ40" s="16">
        <f>IFERROR(BH40*BI40, 0)</f>
        <v/>
      </c>
      <c r="BK40" s="14" t="n"/>
      <c r="BL40" s="15" t="n"/>
      <c r="BM40" s="16">
        <f>IFERROR(BK40*BL40, 0)</f>
        <v/>
      </c>
      <c r="BN40" s="14" t="n"/>
      <c r="BO40" s="15" t="n"/>
      <c r="BP40" s="16">
        <f>IFERROR(BN40*BO40, 0)</f>
        <v/>
      </c>
      <c r="BQ40" s="14" t="n"/>
      <c r="BR40" s="15" t="n"/>
      <c r="BS40" s="16">
        <f>IFERROR(BQ40*BR40, 0)</f>
        <v/>
      </c>
      <c r="BT40" s="14" t="n"/>
      <c r="BU40" s="15" t="n"/>
      <c r="BV40" s="16">
        <f>IFERROR(BT40*BU40, 0)</f>
        <v/>
      </c>
      <c r="BW40" s="14" t="n"/>
      <c r="BX40" s="15" t="n"/>
      <c r="BY40" s="16">
        <f>IFERROR(BW40*BX40, 0)</f>
        <v/>
      </c>
      <c r="BZ40" s="14" t="n"/>
      <c r="CA40" s="15" t="n"/>
      <c r="CB40" s="16">
        <f>IFERROR(BZ40*CA40, 0)</f>
        <v/>
      </c>
      <c r="CC40" s="14" t="n"/>
      <c r="CD40" s="15" t="n"/>
      <c r="CE40" s="16">
        <f>IFERROR(CC40*CD40, 0)</f>
        <v/>
      </c>
      <c r="CF40" s="14" t="n"/>
      <c r="CG40" s="15" t="n"/>
      <c r="CH40" s="16">
        <f>IFERROR(CF40*CG40, 0)</f>
        <v/>
      </c>
      <c r="CI40" s="14" t="n"/>
      <c r="CJ40" s="15" t="n"/>
      <c r="CK40" s="16">
        <f>IFERROR(CI40*CJ40, 0)</f>
        <v/>
      </c>
      <c r="CL40" s="14" t="n"/>
      <c r="CM40" s="15" t="n"/>
      <c r="CN40" s="16">
        <f>IFERROR(CL40*CM40, 0)</f>
        <v/>
      </c>
      <c r="CO40" s="14" t="n"/>
      <c r="CP40" s="15" t="n"/>
      <c r="CQ40" s="16">
        <f>IFERROR(CO40*CP40, 0)</f>
        <v/>
      </c>
      <c r="CR40" s="14" t="n"/>
      <c r="CS40" s="15" t="n"/>
      <c r="CT40" s="16">
        <f>IFERROR(CR40*CS40, 0)</f>
        <v/>
      </c>
      <c r="CU40" s="17">
        <f>IFERROR(SUM(F40,I40,L40,O40,R40,U40,X40,AA40,AD40,AG40,AJ40,AM40,AP40,AS40,AV40,AY40,BB40,BE40,BH40,BK40,BN40,BQ40,BT40,BW40,BZ40,CC40,CF40,CI40,CL40,CO40,CR40), 0)</f>
        <v/>
      </c>
      <c r="CV40" s="16">
        <f>IFERROR(AVERAGE(G40,J40,M40,P40,S40,V40,Y40,AB40,AE40,AH40,AK40,AN40,AQ40,AT40,AW40,AZ40,BC40,BF40,BI40,BL40,BO40,BR40,BU40,BX40,CA40,CD40,CG40,CJ40,CM40,CP40,CS40), 0)</f>
        <v/>
      </c>
      <c r="CW40" s="16">
        <f>CU40*CV40</f>
        <v/>
      </c>
    </row>
    <row r="41" ht="15.75" customHeight="1">
      <c r="A41" s="41" t="inlineStr">
        <is>
          <t>Escobas</t>
        </is>
      </c>
      <c r="B41" s="10" t="inlineStr">
        <is>
          <t>Und</t>
        </is>
      </c>
      <c r="C41" s="50" t="n"/>
      <c r="D41" s="43" t="n"/>
      <c r="E41" s="78">
        <f>IFERROR(+C41*D41, 0)</f>
        <v/>
      </c>
      <c r="F41" s="14" t="n"/>
      <c r="G41" s="15" t="n"/>
      <c r="H41" s="16">
        <f>IFERROR(F41*G41, 0)</f>
        <v/>
      </c>
      <c r="I41" s="14" t="n"/>
      <c r="J41" s="15" t="n"/>
      <c r="K41" s="16">
        <f>IFERROR(I41*J41, 0)</f>
        <v/>
      </c>
      <c r="L41" s="14" t="n"/>
      <c r="M41" s="15" t="n"/>
      <c r="N41" s="16">
        <f>IFERROR(L41*M41, 0)</f>
        <v/>
      </c>
      <c r="O41" s="14" t="n"/>
      <c r="P41" s="15" t="n"/>
      <c r="Q41" s="16">
        <f>IFERROR(O41*P41, 0)</f>
        <v/>
      </c>
      <c r="R41" s="14" t="n"/>
      <c r="S41" s="15" t="n"/>
      <c r="T41" s="16">
        <f>IFERROR(R41*S41, 0)</f>
        <v/>
      </c>
      <c r="U41" s="14" t="n"/>
      <c r="V41" s="15" t="n"/>
      <c r="W41" s="16">
        <f>IFERROR(U41*V41, 0)</f>
        <v/>
      </c>
      <c r="X41" s="14" t="n"/>
      <c r="Y41" s="15" t="n"/>
      <c r="Z41" s="16">
        <f>IFERROR(X41*Y41, 0)</f>
        <v/>
      </c>
      <c r="AA41" s="14" t="n"/>
      <c r="AB41" s="15" t="n"/>
      <c r="AC41" s="16">
        <f>IFERROR(AA41*AB41, 0)</f>
        <v/>
      </c>
      <c r="AD41" s="14" t="n"/>
      <c r="AE41" s="15" t="n"/>
      <c r="AF41" s="16">
        <f>IFERROR(AD41*AE41, 0)</f>
        <v/>
      </c>
      <c r="AG41" s="14" t="n"/>
      <c r="AH41" s="15" t="n"/>
      <c r="AI41" s="16">
        <f>IFERROR(AG41*AH41, 0)</f>
        <v/>
      </c>
      <c r="AJ41" s="14" t="n"/>
      <c r="AK41" s="15" t="n"/>
      <c r="AL41" s="16">
        <f>IFERROR(AJ41*AK41, 0)</f>
        <v/>
      </c>
      <c r="AM41" s="14" t="n"/>
      <c r="AN41" s="15" t="n"/>
      <c r="AO41" s="16">
        <f>IFERROR(AM41*AN41, 0)</f>
        <v/>
      </c>
      <c r="AP41" s="14" t="n"/>
      <c r="AQ41" s="15" t="n"/>
      <c r="AR41" s="16">
        <f>IFERROR(AP41*AQ41, 0)</f>
        <v/>
      </c>
      <c r="AS41" s="14" t="n"/>
      <c r="AT41" s="15" t="n"/>
      <c r="AU41" s="16">
        <f>IFERROR(AS41*AT41, 0)</f>
        <v/>
      </c>
      <c r="AV41" s="14" t="n"/>
      <c r="AW41" s="15" t="n"/>
      <c r="AX41" s="16">
        <f>IFERROR(AV41*AW41, 0)</f>
        <v/>
      </c>
      <c r="AY41" s="14" t="n"/>
      <c r="AZ41" s="15" t="n"/>
      <c r="BA41" s="16">
        <f>IFERROR(AY41*AZ41, 0)</f>
        <v/>
      </c>
      <c r="BB41" s="14" t="n"/>
      <c r="BC41" s="15" t="n"/>
      <c r="BD41" s="16">
        <f>IFERROR(BB41*BC41, 0)</f>
        <v/>
      </c>
      <c r="BE41" s="14" t="n"/>
      <c r="BF41" s="15" t="n"/>
      <c r="BG41" s="16">
        <f>IFERROR(BE41*BF41, 0)</f>
        <v/>
      </c>
      <c r="BH41" s="14" t="n"/>
      <c r="BI41" s="15" t="n"/>
      <c r="BJ41" s="16">
        <f>IFERROR(BH41*BI41, 0)</f>
        <v/>
      </c>
      <c r="BK41" s="14" t="n"/>
      <c r="BL41" s="15" t="n"/>
      <c r="BM41" s="16">
        <f>IFERROR(BK41*BL41, 0)</f>
        <v/>
      </c>
      <c r="BN41" s="14" t="n"/>
      <c r="BO41" s="15" t="n"/>
      <c r="BP41" s="16">
        <f>IFERROR(BN41*BO41, 0)</f>
        <v/>
      </c>
      <c r="BQ41" s="14" t="n"/>
      <c r="BR41" s="15" t="n"/>
      <c r="BS41" s="16">
        <f>IFERROR(BQ41*BR41, 0)</f>
        <v/>
      </c>
      <c r="BT41" s="14" t="n"/>
      <c r="BU41" s="15" t="n"/>
      <c r="BV41" s="16">
        <f>IFERROR(BT41*BU41, 0)</f>
        <v/>
      </c>
      <c r="BW41" s="14" t="n"/>
      <c r="BX41" s="15" t="n"/>
      <c r="BY41" s="16">
        <f>IFERROR(BW41*BX41, 0)</f>
        <v/>
      </c>
      <c r="BZ41" s="14" t="n"/>
      <c r="CA41" s="15" t="n"/>
      <c r="CB41" s="16">
        <f>IFERROR(BZ41*CA41, 0)</f>
        <v/>
      </c>
      <c r="CC41" s="14" t="n"/>
      <c r="CD41" s="15" t="n"/>
      <c r="CE41" s="16">
        <f>IFERROR(CC41*CD41, 0)</f>
        <v/>
      </c>
      <c r="CF41" s="14" t="n"/>
      <c r="CG41" s="15" t="n"/>
      <c r="CH41" s="16">
        <f>IFERROR(CF41*CG41, 0)</f>
        <v/>
      </c>
      <c r="CI41" s="14" t="n"/>
      <c r="CJ41" s="15" t="n"/>
      <c r="CK41" s="16">
        <f>IFERROR(CI41*CJ41, 0)</f>
        <v/>
      </c>
      <c r="CL41" s="14" t="n"/>
      <c r="CM41" s="15" t="n"/>
      <c r="CN41" s="16">
        <f>IFERROR(CL41*CM41, 0)</f>
        <v/>
      </c>
      <c r="CO41" s="14" t="n"/>
      <c r="CP41" s="15" t="n"/>
      <c r="CQ41" s="16">
        <f>IFERROR(CO41*CP41, 0)</f>
        <v/>
      </c>
      <c r="CR41" s="14" t="n"/>
      <c r="CS41" s="15" t="n"/>
      <c r="CT41" s="16">
        <f>IFERROR(CR41*CS41, 0)</f>
        <v/>
      </c>
      <c r="CU41" s="17">
        <f>IFERROR(SUM(F41,I41,L41,O41,R41,U41,X41,AA41,AD41,AG41,AJ41,AM41,AP41,AS41,AV41,AY41,BB41,BE41,BH41,BK41,BN41,BQ41,BT41,BW41,BZ41,CC41,CF41,CI41,CL41,CO41,CR41), 0)</f>
        <v/>
      </c>
      <c r="CV41" s="16">
        <f>IFERROR(AVERAGE(G41,J41,M41,P41,S41,V41,Y41,AB41,AE41,AH41,AK41,AN41,AQ41,AT41,AW41,AZ41,BC41,BF41,BI41,BL41,BO41,BR41,BU41,BX41,CA41,CD41,CG41,CJ41,CM41,CP41,CS41), 0)</f>
        <v/>
      </c>
      <c r="CW41" s="16">
        <f>CU41*CV41</f>
        <v/>
      </c>
    </row>
    <row r="42" ht="15.75" customHeight="1">
      <c r="A42" s="41" t="inlineStr">
        <is>
          <t>Esponja de brillo</t>
        </is>
      </c>
      <c r="B42" s="41" t="inlineStr">
        <is>
          <t>Pqte</t>
        </is>
      </c>
      <c r="C42" s="42" t="n"/>
      <c r="D42" s="43" t="n"/>
      <c r="E42" s="78">
        <f>IFERROR(+C42*D42, 0)</f>
        <v/>
      </c>
      <c r="F42" s="14" t="n"/>
      <c r="G42" s="15" t="n"/>
      <c r="H42" s="16">
        <f>IFERROR(F42*G42, 0)</f>
        <v/>
      </c>
      <c r="I42" s="14" t="n"/>
      <c r="J42" s="15" t="n"/>
      <c r="K42" s="16">
        <f>IFERROR(I42*J42, 0)</f>
        <v/>
      </c>
      <c r="L42" s="14" t="n"/>
      <c r="M42" s="15" t="n"/>
      <c r="N42" s="16">
        <f>IFERROR(L42*M42, 0)</f>
        <v/>
      </c>
      <c r="O42" s="14" t="n"/>
      <c r="P42" s="15" t="n"/>
      <c r="Q42" s="16">
        <f>IFERROR(O42*P42, 0)</f>
        <v/>
      </c>
      <c r="R42" s="14" t="n"/>
      <c r="S42" s="15" t="n"/>
      <c r="T42" s="16">
        <f>IFERROR(R42*S42, 0)</f>
        <v/>
      </c>
      <c r="U42" s="14" t="n"/>
      <c r="V42" s="15" t="n"/>
      <c r="W42" s="16">
        <f>IFERROR(U42*V42, 0)</f>
        <v/>
      </c>
      <c r="X42" s="14" t="n"/>
      <c r="Y42" s="15" t="n"/>
      <c r="Z42" s="16">
        <f>IFERROR(X42*Y42, 0)</f>
        <v/>
      </c>
      <c r="AA42" s="14" t="n"/>
      <c r="AB42" s="15" t="n"/>
      <c r="AC42" s="16">
        <f>IFERROR(AA42*AB42, 0)</f>
        <v/>
      </c>
      <c r="AD42" s="14" t="n"/>
      <c r="AE42" s="15" t="n"/>
      <c r="AF42" s="16">
        <f>IFERROR(AD42*AE42, 0)</f>
        <v/>
      </c>
      <c r="AG42" s="14" t="n"/>
      <c r="AH42" s="15" t="n"/>
      <c r="AI42" s="16">
        <f>IFERROR(AG42*AH42, 0)</f>
        <v/>
      </c>
      <c r="AJ42" s="14" t="n"/>
      <c r="AK42" s="15" t="n"/>
      <c r="AL42" s="16">
        <f>IFERROR(AJ42*AK42, 0)</f>
        <v/>
      </c>
      <c r="AM42" s="14" t="n"/>
      <c r="AN42" s="15" t="n"/>
      <c r="AO42" s="16">
        <f>IFERROR(AM42*AN42, 0)</f>
        <v/>
      </c>
      <c r="AP42" s="14" t="n"/>
      <c r="AQ42" s="15" t="n"/>
      <c r="AR42" s="16">
        <f>IFERROR(AP42*AQ42, 0)</f>
        <v/>
      </c>
      <c r="AS42" s="14" t="n">
        <v>4</v>
      </c>
      <c r="AT42" s="15" t="n">
        <v>2600</v>
      </c>
      <c r="AU42" s="16" t="n">
        <v>10400</v>
      </c>
      <c r="AV42" s="14" t="n"/>
      <c r="AW42" s="15" t="n"/>
      <c r="AX42" s="16">
        <f>IFERROR(AV42*AW42, 0)</f>
        <v/>
      </c>
      <c r="AY42" s="14" t="n"/>
      <c r="AZ42" s="15" t="n"/>
      <c r="BA42" s="16">
        <f>IFERROR(AY42*AZ42, 0)</f>
        <v/>
      </c>
      <c r="BB42" s="14" t="n"/>
      <c r="BC42" s="15" t="n"/>
      <c r="BD42" s="16">
        <f>IFERROR(BB42*BC42, 0)</f>
        <v/>
      </c>
      <c r="BE42" s="14" t="n"/>
      <c r="BF42" s="15" t="n"/>
      <c r="BG42" s="16">
        <f>IFERROR(BE42*BF42, 0)</f>
        <v/>
      </c>
      <c r="BH42" s="14" t="n"/>
      <c r="BI42" s="15" t="n"/>
      <c r="BJ42" s="16">
        <f>IFERROR(BH42*BI42, 0)</f>
        <v/>
      </c>
      <c r="BK42" s="14" t="n">
        <v>10</v>
      </c>
      <c r="BL42" s="15" t="n">
        <v>1000</v>
      </c>
      <c r="BM42" s="16" t="n">
        <v>10000</v>
      </c>
      <c r="BN42" s="14" t="n"/>
      <c r="BO42" s="15" t="n"/>
      <c r="BP42" s="16">
        <f>IFERROR(BN42*BO42, 0)</f>
        <v/>
      </c>
      <c r="BQ42" s="14" t="n"/>
      <c r="BR42" s="15" t="n"/>
      <c r="BS42" s="16">
        <f>IFERROR(BQ42*BR42, 0)</f>
        <v/>
      </c>
      <c r="BT42" s="14" t="n"/>
      <c r="BU42" s="15" t="n"/>
      <c r="BV42" s="16">
        <f>IFERROR(BT42*BU42, 0)</f>
        <v/>
      </c>
      <c r="BW42" s="14" t="n"/>
      <c r="BX42" s="15" t="n"/>
      <c r="BY42" s="16">
        <f>IFERROR(BW42*BX42, 0)</f>
        <v/>
      </c>
      <c r="BZ42" s="14" t="n"/>
      <c r="CA42" s="15" t="n"/>
      <c r="CB42" s="16">
        <f>IFERROR(BZ42*CA42, 0)</f>
        <v/>
      </c>
      <c r="CC42" s="14" t="n"/>
      <c r="CD42" s="15" t="n"/>
      <c r="CE42" s="16">
        <f>IFERROR(CC42*CD42, 0)</f>
        <v/>
      </c>
      <c r="CF42" s="14" t="n"/>
      <c r="CG42" s="15" t="n"/>
      <c r="CH42" s="16">
        <f>IFERROR(CF42*CG42, 0)</f>
        <v/>
      </c>
      <c r="CI42" s="14" t="n"/>
      <c r="CJ42" s="15" t="n"/>
      <c r="CK42" s="16">
        <f>IFERROR(CI42*CJ42, 0)</f>
        <v/>
      </c>
      <c r="CL42" s="14" t="n"/>
      <c r="CM42" s="15" t="n"/>
      <c r="CN42" s="16">
        <f>IFERROR(CL42*CM42, 0)</f>
        <v/>
      </c>
      <c r="CO42" s="14" t="n"/>
      <c r="CP42" s="15" t="n"/>
      <c r="CQ42" s="16">
        <f>IFERROR(CO42*CP42, 0)</f>
        <v/>
      </c>
      <c r="CR42" s="14" t="n"/>
      <c r="CS42" s="15" t="n"/>
      <c r="CT42" s="16">
        <f>IFERROR(CR42*CS42, 0)</f>
        <v/>
      </c>
      <c r="CU42" s="17">
        <f>IFERROR(SUM(F42,I42,L42,O42,R42,U42,X42,AA42,AD42,AG42,AJ42,AM42,AP42,AS42,AV42,AY42,BB42,BE42,BH42,BK42,BN42,BQ42,BT42,BW42,BZ42,CC42,CF42,CI42,CL42,CO42,CR42), 0)</f>
        <v/>
      </c>
      <c r="CV42" s="16">
        <f>IFERROR(AVERAGE(G42,J42,M42,P42,S42,V42,Y42,AB42,AE42,AH42,AK42,AN42,AQ42,AT42,AW42,AZ42,BC42,BF42,BI42,BL42,BO42,BR42,BU42,BX42,CA42,CD42,CG42,CJ42,CM42,CP42,CS42), 0)</f>
        <v/>
      </c>
      <c r="CW42" s="16">
        <f>CU42*CV42</f>
        <v/>
      </c>
    </row>
    <row r="43" ht="15.75" customHeight="1">
      <c r="A43" s="41" t="inlineStr">
        <is>
          <t>Gorro ogura</t>
        </is>
      </c>
      <c r="B43" s="41" t="inlineStr">
        <is>
          <t>Pqte</t>
        </is>
      </c>
      <c r="C43" s="42" t="n"/>
      <c r="D43" s="43" t="n"/>
      <c r="E43" s="78">
        <f>IFERROR(+C43*D43, 0)</f>
        <v/>
      </c>
      <c r="F43" s="14" t="n"/>
      <c r="G43" s="15" t="n"/>
      <c r="H43" s="16">
        <f>IFERROR(F43*G43, 0)</f>
        <v/>
      </c>
      <c r="I43" s="14" t="n"/>
      <c r="J43" s="15" t="n"/>
      <c r="K43" s="16">
        <f>IFERROR(I43*J43, 0)</f>
        <v/>
      </c>
      <c r="L43" s="14" t="n"/>
      <c r="M43" s="15" t="n"/>
      <c r="N43" s="16">
        <f>IFERROR(L43*M43, 0)</f>
        <v/>
      </c>
      <c r="O43" s="14" t="n"/>
      <c r="P43" s="15" t="n"/>
      <c r="Q43" s="16">
        <f>IFERROR(O43*P43, 0)</f>
        <v/>
      </c>
      <c r="R43" s="14" t="n"/>
      <c r="S43" s="15" t="n"/>
      <c r="T43" s="16">
        <f>IFERROR(R43*S43, 0)</f>
        <v/>
      </c>
      <c r="U43" s="14" t="n"/>
      <c r="V43" s="15" t="n"/>
      <c r="W43" s="16">
        <f>IFERROR(U43*V43, 0)</f>
        <v/>
      </c>
      <c r="X43" s="14" t="n"/>
      <c r="Y43" s="15" t="n"/>
      <c r="Z43" s="16">
        <f>IFERROR(X43*Y43, 0)</f>
        <v/>
      </c>
      <c r="AA43" s="14" t="n"/>
      <c r="AB43" s="15" t="n"/>
      <c r="AC43" s="16">
        <f>IFERROR(AA43*AB43, 0)</f>
        <v/>
      </c>
      <c r="AD43" s="14" t="n"/>
      <c r="AE43" s="15" t="n"/>
      <c r="AF43" s="16">
        <f>IFERROR(AD43*AE43, 0)</f>
        <v/>
      </c>
      <c r="AG43" s="14" t="n"/>
      <c r="AH43" s="15" t="n"/>
      <c r="AI43" s="16">
        <f>IFERROR(AG43*AH43, 0)</f>
        <v/>
      </c>
      <c r="AJ43" s="14" t="n"/>
      <c r="AK43" s="15" t="n"/>
      <c r="AL43" s="16">
        <f>IFERROR(AJ43*AK43, 0)</f>
        <v/>
      </c>
      <c r="AM43" s="14" t="n"/>
      <c r="AN43" s="15" t="n"/>
      <c r="AO43" s="16">
        <f>IFERROR(AM43*AN43, 0)</f>
        <v/>
      </c>
      <c r="AP43" s="14" t="n"/>
      <c r="AQ43" s="15" t="n"/>
      <c r="AR43" s="16">
        <f>IFERROR(AP43*AQ43, 0)</f>
        <v/>
      </c>
      <c r="AS43" s="14" t="n"/>
      <c r="AT43" s="15" t="n"/>
      <c r="AU43" s="16">
        <f>IFERROR(AS43*AT43, 0)</f>
        <v/>
      </c>
      <c r="AV43" s="14" t="n"/>
      <c r="AW43" s="15" t="n"/>
      <c r="AX43" s="16">
        <f>IFERROR(AV43*AW43, 0)</f>
        <v/>
      </c>
      <c r="AY43" s="14" t="n"/>
      <c r="AZ43" s="15" t="n"/>
      <c r="BA43" s="16">
        <f>IFERROR(AY43*AZ43, 0)</f>
        <v/>
      </c>
      <c r="BB43" s="14" t="n"/>
      <c r="BC43" s="15" t="n"/>
      <c r="BD43" s="16">
        <f>IFERROR(BB43*BC43, 0)</f>
        <v/>
      </c>
      <c r="BE43" s="14" t="n"/>
      <c r="BF43" s="15" t="n"/>
      <c r="BG43" s="16">
        <f>IFERROR(BE43*BF43, 0)</f>
        <v/>
      </c>
      <c r="BH43" s="14" t="n"/>
      <c r="BI43" s="15" t="n"/>
      <c r="BJ43" s="16">
        <f>IFERROR(BH43*BI43, 0)</f>
        <v/>
      </c>
      <c r="BK43" s="14" t="n"/>
      <c r="BL43" s="15" t="n"/>
      <c r="BM43" s="16">
        <f>IFERROR(BK43*BL43, 0)</f>
        <v/>
      </c>
      <c r="BN43" s="14" t="n"/>
      <c r="BO43" s="15" t="n"/>
      <c r="BP43" s="16">
        <f>IFERROR(BN43*BO43, 0)</f>
        <v/>
      </c>
      <c r="BQ43" s="14" t="n"/>
      <c r="BR43" s="15" t="n"/>
      <c r="BS43" s="16">
        <f>IFERROR(BQ43*BR43, 0)</f>
        <v/>
      </c>
      <c r="BT43" s="14" t="n"/>
      <c r="BU43" s="15" t="n"/>
      <c r="BV43" s="16">
        <f>IFERROR(BT43*BU43, 0)</f>
        <v/>
      </c>
      <c r="BW43" s="14" t="n"/>
      <c r="BX43" s="15" t="n"/>
      <c r="BY43" s="16">
        <f>IFERROR(BW43*BX43, 0)</f>
        <v/>
      </c>
      <c r="BZ43" s="14" t="n"/>
      <c r="CA43" s="15" t="n"/>
      <c r="CB43" s="16">
        <f>IFERROR(BZ43*CA43, 0)</f>
        <v/>
      </c>
      <c r="CC43" s="14" t="n"/>
      <c r="CD43" s="15" t="n"/>
      <c r="CE43" s="16">
        <f>IFERROR(CC43*CD43, 0)</f>
        <v/>
      </c>
      <c r="CF43" s="14" t="n"/>
      <c r="CG43" s="15" t="n"/>
      <c r="CH43" s="16">
        <f>IFERROR(CF43*CG43, 0)</f>
        <v/>
      </c>
      <c r="CI43" s="14" t="n"/>
      <c r="CJ43" s="15" t="n"/>
      <c r="CK43" s="16">
        <f>IFERROR(CI43*CJ43, 0)</f>
        <v/>
      </c>
      <c r="CL43" s="14" t="n"/>
      <c r="CM43" s="15" t="n"/>
      <c r="CN43" s="16">
        <f>IFERROR(CL43*CM43, 0)</f>
        <v/>
      </c>
      <c r="CO43" s="14" t="n"/>
      <c r="CP43" s="15" t="n"/>
      <c r="CQ43" s="16">
        <f>IFERROR(CO43*CP43, 0)</f>
        <v/>
      </c>
      <c r="CR43" s="14" t="n"/>
      <c r="CS43" s="15" t="n"/>
      <c r="CT43" s="16">
        <f>IFERROR(CR43*CS43, 0)</f>
        <v/>
      </c>
      <c r="CU43" s="17">
        <f>IFERROR(SUM(F43,I43,L43,O43,R43,U43,X43,AA43,AD43,AG43,AJ43,AM43,AP43,AS43,AV43,AY43,BB43,BE43,BH43,BK43,BN43,BQ43,BT43,BW43,BZ43,CC43,CF43,CI43,CL43,CO43,CR43), 0)</f>
        <v/>
      </c>
      <c r="CV43" s="16">
        <f>IFERROR(AVERAGE(G43,J43,M43,P43,S43,V43,Y43,AB43,AE43,AH43,AK43,AN43,AQ43,AT43,AW43,AZ43,BC43,BF43,BI43,BL43,BO43,BR43,BU43,BX43,CA43,CD43,CG43,CJ43,CM43,CP43,CS43), 0)</f>
        <v/>
      </c>
      <c r="CW43" s="16">
        <f>CU43*CV43</f>
        <v/>
      </c>
    </row>
    <row r="44" ht="15.75" customHeight="1">
      <c r="A44" s="41" t="inlineStr">
        <is>
          <t>Portacomida t1x 200</t>
        </is>
      </c>
      <c r="B44" s="41" t="inlineStr">
        <is>
          <t>Pqte</t>
        </is>
      </c>
      <c r="C44" s="42" t="n"/>
      <c r="D44" s="43" t="n"/>
      <c r="E44" s="78">
        <f>IFERROR(+C44*D44, 0)</f>
        <v/>
      </c>
      <c r="F44" s="14" t="n"/>
      <c r="G44" s="15" t="n"/>
      <c r="H44" s="16">
        <f>IFERROR(F44*G44, 0)</f>
        <v/>
      </c>
      <c r="I44" s="14" t="n"/>
      <c r="J44" s="15" t="n"/>
      <c r="K44" s="16">
        <f>IFERROR(I44*J44, 0)</f>
        <v/>
      </c>
      <c r="L44" s="14" t="n"/>
      <c r="M44" s="15" t="n"/>
      <c r="N44" s="16">
        <f>IFERROR(L44*M44, 0)</f>
        <v/>
      </c>
      <c r="O44" s="14" t="n"/>
      <c r="P44" s="15" t="n"/>
      <c r="Q44" s="16">
        <f>IFERROR(O44*P44, 0)</f>
        <v/>
      </c>
      <c r="R44" s="14" t="n"/>
      <c r="S44" s="15" t="n"/>
      <c r="T44" s="16">
        <f>IFERROR(R44*S44, 0)</f>
        <v/>
      </c>
      <c r="U44" s="14" t="n"/>
      <c r="V44" s="15" t="n"/>
      <c r="W44" s="16">
        <f>IFERROR(U44*V44, 0)</f>
        <v/>
      </c>
      <c r="X44" s="14" t="n"/>
      <c r="Y44" s="15" t="n"/>
      <c r="Z44" s="16">
        <f>IFERROR(X44*Y44, 0)</f>
        <v/>
      </c>
      <c r="AA44" s="14" t="n"/>
      <c r="AB44" s="15" t="n"/>
      <c r="AC44" s="16">
        <f>IFERROR(AA44*AB44, 0)</f>
        <v/>
      </c>
      <c r="AD44" s="14" t="n"/>
      <c r="AE44" s="15" t="n"/>
      <c r="AF44" s="16">
        <f>IFERROR(AD44*AE44, 0)</f>
        <v/>
      </c>
      <c r="AG44" s="14" t="n"/>
      <c r="AH44" s="15" t="n"/>
      <c r="AI44" s="16">
        <f>IFERROR(AG44*AH44, 0)</f>
        <v/>
      </c>
      <c r="AJ44" s="14" t="n"/>
      <c r="AK44" s="15" t="n"/>
      <c r="AL44" s="16">
        <f>IFERROR(AJ44*AK44, 0)</f>
        <v/>
      </c>
      <c r="AM44" s="14" t="n"/>
      <c r="AN44" s="15" t="n"/>
      <c r="AO44" s="16">
        <f>IFERROR(AM44*AN44, 0)</f>
        <v/>
      </c>
      <c r="AP44" s="14" t="n"/>
      <c r="AQ44" s="15" t="n"/>
      <c r="AR44" s="16">
        <f>IFERROR(AP44*AQ44, 0)</f>
        <v/>
      </c>
      <c r="AS44" s="14" t="n"/>
      <c r="AT44" s="15" t="n"/>
      <c r="AU44" s="16">
        <f>IFERROR(AS44*AT44, 0)</f>
        <v/>
      </c>
      <c r="AV44" s="14" t="n"/>
      <c r="AW44" s="15" t="n"/>
      <c r="AX44" s="16">
        <f>IFERROR(AV44*AW44, 0)</f>
        <v/>
      </c>
      <c r="AY44" s="14" t="n"/>
      <c r="AZ44" s="15" t="n"/>
      <c r="BA44" s="16">
        <f>IFERROR(AY44*AZ44, 0)</f>
        <v/>
      </c>
      <c r="BB44" s="14" t="n"/>
      <c r="BC44" s="15" t="n"/>
      <c r="BD44" s="16">
        <f>IFERROR(BB44*BC44, 0)</f>
        <v/>
      </c>
      <c r="BE44" s="14" t="n"/>
      <c r="BF44" s="15" t="n"/>
      <c r="BG44" s="16">
        <f>IFERROR(BE44*BF44, 0)</f>
        <v/>
      </c>
      <c r="BH44" s="14" t="n"/>
      <c r="BI44" s="15" t="n"/>
      <c r="BJ44" s="16">
        <f>IFERROR(BH44*BI44, 0)</f>
        <v/>
      </c>
      <c r="BK44" s="14" t="n"/>
      <c r="BL44" s="15" t="n"/>
      <c r="BM44" s="16">
        <f>IFERROR(BK44*BL44, 0)</f>
        <v/>
      </c>
      <c r="BN44" s="14" t="n"/>
      <c r="BO44" s="15" t="n"/>
      <c r="BP44" s="16">
        <f>IFERROR(BN44*BO44, 0)</f>
        <v/>
      </c>
      <c r="BQ44" s="14" t="n"/>
      <c r="BR44" s="15" t="n"/>
      <c r="BS44" s="16">
        <f>IFERROR(BQ44*BR44, 0)</f>
        <v/>
      </c>
      <c r="BT44" s="14" t="n"/>
      <c r="BU44" s="15" t="n"/>
      <c r="BV44" s="16">
        <f>IFERROR(BT44*BU44, 0)</f>
        <v/>
      </c>
      <c r="BW44" s="14" t="n"/>
      <c r="BX44" s="15" t="n"/>
      <c r="BY44" s="16">
        <f>IFERROR(BW44*BX44, 0)</f>
        <v/>
      </c>
      <c r="BZ44" s="14" t="n"/>
      <c r="CA44" s="15" t="n"/>
      <c r="CB44" s="16">
        <f>IFERROR(BZ44*CA44, 0)</f>
        <v/>
      </c>
      <c r="CC44" s="14" t="n"/>
      <c r="CD44" s="15" t="n"/>
      <c r="CE44" s="16">
        <f>IFERROR(CC44*CD44, 0)</f>
        <v/>
      </c>
      <c r="CF44" s="14" t="n"/>
      <c r="CG44" s="15" t="n"/>
      <c r="CH44" s="16">
        <f>IFERROR(CF44*CG44, 0)</f>
        <v/>
      </c>
      <c r="CI44" s="14" t="n"/>
      <c r="CJ44" s="15" t="n"/>
      <c r="CK44" s="16">
        <f>IFERROR(CI44*CJ44, 0)</f>
        <v/>
      </c>
      <c r="CL44" s="14" t="n"/>
      <c r="CM44" s="15" t="n"/>
      <c r="CN44" s="16">
        <f>IFERROR(CL44*CM44, 0)</f>
        <v/>
      </c>
      <c r="CO44" s="14" t="n"/>
      <c r="CP44" s="15" t="n"/>
      <c r="CQ44" s="16">
        <f>IFERROR(CO44*CP44, 0)</f>
        <v/>
      </c>
      <c r="CR44" s="14" t="n"/>
      <c r="CS44" s="15" t="n"/>
      <c r="CT44" s="16">
        <f>IFERROR(CR44*CS44, 0)</f>
        <v/>
      </c>
      <c r="CU44" s="17">
        <f>IFERROR(SUM(F44,I44,L44,O44,R44,U44,X44,AA44,AD44,AG44,AJ44,AM44,AP44,AS44,AV44,AY44,BB44,BE44,BH44,BK44,BN44,BQ44,BT44,BW44,BZ44,CC44,CF44,CI44,CL44,CO44,CR44), 0)</f>
        <v/>
      </c>
      <c r="CV44" s="16">
        <f>IFERROR(AVERAGE(G44,J44,M44,P44,S44,V44,Y44,AB44,AE44,AH44,AK44,AN44,AQ44,AT44,AW44,AZ44,BC44,BF44,BI44,BL44,BO44,BR44,BU44,BX44,CA44,CD44,CG44,CJ44,CM44,CP44,CS44), 0)</f>
        <v/>
      </c>
      <c r="CW44" s="16">
        <f>CU44*CV44</f>
        <v/>
      </c>
    </row>
    <row r="45" ht="15.75" customHeight="1">
      <c r="A45" s="41" t="inlineStr">
        <is>
          <t>Copa troforma 1/2</t>
        </is>
      </c>
      <c r="B45" s="41" t="inlineStr">
        <is>
          <t>Pqte</t>
        </is>
      </c>
      <c r="C45" s="42" t="n"/>
      <c r="D45" s="43" t="n"/>
      <c r="E45" s="78">
        <f>IFERROR(+C45*D45, 0)</f>
        <v/>
      </c>
      <c r="F45" s="14" t="n">
        <v>3</v>
      </c>
      <c r="G45" s="15" t="n">
        <v>2500</v>
      </c>
      <c r="H45" s="16" t="n">
        <v>7500</v>
      </c>
      <c r="I45" s="14" t="n">
        <v>5</v>
      </c>
      <c r="J45" s="15" t="n">
        <v>2500</v>
      </c>
      <c r="K45" s="16" t="n">
        <v>12500</v>
      </c>
      <c r="L45" s="14" t="n"/>
      <c r="M45" s="15" t="n"/>
      <c r="N45" s="16">
        <f>IFERROR(L45*M45, 0)</f>
        <v/>
      </c>
      <c r="O45" s="14" t="n"/>
      <c r="P45" s="15" t="n"/>
      <c r="Q45" s="16">
        <f>IFERROR(O45*P45, 0)</f>
        <v/>
      </c>
      <c r="R45" s="14" t="n"/>
      <c r="S45" s="15" t="n"/>
      <c r="T45" s="16">
        <f>IFERROR(R45*S45, 0)</f>
        <v/>
      </c>
      <c r="U45" s="14" t="n"/>
      <c r="V45" s="15" t="n"/>
      <c r="W45" s="16">
        <f>IFERROR(U45*V45, 0)</f>
        <v/>
      </c>
      <c r="X45" s="14" t="n">
        <v>6</v>
      </c>
      <c r="Y45" s="15" t="n">
        <v>2500</v>
      </c>
      <c r="Z45" s="16" t="n">
        <v>15000</v>
      </c>
      <c r="AA45" s="14" t="n"/>
      <c r="AB45" s="15" t="n"/>
      <c r="AC45" s="16">
        <f>IFERROR(AA45*AB45, 0)</f>
        <v/>
      </c>
      <c r="AD45" s="14" t="n"/>
      <c r="AE45" s="15" t="n"/>
      <c r="AF45" s="16">
        <f>IFERROR(AD45*AE45, 0)</f>
        <v/>
      </c>
      <c r="AG45" s="14" t="n">
        <v>8</v>
      </c>
      <c r="AH45" s="15" t="n">
        <v>2500</v>
      </c>
      <c r="AI45" s="16" t="n">
        <v>20000</v>
      </c>
      <c r="AJ45" s="14" t="n"/>
      <c r="AK45" s="15" t="n"/>
      <c r="AL45" s="16">
        <f>IFERROR(AJ45*AK45, 0)</f>
        <v/>
      </c>
      <c r="AM45" s="14" t="n"/>
      <c r="AN45" s="15" t="n"/>
      <c r="AO45" s="16">
        <f>IFERROR(AM45*AN45, 0)</f>
        <v/>
      </c>
      <c r="AP45" s="14" t="n"/>
      <c r="AQ45" s="15" t="n"/>
      <c r="AR45" s="16">
        <f>IFERROR(AP45*AQ45, 0)</f>
        <v/>
      </c>
      <c r="AS45" s="14" t="n"/>
      <c r="AT45" s="15" t="n"/>
      <c r="AU45" s="16">
        <f>IFERROR(AS45*AT45, 0)</f>
        <v/>
      </c>
      <c r="AV45" s="14" t="n"/>
      <c r="AW45" s="15" t="n"/>
      <c r="AX45" s="16">
        <f>IFERROR(AV45*AW45, 0)</f>
        <v/>
      </c>
      <c r="AY45" s="14" t="n"/>
      <c r="AZ45" s="15" t="n"/>
      <c r="BA45" s="16">
        <f>IFERROR(AY45*AZ45, 0)</f>
        <v/>
      </c>
      <c r="BB45" s="14" t="n"/>
      <c r="BC45" s="15" t="n"/>
      <c r="BD45" s="16">
        <f>IFERROR(BB45*BC45, 0)</f>
        <v/>
      </c>
      <c r="BE45" s="14" t="n">
        <v>8</v>
      </c>
      <c r="BF45" s="15" t="n">
        <v>2500</v>
      </c>
      <c r="BG45" s="16" t="n">
        <v>20000</v>
      </c>
      <c r="BH45" s="14" t="n"/>
      <c r="BI45" s="15" t="n"/>
      <c r="BJ45" s="16">
        <f>IFERROR(BH45*BI45, 0)</f>
        <v/>
      </c>
      <c r="BK45" s="14" t="n"/>
      <c r="BL45" s="15" t="n"/>
      <c r="BM45" s="16">
        <f>IFERROR(BK45*BL45, 0)</f>
        <v/>
      </c>
      <c r="BN45" s="14" t="n"/>
      <c r="BO45" s="15" t="n"/>
      <c r="BP45" s="16">
        <f>IFERROR(BN45*BO45, 0)</f>
        <v/>
      </c>
      <c r="BQ45" s="14" t="n">
        <v>10</v>
      </c>
      <c r="BR45" s="15" t="n">
        <v>2500</v>
      </c>
      <c r="BS45" s="16" t="n">
        <v>25000</v>
      </c>
      <c r="BT45" s="14" t="n"/>
      <c r="BU45" s="15" t="n"/>
      <c r="BV45" s="16">
        <f>IFERROR(BT45*BU45, 0)</f>
        <v/>
      </c>
      <c r="BW45" s="14" t="n"/>
      <c r="BX45" s="15" t="n"/>
      <c r="BY45" s="16">
        <f>IFERROR(BW45*BX45, 0)</f>
        <v/>
      </c>
      <c r="BZ45" s="14" t="n"/>
      <c r="CA45" s="15" t="n"/>
      <c r="CB45" s="16">
        <f>IFERROR(BZ45*CA45, 0)</f>
        <v/>
      </c>
      <c r="CC45" s="14" t="n"/>
      <c r="CD45" s="15" t="n"/>
      <c r="CE45" s="16">
        <f>IFERROR(CC45*CD45, 0)</f>
        <v/>
      </c>
      <c r="CF45" s="14" t="n"/>
      <c r="CG45" s="15" t="n"/>
      <c r="CH45" s="16">
        <f>IFERROR(CF45*CG45, 0)</f>
        <v/>
      </c>
      <c r="CI45" s="14" t="n"/>
      <c r="CJ45" s="15" t="n"/>
      <c r="CK45" s="16">
        <f>IFERROR(CI45*CJ45, 0)</f>
        <v/>
      </c>
      <c r="CL45" s="14" t="n"/>
      <c r="CM45" s="15" t="n"/>
      <c r="CN45" s="16">
        <f>IFERROR(CL45*CM45, 0)</f>
        <v/>
      </c>
      <c r="CO45" s="14" t="n"/>
      <c r="CP45" s="15" t="n"/>
      <c r="CQ45" s="16">
        <f>IFERROR(CO45*CP45, 0)</f>
        <v/>
      </c>
      <c r="CR45" s="14" t="n"/>
      <c r="CS45" s="15" t="n"/>
      <c r="CT45" s="16">
        <f>IFERROR(CR45*CS45, 0)</f>
        <v/>
      </c>
      <c r="CU45" s="17">
        <f>IFERROR(SUM(F45,I45,L45,O45,R45,U45,X45,AA45,AD45,AG45,AJ45,AM45,AP45,AS45,AV45,AY45,BB45,BE45,BH45,BK45,BN45,BQ45,BT45,BW45,BZ45,CC45,CF45,CI45,CL45,CO45,CR45), 0)</f>
        <v/>
      </c>
      <c r="CV45" s="16">
        <f>IFERROR(AVERAGE(G45,J45,M45,P45,S45,V45,Y45,AB45,AE45,AH45,AK45,AN45,AQ45,AT45,AW45,AZ45,BC45,BF45,BI45,BL45,BO45,BR45,BU45,BX45,CA45,CD45,CG45,CJ45,CM45,CP45,CS45), 0)</f>
        <v/>
      </c>
      <c r="CW45" s="16">
        <f>CU45*CV45</f>
        <v/>
      </c>
    </row>
    <row r="46" ht="15.75" customHeight="1">
      <c r="A46" s="21" t="inlineStr">
        <is>
          <t>Cubierto grande x 3 cja x 28pq x 50un</t>
        </is>
      </c>
      <c r="B46" s="21" t="inlineStr">
        <is>
          <t>Pqte</t>
        </is>
      </c>
      <c r="C46" s="44" t="n"/>
      <c r="D46" s="22" t="n"/>
      <c r="E46" s="78">
        <f>IFERROR(+C46*D46, 0)</f>
        <v/>
      </c>
      <c r="F46" s="14" t="n">
        <v>150</v>
      </c>
      <c r="G46" s="15" t="n">
        <v>390</v>
      </c>
      <c r="H46" s="16" t="n">
        <v>58500</v>
      </c>
      <c r="I46" s="14" t="n">
        <v>100</v>
      </c>
      <c r="J46" s="15" t="n">
        <v>390</v>
      </c>
      <c r="K46" s="16" t="n">
        <v>39000</v>
      </c>
      <c r="L46" s="14" t="n"/>
      <c r="M46" s="15" t="n"/>
      <c r="N46" s="16">
        <f>IFERROR(L46*M46, 0)</f>
        <v/>
      </c>
      <c r="O46" s="14" t="n"/>
      <c r="P46" s="15" t="n"/>
      <c r="Q46" s="16">
        <f>IFERROR(O46*P46, 0)</f>
        <v/>
      </c>
      <c r="R46" s="14" t="n"/>
      <c r="S46" s="15" t="n"/>
      <c r="T46" s="16">
        <f>IFERROR(R46*S46, 0)</f>
        <v/>
      </c>
      <c r="U46" s="14" t="n"/>
      <c r="V46" s="15" t="n"/>
      <c r="W46" s="16">
        <f>IFERROR(U46*V46, 0)</f>
        <v/>
      </c>
      <c r="X46" s="14" t="n">
        <v>150</v>
      </c>
      <c r="Y46" s="15" t="n">
        <v>390</v>
      </c>
      <c r="Z46" s="16" t="n">
        <v>58500</v>
      </c>
      <c r="AA46" s="14" t="n"/>
      <c r="AB46" s="15" t="n"/>
      <c r="AC46" s="16">
        <f>IFERROR(AA46*AB46, 0)</f>
        <v/>
      </c>
      <c r="AD46" s="14" t="n"/>
      <c r="AE46" s="15" t="n"/>
      <c r="AF46" s="16">
        <f>IFERROR(AD46*AE46, 0)</f>
        <v/>
      </c>
      <c r="AG46" s="14" t="n"/>
      <c r="AH46" s="15" t="n"/>
      <c r="AI46" s="16">
        <f>IFERROR(AG46*AH46, 0)</f>
        <v/>
      </c>
      <c r="AJ46" s="14" t="n"/>
      <c r="AK46" s="15" t="n"/>
      <c r="AL46" s="16">
        <f>IFERROR(AJ46*AK46, 0)</f>
        <v/>
      </c>
      <c r="AM46" s="14" t="n"/>
      <c r="AN46" s="15" t="n"/>
      <c r="AO46" s="16">
        <f>IFERROR(AM46*AN46, 0)</f>
        <v/>
      </c>
      <c r="AP46" s="14" t="n"/>
      <c r="AQ46" s="15" t="n"/>
      <c r="AR46" s="16">
        <f>IFERROR(AP46*AQ46, 0)</f>
        <v/>
      </c>
      <c r="AS46" s="14" t="n"/>
      <c r="AT46" s="15" t="n"/>
      <c r="AU46" s="16">
        <f>IFERROR(AS46*AT46, 0)</f>
        <v/>
      </c>
      <c r="AV46" s="14" t="n"/>
      <c r="AW46" s="15" t="n"/>
      <c r="AX46" s="16">
        <f>IFERROR(AV46*AW46, 0)</f>
        <v/>
      </c>
      <c r="AY46" s="14" t="n"/>
      <c r="AZ46" s="15" t="n"/>
      <c r="BA46" s="16">
        <f>IFERROR(AY46*AZ46, 0)</f>
        <v/>
      </c>
      <c r="BB46" s="14" t="n"/>
      <c r="BC46" s="15" t="n"/>
      <c r="BD46" s="16">
        <f>IFERROR(BB46*BC46, 0)</f>
        <v/>
      </c>
      <c r="BE46" s="14" t="n">
        <v>200</v>
      </c>
      <c r="BF46" s="15" t="n">
        <v>390</v>
      </c>
      <c r="BG46" s="16" t="n">
        <v>78000</v>
      </c>
      <c r="BH46" s="14" t="n"/>
      <c r="BI46" s="15" t="n"/>
      <c r="BJ46" s="16">
        <f>IFERROR(BH46*BI46, 0)</f>
        <v/>
      </c>
      <c r="BK46" s="14" t="n"/>
      <c r="BL46" s="15" t="n"/>
      <c r="BM46" s="16">
        <f>IFERROR(BK46*BL46, 0)</f>
        <v/>
      </c>
      <c r="BN46" s="14" t="n"/>
      <c r="BO46" s="15" t="n"/>
      <c r="BP46" s="16">
        <f>IFERROR(BN46*BO46, 0)</f>
        <v/>
      </c>
      <c r="BQ46" s="14" t="n"/>
      <c r="BR46" s="15" t="n"/>
      <c r="BS46" s="16">
        <f>IFERROR(BQ46*BR46, 0)</f>
        <v/>
      </c>
      <c r="BT46" s="14" t="n"/>
      <c r="BU46" s="15" t="n"/>
      <c r="BV46" s="16">
        <f>IFERROR(BT46*BU46, 0)</f>
        <v/>
      </c>
      <c r="BW46" s="14" t="n"/>
      <c r="BX46" s="15" t="n"/>
      <c r="BY46" s="16">
        <f>IFERROR(BW46*BX46, 0)</f>
        <v/>
      </c>
      <c r="BZ46" s="14" t="n"/>
      <c r="CA46" s="15" t="n"/>
      <c r="CB46" s="16">
        <f>IFERROR(BZ46*CA46, 0)</f>
        <v/>
      </c>
      <c r="CC46" s="14" t="n"/>
      <c r="CD46" s="15" t="n"/>
      <c r="CE46" s="16">
        <f>IFERROR(CC46*CD46, 0)</f>
        <v/>
      </c>
      <c r="CF46" s="14" t="n"/>
      <c r="CG46" s="15" t="n"/>
      <c r="CH46" s="16">
        <f>IFERROR(CF46*CG46, 0)</f>
        <v/>
      </c>
      <c r="CI46" s="14" t="n"/>
      <c r="CJ46" s="15" t="n"/>
      <c r="CK46" s="16">
        <f>IFERROR(CI46*CJ46, 0)</f>
        <v/>
      </c>
      <c r="CL46" s="14" t="n"/>
      <c r="CM46" s="15" t="n"/>
      <c r="CN46" s="16">
        <f>IFERROR(CL46*CM46, 0)</f>
        <v/>
      </c>
      <c r="CO46" s="14" t="n"/>
      <c r="CP46" s="15" t="n"/>
      <c r="CQ46" s="16">
        <f>IFERROR(CO46*CP46, 0)</f>
        <v/>
      </c>
      <c r="CR46" s="14" t="n"/>
      <c r="CS46" s="15" t="n"/>
      <c r="CT46" s="16">
        <f>IFERROR(CR46*CS46, 0)</f>
        <v/>
      </c>
      <c r="CU46" s="17">
        <f>IFERROR(SUM(F46,I46,L46,O46,R46,U46,X46,AA46,AD46,AG46,AJ46,AM46,AP46,AS46,AV46,AY46,BB46,BE46,BH46,BK46,BN46,BQ46,BT46,BW46,BZ46,CC46,CF46,CI46,CL46,CO46,CR46), 0)</f>
        <v/>
      </c>
      <c r="CV46" s="16">
        <f>IFERROR(AVERAGE(G46,J46,M46,P46,S46,V46,Y46,AB46,AE46,AH46,AK46,AN46,AQ46,AT46,AW46,AZ46,BC46,BF46,BI46,BL46,BO46,BR46,BU46,BX46,CA46,CD46,CG46,CJ46,CM46,CP46,CS46), 0)</f>
        <v/>
      </c>
      <c r="CW46" s="16">
        <f>CU46*CV46</f>
        <v/>
      </c>
    </row>
    <row r="47" ht="15.75" customHeight="1">
      <c r="A47" s="41" t="inlineStr">
        <is>
          <t>Desengrasante</t>
        </is>
      </c>
      <c r="B47" s="41" t="inlineStr">
        <is>
          <t>Gal</t>
        </is>
      </c>
      <c r="C47" s="42" t="n"/>
      <c r="D47" s="43" t="n"/>
      <c r="E47" s="78">
        <f>IFERROR(+C47*D47, 0)</f>
        <v/>
      </c>
      <c r="F47" s="14" t="n"/>
      <c r="G47" s="15" t="n"/>
      <c r="H47" s="16">
        <f>IFERROR(F47*G47, 0)</f>
        <v/>
      </c>
      <c r="I47" s="14" t="n">
        <v>1</v>
      </c>
      <c r="J47" s="15" t="n">
        <v>17500</v>
      </c>
      <c r="K47" s="16" t="n">
        <v>17500</v>
      </c>
      <c r="L47" s="14" t="n"/>
      <c r="M47" s="15" t="n"/>
      <c r="N47" s="16">
        <f>IFERROR(L47*M47, 0)</f>
        <v/>
      </c>
      <c r="O47" s="14" t="n"/>
      <c r="P47" s="15" t="n"/>
      <c r="Q47" s="16">
        <f>IFERROR(O47*P47, 0)</f>
        <v/>
      </c>
      <c r="R47" s="14" t="n"/>
      <c r="S47" s="15" t="n"/>
      <c r="T47" s="16">
        <f>IFERROR(R47*S47, 0)</f>
        <v/>
      </c>
      <c r="U47" s="14" t="n"/>
      <c r="V47" s="15" t="n"/>
      <c r="W47" s="16">
        <f>IFERROR(U47*V47, 0)</f>
        <v/>
      </c>
      <c r="X47" s="14" t="n"/>
      <c r="Y47" s="15" t="n"/>
      <c r="Z47" s="16">
        <f>IFERROR(X47*Y47, 0)</f>
        <v/>
      </c>
      <c r="AA47" s="14" t="n"/>
      <c r="AB47" s="15" t="n"/>
      <c r="AC47" s="16">
        <f>IFERROR(AA47*AB47, 0)</f>
        <v/>
      </c>
      <c r="AD47" s="14" t="n"/>
      <c r="AE47" s="15" t="n"/>
      <c r="AF47" s="16">
        <f>IFERROR(AD47*AE47, 0)</f>
        <v/>
      </c>
      <c r="AG47" s="14" t="n">
        <v>1</v>
      </c>
      <c r="AH47" s="15" t="n">
        <v>17500</v>
      </c>
      <c r="AI47" s="16" t="n">
        <v>17500</v>
      </c>
      <c r="AJ47" s="14" t="n"/>
      <c r="AK47" s="15" t="n"/>
      <c r="AL47" s="16">
        <f>IFERROR(AJ47*AK47, 0)</f>
        <v/>
      </c>
      <c r="AM47" s="14" t="n"/>
      <c r="AN47" s="15" t="n"/>
      <c r="AO47" s="16">
        <f>IFERROR(AM47*AN47, 0)</f>
        <v/>
      </c>
      <c r="AP47" s="14" t="n"/>
      <c r="AQ47" s="15" t="n"/>
      <c r="AR47" s="16">
        <f>IFERROR(AP47*AQ47, 0)</f>
        <v/>
      </c>
      <c r="AS47" s="14" t="n"/>
      <c r="AT47" s="15" t="n"/>
      <c r="AU47" s="16">
        <f>IFERROR(AS47*AT47, 0)</f>
        <v/>
      </c>
      <c r="AV47" s="14" t="n"/>
      <c r="AW47" s="15" t="n"/>
      <c r="AX47" s="16">
        <f>IFERROR(AV47*AW47, 0)</f>
        <v/>
      </c>
      <c r="AY47" s="14" t="n"/>
      <c r="AZ47" s="15" t="n"/>
      <c r="BA47" s="16">
        <f>IFERROR(AY47*AZ47, 0)</f>
        <v/>
      </c>
      <c r="BB47" s="14" t="n"/>
      <c r="BC47" s="15" t="n"/>
      <c r="BD47" s="16">
        <f>IFERROR(BB47*BC47, 0)</f>
        <v/>
      </c>
      <c r="BE47" s="14" t="n"/>
      <c r="BF47" s="15" t="n"/>
      <c r="BG47" s="16">
        <f>IFERROR(BE47*BF47, 0)</f>
        <v/>
      </c>
      <c r="BH47" s="14" t="n"/>
      <c r="BI47" s="15" t="n"/>
      <c r="BJ47" s="16">
        <f>IFERROR(BH47*BI47, 0)</f>
        <v/>
      </c>
      <c r="BK47" s="14" t="n"/>
      <c r="BL47" s="15" t="n"/>
      <c r="BM47" s="16">
        <f>IFERROR(BK47*BL47, 0)</f>
        <v/>
      </c>
      <c r="BN47" s="14" t="n"/>
      <c r="BO47" s="15" t="n"/>
      <c r="BP47" s="16">
        <f>IFERROR(BN47*BO47, 0)</f>
        <v/>
      </c>
      <c r="BQ47" s="14" t="n">
        <v>1</v>
      </c>
      <c r="BR47" s="15" t="n">
        <v>17500</v>
      </c>
      <c r="BS47" s="16" t="n">
        <v>17500</v>
      </c>
      <c r="BT47" s="14" t="n"/>
      <c r="BU47" s="15" t="n"/>
      <c r="BV47" s="16">
        <f>IFERROR(BT47*BU47, 0)</f>
        <v/>
      </c>
      <c r="BW47" s="14" t="n"/>
      <c r="BX47" s="15" t="n"/>
      <c r="BY47" s="16">
        <f>IFERROR(BW47*BX47, 0)</f>
        <v/>
      </c>
      <c r="BZ47" s="14" t="n"/>
      <c r="CA47" s="15" t="n"/>
      <c r="CB47" s="16">
        <f>IFERROR(BZ47*CA47, 0)</f>
        <v/>
      </c>
      <c r="CC47" s="14" t="n"/>
      <c r="CD47" s="15" t="n"/>
      <c r="CE47" s="16">
        <f>IFERROR(CC47*CD47, 0)</f>
        <v/>
      </c>
      <c r="CF47" s="14" t="n"/>
      <c r="CG47" s="15" t="n"/>
      <c r="CH47" s="16">
        <f>IFERROR(CF47*CG47, 0)</f>
        <v/>
      </c>
      <c r="CI47" s="14" t="n"/>
      <c r="CJ47" s="15" t="n"/>
      <c r="CK47" s="16">
        <f>IFERROR(CI47*CJ47, 0)</f>
        <v/>
      </c>
      <c r="CL47" s="14" t="n"/>
      <c r="CM47" s="15" t="n"/>
      <c r="CN47" s="16">
        <f>IFERROR(CL47*CM47, 0)</f>
        <v/>
      </c>
      <c r="CO47" s="14" t="n"/>
      <c r="CP47" s="15" t="n"/>
      <c r="CQ47" s="16">
        <f>IFERROR(CO47*CP47, 0)</f>
        <v/>
      </c>
      <c r="CR47" s="14" t="n"/>
      <c r="CS47" s="15" t="n"/>
      <c r="CT47" s="16">
        <f>IFERROR(CR47*CS47, 0)</f>
        <v/>
      </c>
      <c r="CU47" s="17">
        <f>IFERROR(SUM(F47,I47,L47,O47,R47,U47,X47,AA47,AD47,AG47,AJ47,AM47,AP47,AS47,AV47,AY47,BB47,BE47,BH47,BK47,BN47,BQ47,BT47,BW47,BZ47,CC47,CF47,CI47,CL47,CO47,CR47), 0)</f>
        <v/>
      </c>
      <c r="CV47" s="16">
        <f>IFERROR(AVERAGE(G47,J47,M47,P47,S47,V47,Y47,AB47,AE47,AH47,AK47,AN47,AQ47,AT47,AW47,AZ47,BC47,BF47,BI47,BL47,BO47,BR47,BU47,BX47,CA47,CD47,CG47,CJ47,CM47,CP47,CS47), 0)</f>
        <v/>
      </c>
      <c r="CW47" s="16">
        <f>CU47*CV47</f>
        <v/>
      </c>
    </row>
    <row r="48" ht="15.75" customHeight="1">
      <c r="A48" s="41" t="inlineStr">
        <is>
          <t>Hipoclorito</t>
        </is>
      </c>
      <c r="B48" s="41" t="inlineStr">
        <is>
          <t>Pqte</t>
        </is>
      </c>
      <c r="C48" s="42" t="n"/>
      <c r="D48" s="43" t="n"/>
      <c r="E48" s="78">
        <f>IFERROR(+C48*D48, 0)</f>
        <v/>
      </c>
      <c r="F48" s="14" t="n"/>
      <c r="G48" s="15" t="n"/>
      <c r="H48" s="16">
        <f>IFERROR(F48*G48, 0)</f>
        <v/>
      </c>
      <c r="I48" s="14" t="n"/>
      <c r="J48" s="15" t="n"/>
      <c r="K48" s="16">
        <f>IFERROR(I48*J48, 0)</f>
        <v/>
      </c>
      <c r="L48" s="14" t="n"/>
      <c r="M48" s="15" t="n"/>
      <c r="N48" s="16">
        <f>IFERROR(L48*M48, 0)</f>
        <v/>
      </c>
      <c r="O48" s="14" t="n"/>
      <c r="P48" s="15" t="n"/>
      <c r="Q48" s="16">
        <f>IFERROR(O48*P48, 0)</f>
        <v/>
      </c>
      <c r="R48" s="14" t="n"/>
      <c r="S48" s="15" t="n"/>
      <c r="T48" s="16">
        <f>IFERROR(R48*S48, 0)</f>
        <v/>
      </c>
      <c r="U48" s="14" t="n"/>
      <c r="V48" s="15" t="n"/>
      <c r="W48" s="16">
        <f>IFERROR(U48*V48, 0)</f>
        <v/>
      </c>
      <c r="X48" s="14" t="n"/>
      <c r="Y48" s="15" t="n"/>
      <c r="Z48" s="16">
        <f>IFERROR(X48*Y48, 0)</f>
        <v/>
      </c>
      <c r="AA48" s="14" t="n"/>
      <c r="AB48" s="15" t="n"/>
      <c r="AC48" s="16">
        <f>IFERROR(AA48*AB48, 0)</f>
        <v/>
      </c>
      <c r="AD48" s="14" t="n"/>
      <c r="AE48" s="15" t="n"/>
      <c r="AF48" s="16">
        <f>IFERROR(AD48*AE48, 0)</f>
        <v/>
      </c>
      <c r="AG48" s="14" t="n"/>
      <c r="AH48" s="15" t="n"/>
      <c r="AI48" s="16">
        <f>IFERROR(AG48*AH48, 0)</f>
        <v/>
      </c>
      <c r="AJ48" s="14" t="n"/>
      <c r="AK48" s="15" t="n"/>
      <c r="AL48" s="16">
        <f>IFERROR(AJ48*AK48, 0)</f>
        <v/>
      </c>
      <c r="AM48" s="14" t="n"/>
      <c r="AN48" s="15" t="n"/>
      <c r="AO48" s="16">
        <f>IFERROR(AM48*AN48, 0)</f>
        <v/>
      </c>
      <c r="AP48" s="14" t="n"/>
      <c r="AQ48" s="15" t="n"/>
      <c r="AR48" s="16">
        <f>IFERROR(AP48*AQ48, 0)</f>
        <v/>
      </c>
      <c r="AS48" s="14" t="n"/>
      <c r="AT48" s="15" t="n"/>
      <c r="AU48" s="16">
        <f>IFERROR(AS48*AT48, 0)</f>
        <v/>
      </c>
      <c r="AV48" s="14" t="n"/>
      <c r="AW48" s="15" t="n"/>
      <c r="AX48" s="16">
        <f>IFERROR(AV48*AW48, 0)</f>
        <v/>
      </c>
      <c r="AY48" s="14" t="n"/>
      <c r="AZ48" s="15" t="n"/>
      <c r="BA48" s="16">
        <f>IFERROR(AY48*AZ48, 0)</f>
        <v/>
      </c>
      <c r="BB48" s="14" t="n"/>
      <c r="BC48" s="15" t="n"/>
      <c r="BD48" s="16">
        <f>IFERROR(BB48*BC48, 0)</f>
        <v/>
      </c>
      <c r="BE48" s="14" t="n"/>
      <c r="BF48" s="15" t="n"/>
      <c r="BG48" s="16">
        <f>IFERROR(BE48*BF48, 0)</f>
        <v/>
      </c>
      <c r="BH48" s="14" t="n"/>
      <c r="BI48" s="15" t="n"/>
      <c r="BJ48" s="16">
        <f>IFERROR(BH48*BI48, 0)</f>
        <v/>
      </c>
      <c r="BK48" s="14" t="n"/>
      <c r="BL48" s="15" t="n"/>
      <c r="BM48" s="16">
        <f>IFERROR(BK48*BL48, 0)</f>
        <v/>
      </c>
      <c r="BN48" s="14" t="n"/>
      <c r="BO48" s="15" t="n"/>
      <c r="BP48" s="16">
        <f>IFERROR(BN48*BO48, 0)</f>
        <v/>
      </c>
      <c r="BQ48" s="14" t="n"/>
      <c r="BR48" s="15" t="n"/>
      <c r="BS48" s="16">
        <f>IFERROR(BQ48*BR48, 0)</f>
        <v/>
      </c>
      <c r="BT48" s="14" t="n"/>
      <c r="BU48" s="15" t="n"/>
      <c r="BV48" s="16">
        <f>IFERROR(BT48*BU48, 0)</f>
        <v/>
      </c>
      <c r="BW48" s="14" t="n"/>
      <c r="BX48" s="15" t="n"/>
      <c r="BY48" s="16">
        <f>IFERROR(BW48*BX48, 0)</f>
        <v/>
      </c>
      <c r="BZ48" s="14" t="n"/>
      <c r="CA48" s="15" t="n"/>
      <c r="CB48" s="16">
        <f>IFERROR(BZ48*CA48, 0)</f>
        <v/>
      </c>
      <c r="CC48" s="14" t="n"/>
      <c r="CD48" s="15" t="n"/>
      <c r="CE48" s="16">
        <f>IFERROR(CC48*CD48, 0)</f>
        <v/>
      </c>
      <c r="CF48" s="14" t="n"/>
      <c r="CG48" s="15" t="n"/>
      <c r="CH48" s="16">
        <f>IFERROR(CF48*CG48, 0)</f>
        <v/>
      </c>
      <c r="CI48" s="14" t="n"/>
      <c r="CJ48" s="15" t="n"/>
      <c r="CK48" s="16">
        <f>IFERROR(CI48*CJ48, 0)</f>
        <v/>
      </c>
      <c r="CL48" s="14" t="n"/>
      <c r="CM48" s="15" t="n"/>
      <c r="CN48" s="16">
        <f>IFERROR(CL48*CM48, 0)</f>
        <v/>
      </c>
      <c r="CO48" s="14" t="n"/>
      <c r="CP48" s="15" t="n"/>
      <c r="CQ48" s="16">
        <f>IFERROR(CO48*CP48, 0)</f>
        <v/>
      </c>
      <c r="CR48" s="14" t="n"/>
      <c r="CS48" s="15" t="n"/>
      <c r="CT48" s="16">
        <f>IFERROR(CR48*CS48, 0)</f>
        <v/>
      </c>
      <c r="CU48" s="17">
        <f>IFERROR(SUM(F48,I48,L48,O48,R48,U48,X48,AA48,AD48,AG48,AJ48,AM48,AP48,AS48,AV48,AY48,BB48,BE48,BH48,BK48,BN48,BQ48,BT48,BW48,BZ48,CC48,CF48,CI48,CL48,CO48,CR48), 0)</f>
        <v/>
      </c>
      <c r="CV48" s="16">
        <f>IFERROR(AVERAGE(G48,J48,M48,P48,S48,V48,Y48,AB48,AE48,AH48,AK48,AN48,AQ48,AT48,AW48,AZ48,BC48,BF48,BI48,BL48,BO48,BR48,BU48,BX48,CA48,CD48,CG48,CJ48,CM48,CP48,CS48), 0)</f>
        <v/>
      </c>
      <c r="CW48" s="16">
        <f>CU48*CV48</f>
        <v/>
      </c>
    </row>
    <row r="49" ht="15.75" customHeight="1">
      <c r="A49" s="41" t="inlineStr">
        <is>
          <t>Detergente dersax 1000</t>
        </is>
      </c>
      <c r="B49" s="41" t="inlineStr">
        <is>
          <t>Lb</t>
        </is>
      </c>
      <c r="C49" s="42" t="n"/>
      <c r="D49" s="43" t="n"/>
      <c r="E49" s="78">
        <f>IFERROR(+C49*D49, 0)</f>
        <v/>
      </c>
      <c r="F49" s="14" t="n">
        <v>4</v>
      </c>
      <c r="G49" s="15" t="n">
        <v>10600</v>
      </c>
      <c r="H49" s="16" t="n">
        <v>42400</v>
      </c>
      <c r="I49" s="14" t="n">
        <v>4</v>
      </c>
      <c r="J49" s="15" t="n">
        <v>10600</v>
      </c>
      <c r="K49" s="16" t="n">
        <v>42400</v>
      </c>
      <c r="L49" s="14" t="n"/>
      <c r="M49" s="15" t="n"/>
      <c r="N49" s="16">
        <f>IFERROR(L49*M49, 0)</f>
        <v/>
      </c>
      <c r="O49" s="14" t="n"/>
      <c r="P49" s="15" t="n"/>
      <c r="Q49" s="16">
        <f>IFERROR(O49*P49, 0)</f>
        <v/>
      </c>
      <c r="R49" s="14" t="n"/>
      <c r="S49" s="15" t="n"/>
      <c r="T49" s="16">
        <f>IFERROR(R49*S49, 0)</f>
        <v/>
      </c>
      <c r="U49" s="14" t="n"/>
      <c r="V49" s="15" t="n"/>
      <c r="W49" s="16">
        <f>IFERROR(U49*V49, 0)</f>
        <v/>
      </c>
      <c r="X49" s="14" t="n">
        <v>5</v>
      </c>
      <c r="Y49" s="15" t="n">
        <v>10600</v>
      </c>
      <c r="Z49" s="16" t="n">
        <v>53000</v>
      </c>
      <c r="AA49" s="14" t="n"/>
      <c r="AB49" s="15" t="n"/>
      <c r="AC49" s="16">
        <f>IFERROR(AA49*AB49, 0)</f>
        <v/>
      </c>
      <c r="AD49" s="14" t="n"/>
      <c r="AE49" s="15" t="n"/>
      <c r="AF49" s="16">
        <f>IFERROR(AD49*AE49, 0)</f>
        <v/>
      </c>
      <c r="AG49" s="14" t="n">
        <v>5</v>
      </c>
      <c r="AH49" s="15" t="n">
        <v>10600</v>
      </c>
      <c r="AI49" s="16" t="n">
        <v>53000</v>
      </c>
      <c r="AJ49" s="14" t="n"/>
      <c r="AK49" s="15" t="n"/>
      <c r="AL49" s="16">
        <f>IFERROR(AJ49*AK49, 0)</f>
        <v/>
      </c>
      <c r="AM49" s="14" t="n"/>
      <c r="AN49" s="15" t="n"/>
      <c r="AO49" s="16">
        <f>IFERROR(AM49*AN49, 0)</f>
        <v/>
      </c>
      <c r="AP49" s="14" t="n"/>
      <c r="AQ49" s="15" t="n"/>
      <c r="AR49" s="16">
        <f>IFERROR(AP49*AQ49, 0)</f>
        <v/>
      </c>
      <c r="AS49" s="14" t="n">
        <v>1</v>
      </c>
      <c r="AT49" s="15" t="n">
        <v>11100</v>
      </c>
      <c r="AU49" s="16" t="n">
        <v>11100</v>
      </c>
      <c r="AV49" s="14" t="n"/>
      <c r="AW49" s="15" t="n"/>
      <c r="AX49" s="16">
        <f>IFERROR(AV49*AW49, 0)</f>
        <v/>
      </c>
      <c r="AY49" s="14" t="n"/>
      <c r="AZ49" s="15" t="n"/>
      <c r="BA49" s="16">
        <f>IFERROR(AY49*AZ49, 0)</f>
        <v/>
      </c>
      <c r="BB49" s="14" t="n"/>
      <c r="BC49" s="15" t="n"/>
      <c r="BD49" s="16">
        <f>IFERROR(BB49*BC49, 0)</f>
        <v/>
      </c>
      <c r="BE49" s="14" t="n">
        <v>2</v>
      </c>
      <c r="BF49" s="15" t="n">
        <v>10600</v>
      </c>
      <c r="BG49" s="16" t="n">
        <v>21200</v>
      </c>
      <c r="BH49" s="14" t="n"/>
      <c r="BI49" s="15" t="n"/>
      <c r="BJ49" s="16">
        <f>IFERROR(BH49*BI49, 0)</f>
        <v/>
      </c>
      <c r="BK49" s="14" t="n">
        <v>2</v>
      </c>
      <c r="BL49" s="15" t="n">
        <v>10400</v>
      </c>
      <c r="BM49" s="16" t="n">
        <v>20800</v>
      </c>
      <c r="BN49" s="14" t="n"/>
      <c r="BO49" s="15" t="n"/>
      <c r="BP49" s="16">
        <f>IFERROR(BN49*BO49, 0)</f>
        <v/>
      </c>
      <c r="BQ49" s="14" t="n">
        <v>6</v>
      </c>
      <c r="BR49" s="15" t="n">
        <v>10600</v>
      </c>
      <c r="BS49" s="16" t="n">
        <v>64100</v>
      </c>
      <c r="BT49" s="14" t="n"/>
      <c r="BU49" s="15" t="n"/>
      <c r="BV49" s="16">
        <f>IFERROR(BT49*BU49, 0)</f>
        <v/>
      </c>
      <c r="BW49" s="14" t="n"/>
      <c r="BX49" s="15" t="n"/>
      <c r="BY49" s="16">
        <f>IFERROR(BW49*BX49, 0)</f>
        <v/>
      </c>
      <c r="BZ49" s="14" t="n"/>
      <c r="CA49" s="15" t="n"/>
      <c r="CB49" s="16">
        <f>IFERROR(BZ49*CA49, 0)</f>
        <v/>
      </c>
      <c r="CC49" s="14" t="n"/>
      <c r="CD49" s="15" t="n"/>
      <c r="CE49" s="16">
        <f>IFERROR(CC49*CD49, 0)</f>
        <v/>
      </c>
      <c r="CF49" s="14" t="n"/>
      <c r="CG49" s="15" t="n"/>
      <c r="CH49" s="16">
        <f>IFERROR(CF49*CG49, 0)</f>
        <v/>
      </c>
      <c r="CI49" s="14" t="n"/>
      <c r="CJ49" s="15" t="n"/>
      <c r="CK49" s="16">
        <f>IFERROR(CI49*CJ49, 0)</f>
        <v/>
      </c>
      <c r="CL49" s="14" t="n"/>
      <c r="CM49" s="15" t="n"/>
      <c r="CN49" s="16">
        <f>IFERROR(CL49*CM49, 0)</f>
        <v/>
      </c>
      <c r="CO49" s="14" t="n"/>
      <c r="CP49" s="15" t="n"/>
      <c r="CQ49" s="16">
        <f>IFERROR(CO49*CP49, 0)</f>
        <v/>
      </c>
      <c r="CR49" s="14" t="n"/>
      <c r="CS49" s="15" t="n"/>
      <c r="CT49" s="16">
        <f>IFERROR(CR49*CS49, 0)</f>
        <v/>
      </c>
      <c r="CU49" s="17">
        <f>IFERROR(SUM(F49,I49,L49,O49,R49,U49,X49,AA49,AD49,AG49,AJ49,AM49,AP49,AS49,AV49,AY49,BB49,BE49,BH49,BK49,BN49,BQ49,BT49,BW49,BZ49,CC49,CF49,CI49,CL49,CO49,CR49), 0)</f>
        <v/>
      </c>
      <c r="CV49" s="16">
        <f>IFERROR(AVERAGE(G49,J49,M49,P49,S49,V49,Y49,AB49,AE49,AH49,AK49,AN49,AQ49,AT49,AW49,AZ49,BC49,BF49,BI49,BL49,BO49,BR49,BU49,BX49,CA49,CD49,CG49,CJ49,CM49,CP49,CS49), 0)</f>
        <v/>
      </c>
      <c r="CW49" s="16">
        <f>CU49*CV49</f>
        <v/>
      </c>
    </row>
    <row r="50" ht="15.75" customHeight="1">
      <c r="A50" s="41" t="inlineStr">
        <is>
          <t>Insecticida</t>
        </is>
      </c>
      <c r="B50" s="41" t="inlineStr">
        <is>
          <t>Pqte</t>
        </is>
      </c>
      <c r="C50" s="42" t="n"/>
      <c r="D50" s="43" t="n"/>
      <c r="E50" s="78">
        <f>IFERROR(+C50*D50, 0)</f>
        <v/>
      </c>
      <c r="F50" s="14" t="n"/>
      <c r="G50" s="15" t="n"/>
      <c r="H50" s="16">
        <f>IFERROR(F50*G50, 0)</f>
        <v/>
      </c>
      <c r="I50" s="14" t="n"/>
      <c r="J50" s="15" t="n"/>
      <c r="K50" s="16">
        <f>IFERROR(I50*J50, 0)</f>
        <v/>
      </c>
      <c r="L50" s="14" t="n"/>
      <c r="M50" s="15" t="n"/>
      <c r="N50" s="16">
        <f>IFERROR(L50*M50, 0)</f>
        <v/>
      </c>
      <c r="O50" s="14" t="n"/>
      <c r="P50" s="15" t="n"/>
      <c r="Q50" s="16">
        <f>IFERROR(O50*P50, 0)</f>
        <v/>
      </c>
      <c r="R50" s="14" t="n"/>
      <c r="S50" s="15" t="n"/>
      <c r="T50" s="16">
        <f>IFERROR(R50*S50, 0)</f>
        <v/>
      </c>
      <c r="U50" s="14" t="n"/>
      <c r="V50" s="15" t="n"/>
      <c r="W50" s="16">
        <f>IFERROR(U50*V50, 0)</f>
        <v/>
      </c>
      <c r="X50" s="14" t="n"/>
      <c r="Y50" s="15" t="n"/>
      <c r="Z50" s="16">
        <f>IFERROR(X50*Y50, 0)</f>
        <v/>
      </c>
      <c r="AA50" s="14" t="n"/>
      <c r="AB50" s="15" t="n"/>
      <c r="AC50" s="16">
        <f>IFERROR(AA50*AB50, 0)</f>
        <v/>
      </c>
      <c r="AD50" s="14" t="n"/>
      <c r="AE50" s="15" t="n"/>
      <c r="AF50" s="16">
        <f>IFERROR(AD50*AE50, 0)</f>
        <v/>
      </c>
      <c r="AG50" s="14" t="n"/>
      <c r="AH50" s="15" t="n"/>
      <c r="AI50" s="16">
        <f>IFERROR(AG50*AH50, 0)</f>
        <v/>
      </c>
      <c r="AJ50" s="14" t="n"/>
      <c r="AK50" s="15" t="n"/>
      <c r="AL50" s="16">
        <f>IFERROR(AJ50*AK50, 0)</f>
        <v/>
      </c>
      <c r="AM50" s="14" t="n"/>
      <c r="AN50" s="15" t="n"/>
      <c r="AO50" s="16">
        <f>IFERROR(AM50*AN50, 0)</f>
        <v/>
      </c>
      <c r="AP50" s="14" t="n"/>
      <c r="AQ50" s="15" t="n"/>
      <c r="AR50" s="16">
        <f>IFERROR(AP50*AQ50, 0)</f>
        <v/>
      </c>
      <c r="AS50" s="14" t="n"/>
      <c r="AT50" s="15" t="n"/>
      <c r="AU50" s="16">
        <f>IFERROR(AS50*AT50, 0)</f>
        <v/>
      </c>
      <c r="AV50" s="14" t="n"/>
      <c r="AW50" s="15" t="n"/>
      <c r="AX50" s="16">
        <f>IFERROR(AV50*AW50, 0)</f>
        <v/>
      </c>
      <c r="AY50" s="14" t="n"/>
      <c r="AZ50" s="15" t="n"/>
      <c r="BA50" s="16">
        <f>IFERROR(AY50*AZ50, 0)</f>
        <v/>
      </c>
      <c r="BB50" s="14" t="n"/>
      <c r="BC50" s="15" t="n"/>
      <c r="BD50" s="16">
        <f>IFERROR(BB50*BC50, 0)</f>
        <v/>
      </c>
      <c r="BE50" s="14" t="n"/>
      <c r="BF50" s="15" t="n"/>
      <c r="BG50" s="16">
        <f>IFERROR(BE50*BF50, 0)</f>
        <v/>
      </c>
      <c r="BH50" s="14" t="n"/>
      <c r="BI50" s="15" t="n"/>
      <c r="BJ50" s="16">
        <f>IFERROR(BH50*BI50, 0)</f>
        <v/>
      </c>
      <c r="BK50" s="14" t="n"/>
      <c r="BL50" s="15" t="n"/>
      <c r="BM50" s="16">
        <f>IFERROR(BK50*BL50, 0)</f>
        <v/>
      </c>
      <c r="BN50" s="14" t="n"/>
      <c r="BO50" s="15" t="n"/>
      <c r="BP50" s="16">
        <f>IFERROR(BN50*BO50, 0)</f>
        <v/>
      </c>
      <c r="BQ50" s="14" t="n"/>
      <c r="BR50" s="15" t="n"/>
      <c r="BS50" s="16">
        <f>IFERROR(BQ50*BR50, 0)</f>
        <v/>
      </c>
      <c r="BT50" s="14" t="n"/>
      <c r="BU50" s="15" t="n"/>
      <c r="BV50" s="16">
        <f>IFERROR(BT50*BU50, 0)</f>
        <v/>
      </c>
      <c r="BW50" s="14" t="n"/>
      <c r="BX50" s="15" t="n"/>
      <c r="BY50" s="16">
        <f>IFERROR(BW50*BX50, 0)</f>
        <v/>
      </c>
      <c r="BZ50" s="14" t="n"/>
      <c r="CA50" s="15" t="n"/>
      <c r="CB50" s="16">
        <f>IFERROR(BZ50*CA50, 0)</f>
        <v/>
      </c>
      <c r="CC50" s="14" t="n"/>
      <c r="CD50" s="15" t="n"/>
      <c r="CE50" s="16">
        <f>IFERROR(CC50*CD50, 0)</f>
        <v/>
      </c>
      <c r="CF50" s="14" t="n"/>
      <c r="CG50" s="15" t="n"/>
      <c r="CH50" s="16">
        <f>IFERROR(CF50*CG50, 0)</f>
        <v/>
      </c>
      <c r="CI50" s="14" t="n"/>
      <c r="CJ50" s="15" t="n"/>
      <c r="CK50" s="16">
        <f>IFERROR(CI50*CJ50, 0)</f>
        <v/>
      </c>
      <c r="CL50" s="14" t="n"/>
      <c r="CM50" s="15" t="n"/>
      <c r="CN50" s="16">
        <f>IFERROR(CL50*CM50, 0)</f>
        <v/>
      </c>
      <c r="CO50" s="14" t="n"/>
      <c r="CP50" s="15" t="n"/>
      <c r="CQ50" s="16">
        <f>IFERROR(CO50*CP50, 0)</f>
        <v/>
      </c>
      <c r="CR50" s="14" t="n"/>
      <c r="CS50" s="15" t="n"/>
      <c r="CT50" s="16">
        <f>IFERROR(CR50*CS50, 0)</f>
        <v/>
      </c>
      <c r="CU50" s="17">
        <f>IFERROR(SUM(F50,I50,L50,O50,R50,U50,X50,AA50,AD50,AG50,AJ50,AM50,AP50,AS50,AV50,AY50,BB50,BE50,BH50,BK50,BN50,BQ50,BT50,BW50,BZ50,CC50,CF50,CI50,CL50,CO50,CR50), 0)</f>
        <v/>
      </c>
      <c r="CV50" s="16">
        <f>IFERROR(AVERAGE(G50,J50,M50,P50,S50,V50,Y50,AB50,AE50,AH50,AK50,AN50,AQ50,AT50,AW50,AZ50,BC50,BF50,BI50,BL50,BO50,BR50,BU50,BX50,CA50,CD50,CG50,CJ50,CM50,CP50,CS50), 0)</f>
        <v/>
      </c>
      <c r="CW50" s="16">
        <f>CU50*CV50</f>
        <v/>
      </c>
    </row>
    <row r="51" ht="15.75" customHeight="1">
      <c r="A51" s="41" t="inlineStr">
        <is>
          <t>Jabon de manos</t>
        </is>
      </c>
      <c r="B51" s="41" t="inlineStr">
        <is>
          <t>Gal</t>
        </is>
      </c>
      <c r="C51" s="42" t="n"/>
      <c r="D51" s="43" t="n"/>
      <c r="E51" s="78">
        <f>IFERROR(+C51*D51, 0)</f>
        <v/>
      </c>
      <c r="F51" s="14" t="n"/>
      <c r="G51" s="15" t="n"/>
      <c r="H51" s="16">
        <f>IFERROR(F51*G51, 0)</f>
        <v/>
      </c>
      <c r="I51" s="14" t="n"/>
      <c r="J51" s="15" t="n"/>
      <c r="K51" s="16">
        <f>IFERROR(I51*J51, 0)</f>
        <v/>
      </c>
      <c r="L51" s="14" t="n"/>
      <c r="M51" s="15" t="n"/>
      <c r="N51" s="16">
        <f>IFERROR(L51*M51, 0)</f>
        <v/>
      </c>
      <c r="O51" s="14" t="n"/>
      <c r="P51" s="15" t="n"/>
      <c r="Q51" s="16">
        <f>IFERROR(O51*P51, 0)</f>
        <v/>
      </c>
      <c r="R51" s="14" t="n"/>
      <c r="S51" s="15" t="n"/>
      <c r="T51" s="16">
        <f>IFERROR(R51*S51, 0)</f>
        <v/>
      </c>
      <c r="U51" s="14" t="n"/>
      <c r="V51" s="15" t="n"/>
      <c r="W51" s="16">
        <f>IFERROR(U51*V51, 0)</f>
        <v/>
      </c>
      <c r="X51" s="14" t="n"/>
      <c r="Y51" s="15" t="n"/>
      <c r="Z51" s="16">
        <f>IFERROR(X51*Y51, 0)</f>
        <v/>
      </c>
      <c r="AA51" s="14" t="n"/>
      <c r="AB51" s="15" t="n"/>
      <c r="AC51" s="16">
        <f>IFERROR(AA51*AB51, 0)</f>
        <v/>
      </c>
      <c r="AD51" s="14" t="n"/>
      <c r="AE51" s="15" t="n"/>
      <c r="AF51" s="16">
        <f>IFERROR(AD51*AE51, 0)</f>
        <v/>
      </c>
      <c r="AG51" s="14" t="n"/>
      <c r="AH51" s="15" t="n"/>
      <c r="AI51" s="16">
        <f>IFERROR(AG51*AH51, 0)</f>
        <v/>
      </c>
      <c r="AJ51" s="14" t="n"/>
      <c r="AK51" s="15" t="n"/>
      <c r="AL51" s="16">
        <f>IFERROR(AJ51*AK51, 0)</f>
        <v/>
      </c>
      <c r="AM51" s="14" t="n"/>
      <c r="AN51" s="15" t="n"/>
      <c r="AO51" s="16">
        <f>IFERROR(AM51*AN51, 0)</f>
        <v/>
      </c>
      <c r="AP51" s="14" t="n"/>
      <c r="AQ51" s="15" t="n"/>
      <c r="AR51" s="16">
        <f>IFERROR(AP51*AQ51, 0)</f>
        <v/>
      </c>
      <c r="AS51" s="14" t="n"/>
      <c r="AT51" s="15" t="n"/>
      <c r="AU51" s="16">
        <f>IFERROR(AS51*AT51, 0)</f>
        <v/>
      </c>
      <c r="AV51" s="14" t="n"/>
      <c r="AW51" s="15" t="n"/>
      <c r="AX51" s="16">
        <f>IFERROR(AV51*AW51, 0)</f>
        <v/>
      </c>
      <c r="AY51" s="14" t="n"/>
      <c r="AZ51" s="15" t="n"/>
      <c r="BA51" s="16">
        <f>IFERROR(AY51*AZ51, 0)</f>
        <v/>
      </c>
      <c r="BB51" s="14" t="n"/>
      <c r="BC51" s="15" t="n"/>
      <c r="BD51" s="16">
        <f>IFERROR(BB51*BC51, 0)</f>
        <v/>
      </c>
      <c r="BE51" s="14" t="n"/>
      <c r="BF51" s="15" t="n"/>
      <c r="BG51" s="16">
        <f>IFERROR(BE51*BF51, 0)</f>
        <v/>
      </c>
      <c r="BH51" s="14" t="n"/>
      <c r="BI51" s="15" t="n"/>
      <c r="BJ51" s="16">
        <f>IFERROR(BH51*BI51, 0)</f>
        <v/>
      </c>
      <c r="BK51" s="14" t="n"/>
      <c r="BL51" s="15" t="n"/>
      <c r="BM51" s="16">
        <f>IFERROR(BK51*BL51, 0)</f>
        <v/>
      </c>
      <c r="BN51" s="14" t="n"/>
      <c r="BO51" s="15" t="n"/>
      <c r="BP51" s="16">
        <f>IFERROR(BN51*BO51, 0)</f>
        <v/>
      </c>
      <c r="BQ51" s="14" t="n"/>
      <c r="BR51" s="15" t="n"/>
      <c r="BS51" s="16">
        <f>IFERROR(BQ51*BR51, 0)</f>
        <v/>
      </c>
      <c r="BT51" s="14" t="n"/>
      <c r="BU51" s="15" t="n"/>
      <c r="BV51" s="16">
        <f>IFERROR(BT51*BU51, 0)</f>
        <v/>
      </c>
      <c r="BW51" s="14" t="n"/>
      <c r="BX51" s="15" t="n"/>
      <c r="BY51" s="16">
        <f>IFERROR(BW51*BX51, 0)</f>
        <v/>
      </c>
      <c r="BZ51" s="14" t="n"/>
      <c r="CA51" s="15" t="n"/>
      <c r="CB51" s="16">
        <f>IFERROR(BZ51*CA51, 0)</f>
        <v/>
      </c>
      <c r="CC51" s="14" t="n"/>
      <c r="CD51" s="15" t="n"/>
      <c r="CE51" s="16">
        <f>IFERROR(CC51*CD51, 0)</f>
        <v/>
      </c>
      <c r="CF51" s="14" t="n"/>
      <c r="CG51" s="15" t="n"/>
      <c r="CH51" s="16">
        <f>IFERROR(CF51*CG51, 0)</f>
        <v/>
      </c>
      <c r="CI51" s="14" t="n"/>
      <c r="CJ51" s="15" t="n"/>
      <c r="CK51" s="16">
        <f>IFERROR(CI51*CJ51, 0)</f>
        <v/>
      </c>
      <c r="CL51" s="14" t="n"/>
      <c r="CM51" s="15" t="n"/>
      <c r="CN51" s="16">
        <f>IFERROR(CL51*CM51, 0)</f>
        <v/>
      </c>
      <c r="CO51" s="14" t="n"/>
      <c r="CP51" s="15" t="n"/>
      <c r="CQ51" s="16">
        <f>IFERROR(CO51*CP51, 0)</f>
        <v/>
      </c>
      <c r="CR51" s="14" t="n"/>
      <c r="CS51" s="15" t="n"/>
      <c r="CT51" s="16">
        <f>IFERROR(CR51*CS51, 0)</f>
        <v/>
      </c>
      <c r="CU51" s="17">
        <f>IFERROR(SUM(F51,I51,L51,O51,R51,U51,X51,AA51,AD51,AG51,AJ51,AM51,AP51,AS51,AV51,AY51,BB51,BE51,BH51,BK51,BN51,BQ51,BT51,BW51,BZ51,CC51,CF51,CI51,CL51,CO51,CR51), 0)</f>
        <v/>
      </c>
      <c r="CV51" s="16">
        <f>IFERROR(AVERAGE(G51,J51,M51,P51,S51,V51,Y51,AB51,AE51,AH51,AK51,AN51,AQ51,AT51,AW51,AZ51,BC51,BF51,BI51,BL51,BO51,BR51,BU51,BX51,CA51,CD51,CG51,CJ51,CM51,CP51,CS51), 0)</f>
        <v/>
      </c>
      <c r="CW51" s="16">
        <f>CU51*CV51</f>
        <v/>
      </c>
    </row>
    <row r="52" ht="15.75" customHeight="1">
      <c r="A52" s="41" t="inlineStr">
        <is>
          <t>Limpia vidrio</t>
        </is>
      </c>
      <c r="B52" s="41" t="inlineStr">
        <is>
          <t>Gal</t>
        </is>
      </c>
      <c r="C52" s="42" t="n"/>
      <c r="D52" s="43" t="n"/>
      <c r="E52" s="78">
        <f>IFERROR(+C52*D52, 0)</f>
        <v/>
      </c>
      <c r="F52" s="14" t="n"/>
      <c r="G52" s="15" t="n"/>
      <c r="H52" s="16">
        <f>IFERROR(F52*G52, 0)</f>
        <v/>
      </c>
      <c r="I52" s="14" t="n"/>
      <c r="J52" s="15" t="n"/>
      <c r="K52" s="16">
        <f>IFERROR(I52*J52, 0)</f>
        <v/>
      </c>
      <c r="L52" s="14" t="n"/>
      <c r="M52" s="15" t="n"/>
      <c r="N52" s="16">
        <f>IFERROR(L52*M52, 0)</f>
        <v/>
      </c>
      <c r="O52" s="14" t="n"/>
      <c r="P52" s="15" t="n"/>
      <c r="Q52" s="16">
        <f>IFERROR(O52*P52, 0)</f>
        <v/>
      </c>
      <c r="R52" s="14" t="n"/>
      <c r="S52" s="15" t="n"/>
      <c r="T52" s="16">
        <f>IFERROR(R52*S52, 0)</f>
        <v/>
      </c>
      <c r="U52" s="14" t="n"/>
      <c r="V52" s="15" t="n"/>
      <c r="W52" s="16">
        <f>IFERROR(U52*V52, 0)</f>
        <v/>
      </c>
      <c r="X52" s="14" t="n"/>
      <c r="Y52" s="15" t="n"/>
      <c r="Z52" s="16">
        <f>IFERROR(X52*Y52, 0)</f>
        <v/>
      </c>
      <c r="AA52" s="14" t="n"/>
      <c r="AB52" s="15" t="n"/>
      <c r="AC52" s="16">
        <f>IFERROR(AA52*AB52, 0)</f>
        <v/>
      </c>
      <c r="AD52" s="14" t="n"/>
      <c r="AE52" s="15" t="n"/>
      <c r="AF52" s="16">
        <f>IFERROR(AD52*AE52, 0)</f>
        <v/>
      </c>
      <c r="AG52" s="14" t="n"/>
      <c r="AH52" s="15" t="n"/>
      <c r="AI52" s="16">
        <f>IFERROR(AG52*AH52, 0)</f>
        <v/>
      </c>
      <c r="AJ52" s="14" t="n"/>
      <c r="AK52" s="15" t="n"/>
      <c r="AL52" s="16">
        <f>IFERROR(AJ52*AK52, 0)</f>
        <v/>
      </c>
      <c r="AM52" s="14" t="n"/>
      <c r="AN52" s="15" t="n"/>
      <c r="AO52" s="16">
        <f>IFERROR(AM52*AN52, 0)</f>
        <v/>
      </c>
      <c r="AP52" s="14" t="n"/>
      <c r="AQ52" s="15" t="n"/>
      <c r="AR52" s="16">
        <f>IFERROR(AP52*AQ52, 0)</f>
        <v/>
      </c>
      <c r="AS52" s="14" t="n"/>
      <c r="AT52" s="15" t="n"/>
      <c r="AU52" s="16">
        <f>IFERROR(AS52*AT52, 0)</f>
        <v/>
      </c>
      <c r="AV52" s="14" t="n"/>
      <c r="AW52" s="15" t="n"/>
      <c r="AX52" s="16">
        <f>IFERROR(AV52*AW52, 0)</f>
        <v/>
      </c>
      <c r="AY52" s="14" t="n"/>
      <c r="AZ52" s="15" t="n"/>
      <c r="BA52" s="16">
        <f>IFERROR(AY52*AZ52, 0)</f>
        <v/>
      </c>
      <c r="BB52" s="14" t="n"/>
      <c r="BC52" s="15" t="n"/>
      <c r="BD52" s="16">
        <f>IFERROR(BB52*BC52, 0)</f>
        <v/>
      </c>
      <c r="BE52" s="14" t="n"/>
      <c r="BF52" s="15" t="n"/>
      <c r="BG52" s="16">
        <f>IFERROR(BE52*BF52, 0)</f>
        <v/>
      </c>
      <c r="BH52" s="14" t="n"/>
      <c r="BI52" s="15" t="n"/>
      <c r="BJ52" s="16">
        <f>IFERROR(BH52*BI52, 0)</f>
        <v/>
      </c>
      <c r="BK52" s="14" t="n"/>
      <c r="BL52" s="15" t="n"/>
      <c r="BM52" s="16">
        <f>IFERROR(BK52*BL52, 0)</f>
        <v/>
      </c>
      <c r="BN52" s="14" t="n"/>
      <c r="BO52" s="15" t="n"/>
      <c r="BP52" s="16">
        <f>IFERROR(BN52*BO52, 0)</f>
        <v/>
      </c>
      <c r="BQ52" s="14" t="n"/>
      <c r="BR52" s="15" t="n"/>
      <c r="BS52" s="16">
        <f>IFERROR(BQ52*BR52, 0)</f>
        <v/>
      </c>
      <c r="BT52" s="14" t="n"/>
      <c r="BU52" s="15" t="n"/>
      <c r="BV52" s="16">
        <f>IFERROR(BT52*BU52, 0)</f>
        <v/>
      </c>
      <c r="BW52" s="14" t="n"/>
      <c r="BX52" s="15" t="n"/>
      <c r="BY52" s="16">
        <f>IFERROR(BW52*BX52, 0)</f>
        <v/>
      </c>
      <c r="BZ52" s="14" t="n"/>
      <c r="CA52" s="15" t="n"/>
      <c r="CB52" s="16">
        <f>IFERROR(BZ52*CA52, 0)</f>
        <v/>
      </c>
      <c r="CC52" s="14" t="n"/>
      <c r="CD52" s="15" t="n"/>
      <c r="CE52" s="16">
        <f>IFERROR(CC52*CD52, 0)</f>
        <v/>
      </c>
      <c r="CF52" s="14" t="n"/>
      <c r="CG52" s="15" t="n"/>
      <c r="CH52" s="16">
        <f>IFERROR(CF52*CG52, 0)</f>
        <v/>
      </c>
      <c r="CI52" s="14" t="n"/>
      <c r="CJ52" s="15" t="n"/>
      <c r="CK52" s="16">
        <f>IFERROR(CI52*CJ52, 0)</f>
        <v/>
      </c>
      <c r="CL52" s="14" t="n"/>
      <c r="CM52" s="15" t="n"/>
      <c r="CN52" s="16">
        <f>IFERROR(CL52*CM52, 0)</f>
        <v/>
      </c>
      <c r="CO52" s="14" t="n"/>
      <c r="CP52" s="15" t="n"/>
      <c r="CQ52" s="16">
        <f>IFERROR(CO52*CP52, 0)</f>
        <v/>
      </c>
      <c r="CR52" s="14" t="n"/>
      <c r="CS52" s="15" t="n"/>
      <c r="CT52" s="16">
        <f>IFERROR(CR52*CS52, 0)</f>
        <v/>
      </c>
      <c r="CU52" s="17">
        <f>IFERROR(SUM(F52,I52,L52,O52,R52,U52,X52,AA52,AD52,AG52,AJ52,AM52,AP52,AS52,AV52,AY52,BB52,BE52,BH52,BK52,BN52,BQ52,BT52,BW52,BZ52,CC52,CF52,CI52,CL52,CO52,CR52), 0)</f>
        <v/>
      </c>
      <c r="CV52" s="16">
        <f>IFERROR(AVERAGE(G52,J52,M52,P52,S52,V52,Y52,AB52,AE52,AH52,AK52,AN52,AQ52,AT52,AW52,AZ52,BC52,BF52,BI52,BL52,BO52,BR52,BU52,BX52,CA52,CD52,CG52,CJ52,CM52,CP52,CS52), 0)</f>
        <v/>
      </c>
      <c r="CW52" s="16">
        <f>CU52*CV52</f>
        <v/>
      </c>
    </row>
    <row r="53" ht="15.75" customHeight="1">
      <c r="A53" s="41" t="inlineStr">
        <is>
          <t>Limpido</t>
        </is>
      </c>
      <c r="B53" s="41" t="inlineStr">
        <is>
          <t>Cuyete</t>
        </is>
      </c>
      <c r="C53" s="42" t="n"/>
      <c r="D53" s="43" t="n"/>
      <c r="E53" s="78">
        <f>IFERROR(+C53*D53, 0)</f>
        <v/>
      </c>
      <c r="F53" s="14" t="n"/>
      <c r="G53" s="15" t="n"/>
      <c r="H53" s="16">
        <f>IFERROR(F53*G53, 0)</f>
        <v/>
      </c>
      <c r="I53" s="14" t="n"/>
      <c r="J53" s="15" t="n"/>
      <c r="K53" s="16">
        <f>IFERROR(I53*J53, 0)</f>
        <v/>
      </c>
      <c r="L53" s="14" t="n"/>
      <c r="M53" s="15" t="n"/>
      <c r="N53" s="16">
        <f>IFERROR(L53*M53, 0)</f>
        <v/>
      </c>
      <c r="O53" s="14" t="n"/>
      <c r="P53" s="15" t="n"/>
      <c r="Q53" s="16">
        <f>IFERROR(O53*P53, 0)</f>
        <v/>
      </c>
      <c r="R53" s="14" t="n"/>
      <c r="S53" s="15" t="n"/>
      <c r="T53" s="16">
        <f>IFERROR(R53*S53, 0)</f>
        <v/>
      </c>
      <c r="U53" s="14" t="n"/>
      <c r="V53" s="15" t="n"/>
      <c r="W53" s="16">
        <f>IFERROR(U53*V53, 0)</f>
        <v/>
      </c>
      <c r="X53" s="14" t="n"/>
      <c r="Y53" s="15" t="n"/>
      <c r="Z53" s="16">
        <f>IFERROR(X53*Y53, 0)</f>
        <v/>
      </c>
      <c r="AA53" s="14" t="n"/>
      <c r="AB53" s="15" t="n"/>
      <c r="AC53" s="16">
        <f>IFERROR(AA53*AB53, 0)</f>
        <v/>
      </c>
      <c r="AD53" s="14" t="n"/>
      <c r="AE53" s="15" t="n"/>
      <c r="AF53" s="16">
        <f>IFERROR(AD53*AE53, 0)</f>
        <v/>
      </c>
      <c r="AG53" s="14" t="n">
        <v>1</v>
      </c>
      <c r="AH53" s="15" t="n">
        <v>34300</v>
      </c>
      <c r="AI53" s="16" t="n">
        <v>34300</v>
      </c>
      <c r="AJ53" s="14" t="n"/>
      <c r="AK53" s="15" t="n"/>
      <c r="AL53" s="16">
        <f>IFERROR(AJ53*AK53, 0)</f>
        <v/>
      </c>
      <c r="AM53" s="14" t="n"/>
      <c r="AN53" s="15" t="n"/>
      <c r="AO53" s="16">
        <f>IFERROR(AM53*AN53, 0)</f>
        <v/>
      </c>
      <c r="AP53" s="14" t="n"/>
      <c r="AQ53" s="15" t="n"/>
      <c r="AR53" s="16">
        <f>IFERROR(AP53*AQ53, 0)</f>
        <v/>
      </c>
      <c r="AS53" s="14" t="n"/>
      <c r="AT53" s="15" t="n"/>
      <c r="AU53" s="16">
        <f>IFERROR(AS53*AT53, 0)</f>
        <v/>
      </c>
      <c r="AV53" s="14" t="n"/>
      <c r="AW53" s="15" t="n"/>
      <c r="AX53" s="16">
        <f>IFERROR(AV53*AW53, 0)</f>
        <v/>
      </c>
      <c r="AY53" s="14" t="n"/>
      <c r="AZ53" s="15" t="n"/>
      <c r="BA53" s="16">
        <f>IFERROR(AY53*AZ53, 0)</f>
        <v/>
      </c>
      <c r="BB53" s="14" t="n"/>
      <c r="BC53" s="15" t="n"/>
      <c r="BD53" s="16">
        <f>IFERROR(BB53*BC53, 0)</f>
        <v/>
      </c>
      <c r="BE53" s="14" t="n"/>
      <c r="BF53" s="15" t="n"/>
      <c r="BG53" s="16">
        <f>IFERROR(BE53*BF53, 0)</f>
        <v/>
      </c>
      <c r="BH53" s="14" t="n"/>
      <c r="BI53" s="15" t="n"/>
      <c r="BJ53" s="16">
        <f>IFERROR(BH53*BI53, 0)</f>
        <v/>
      </c>
      <c r="BK53" s="14" t="n"/>
      <c r="BL53" s="15" t="n"/>
      <c r="BM53" s="16">
        <f>IFERROR(BK53*BL53, 0)</f>
        <v/>
      </c>
      <c r="BN53" s="14" t="n"/>
      <c r="BO53" s="15" t="n"/>
      <c r="BP53" s="16">
        <f>IFERROR(BN53*BO53, 0)</f>
        <v/>
      </c>
      <c r="BQ53" s="14" t="n">
        <v>1</v>
      </c>
      <c r="BR53" s="15" t="n">
        <v>34300</v>
      </c>
      <c r="BS53" s="16" t="n">
        <v>34300</v>
      </c>
      <c r="BT53" s="14" t="n"/>
      <c r="BU53" s="15" t="n"/>
      <c r="BV53" s="16">
        <f>IFERROR(BT53*BU53, 0)</f>
        <v/>
      </c>
      <c r="BW53" s="14" t="n"/>
      <c r="BX53" s="15" t="n"/>
      <c r="BY53" s="16">
        <f>IFERROR(BW53*BX53, 0)</f>
        <v/>
      </c>
      <c r="BZ53" s="14" t="n"/>
      <c r="CA53" s="15" t="n"/>
      <c r="CB53" s="16">
        <f>IFERROR(BZ53*CA53, 0)</f>
        <v/>
      </c>
      <c r="CC53" s="14" t="n"/>
      <c r="CD53" s="15" t="n"/>
      <c r="CE53" s="16">
        <f>IFERROR(CC53*CD53, 0)</f>
        <v/>
      </c>
      <c r="CF53" s="14" t="n"/>
      <c r="CG53" s="15" t="n"/>
      <c r="CH53" s="16">
        <f>IFERROR(CF53*CG53, 0)</f>
        <v/>
      </c>
      <c r="CI53" s="14" t="n"/>
      <c r="CJ53" s="15" t="n"/>
      <c r="CK53" s="16">
        <f>IFERROR(CI53*CJ53, 0)</f>
        <v/>
      </c>
      <c r="CL53" s="14" t="n"/>
      <c r="CM53" s="15" t="n"/>
      <c r="CN53" s="16">
        <f>IFERROR(CL53*CM53, 0)</f>
        <v/>
      </c>
      <c r="CO53" s="14" t="n"/>
      <c r="CP53" s="15" t="n"/>
      <c r="CQ53" s="16">
        <f>IFERROR(CO53*CP53, 0)</f>
        <v/>
      </c>
      <c r="CR53" s="14" t="n"/>
      <c r="CS53" s="15" t="n"/>
      <c r="CT53" s="16">
        <f>IFERROR(CR53*CS53, 0)</f>
        <v/>
      </c>
      <c r="CU53" s="17">
        <f>IFERROR(SUM(F53,I53,L53,O53,R53,U53,X53,AA53,AD53,AG53,AJ53,AM53,AP53,AS53,AV53,AY53,BB53,BE53,BH53,BK53,BN53,BQ53,BT53,BW53,BZ53,CC53,CF53,CI53,CL53,CO53,CR53), 0)</f>
        <v/>
      </c>
      <c r="CV53" s="16">
        <f>IFERROR(AVERAGE(G53,J53,M53,P53,S53,V53,Y53,AB53,AE53,AH53,AK53,AN53,AQ53,AT53,AW53,AZ53,BC53,BF53,BI53,BL53,BO53,BR53,BU53,BX53,CA53,CD53,CG53,CJ53,CM53,CP53,CS53), 0)</f>
        <v/>
      </c>
      <c r="CW53" s="16">
        <f>CU53*CV53</f>
        <v/>
      </c>
    </row>
    <row r="54" ht="15.75" customHeight="1">
      <c r="A54" s="41" t="inlineStr">
        <is>
          <t>Mezclador</t>
        </is>
      </c>
      <c r="B54" s="41" t="inlineStr">
        <is>
          <t>Pqte</t>
        </is>
      </c>
      <c r="C54" s="42" t="n"/>
      <c r="D54" s="43" t="n"/>
      <c r="E54" s="78">
        <f>IFERROR(+C54*D54, 0)</f>
        <v/>
      </c>
      <c r="F54" s="14" t="n"/>
      <c r="G54" s="15" t="n"/>
      <c r="H54" s="16">
        <f>IFERROR(F54*G54, 0)</f>
        <v/>
      </c>
      <c r="I54" s="14" t="n"/>
      <c r="J54" s="15" t="n"/>
      <c r="K54" s="16">
        <f>IFERROR(I54*J54, 0)</f>
        <v/>
      </c>
      <c r="L54" s="14" t="n"/>
      <c r="M54" s="15" t="n"/>
      <c r="N54" s="16">
        <f>IFERROR(L54*M54, 0)</f>
        <v/>
      </c>
      <c r="O54" s="14" t="n"/>
      <c r="P54" s="15" t="n"/>
      <c r="Q54" s="16">
        <f>IFERROR(O54*P54, 0)</f>
        <v/>
      </c>
      <c r="R54" s="14" t="n"/>
      <c r="S54" s="15" t="n"/>
      <c r="T54" s="16">
        <f>IFERROR(R54*S54, 0)</f>
        <v/>
      </c>
      <c r="U54" s="14" t="n"/>
      <c r="V54" s="15" t="n"/>
      <c r="W54" s="16">
        <f>IFERROR(U54*V54, 0)</f>
        <v/>
      </c>
      <c r="X54" s="14" t="n"/>
      <c r="Y54" s="15" t="n"/>
      <c r="Z54" s="16">
        <f>IFERROR(X54*Y54, 0)</f>
        <v/>
      </c>
      <c r="AA54" s="14" t="n"/>
      <c r="AB54" s="15" t="n"/>
      <c r="AC54" s="16">
        <f>IFERROR(AA54*AB54, 0)</f>
        <v/>
      </c>
      <c r="AD54" s="14" t="n"/>
      <c r="AE54" s="15" t="n"/>
      <c r="AF54" s="16">
        <f>IFERROR(AD54*AE54, 0)</f>
        <v/>
      </c>
      <c r="AG54" s="14" t="n">
        <v>1</v>
      </c>
      <c r="AH54" s="15" t="n">
        <v>4900</v>
      </c>
      <c r="AI54" s="16" t="n">
        <v>4900</v>
      </c>
      <c r="AJ54" s="14" t="n"/>
      <c r="AK54" s="15" t="n"/>
      <c r="AL54" s="16">
        <f>IFERROR(AJ54*AK54, 0)</f>
        <v/>
      </c>
      <c r="AM54" s="14" t="n"/>
      <c r="AN54" s="15" t="n"/>
      <c r="AO54" s="16">
        <f>IFERROR(AM54*AN54, 0)</f>
        <v/>
      </c>
      <c r="AP54" s="14" t="n"/>
      <c r="AQ54" s="15" t="n"/>
      <c r="AR54" s="16">
        <f>IFERROR(AP54*AQ54, 0)</f>
        <v/>
      </c>
      <c r="AS54" s="14" t="n"/>
      <c r="AT54" s="15" t="n"/>
      <c r="AU54" s="16">
        <f>IFERROR(AS54*AT54, 0)</f>
        <v/>
      </c>
      <c r="AV54" s="14" t="n"/>
      <c r="AW54" s="15" t="n"/>
      <c r="AX54" s="16">
        <f>IFERROR(AV54*AW54, 0)</f>
        <v/>
      </c>
      <c r="AY54" s="14" t="n"/>
      <c r="AZ54" s="15" t="n"/>
      <c r="BA54" s="16">
        <f>IFERROR(AY54*AZ54, 0)</f>
        <v/>
      </c>
      <c r="BB54" s="14" t="n"/>
      <c r="BC54" s="15" t="n"/>
      <c r="BD54" s="16">
        <f>IFERROR(BB54*BC54, 0)</f>
        <v/>
      </c>
      <c r="BE54" s="14" t="n"/>
      <c r="BF54" s="15" t="n"/>
      <c r="BG54" s="16">
        <f>IFERROR(BE54*BF54, 0)</f>
        <v/>
      </c>
      <c r="BH54" s="14" t="n"/>
      <c r="BI54" s="15" t="n"/>
      <c r="BJ54" s="16">
        <f>IFERROR(BH54*BI54, 0)</f>
        <v/>
      </c>
      <c r="BK54" s="14" t="n"/>
      <c r="BL54" s="15" t="n"/>
      <c r="BM54" s="16">
        <f>IFERROR(BK54*BL54, 0)</f>
        <v/>
      </c>
      <c r="BN54" s="14" t="n"/>
      <c r="BO54" s="15" t="n"/>
      <c r="BP54" s="16">
        <f>IFERROR(BN54*BO54, 0)</f>
        <v/>
      </c>
      <c r="BQ54" s="14" t="n"/>
      <c r="BR54" s="15" t="n"/>
      <c r="BS54" s="16">
        <f>IFERROR(BQ54*BR54, 0)</f>
        <v/>
      </c>
      <c r="BT54" s="14" t="n"/>
      <c r="BU54" s="15" t="n"/>
      <c r="BV54" s="16">
        <f>IFERROR(BT54*BU54, 0)</f>
        <v/>
      </c>
      <c r="BW54" s="14" t="n"/>
      <c r="BX54" s="15" t="n"/>
      <c r="BY54" s="16">
        <f>IFERROR(BW54*BX54, 0)</f>
        <v/>
      </c>
      <c r="BZ54" s="14" t="n"/>
      <c r="CA54" s="15" t="n"/>
      <c r="CB54" s="16">
        <f>IFERROR(BZ54*CA54, 0)</f>
        <v/>
      </c>
      <c r="CC54" s="14" t="n"/>
      <c r="CD54" s="15" t="n"/>
      <c r="CE54" s="16">
        <f>IFERROR(CC54*CD54, 0)</f>
        <v/>
      </c>
      <c r="CF54" s="14" t="n"/>
      <c r="CG54" s="15" t="n"/>
      <c r="CH54" s="16">
        <f>IFERROR(CF54*CG54, 0)</f>
        <v/>
      </c>
      <c r="CI54" s="14" t="n"/>
      <c r="CJ54" s="15" t="n"/>
      <c r="CK54" s="16">
        <f>IFERROR(CI54*CJ54, 0)</f>
        <v/>
      </c>
      <c r="CL54" s="14" t="n"/>
      <c r="CM54" s="15" t="n"/>
      <c r="CN54" s="16">
        <f>IFERROR(CL54*CM54, 0)</f>
        <v/>
      </c>
      <c r="CO54" s="14" t="n"/>
      <c r="CP54" s="15" t="n"/>
      <c r="CQ54" s="16">
        <f>IFERROR(CO54*CP54, 0)</f>
        <v/>
      </c>
      <c r="CR54" s="14" t="n"/>
      <c r="CS54" s="15" t="n"/>
      <c r="CT54" s="16">
        <f>IFERROR(CR54*CS54, 0)</f>
        <v/>
      </c>
      <c r="CU54" s="17">
        <f>IFERROR(SUM(F54,I54,L54,O54,R54,U54,X54,AA54,AD54,AG54,AJ54,AM54,AP54,AS54,AV54,AY54,BB54,BE54,BH54,BK54,BN54,BQ54,BT54,BW54,BZ54,CC54,CF54,CI54,CL54,CO54,CR54), 0)</f>
        <v/>
      </c>
      <c r="CV54" s="16">
        <f>IFERROR(AVERAGE(G54,J54,M54,P54,S54,V54,Y54,AB54,AE54,AH54,AK54,AN54,AQ54,AT54,AW54,AZ54,BC54,BF54,BI54,BL54,BO54,BR54,BU54,BX54,CA54,CD54,CG54,CJ54,CM54,CP54,CS54), 0)</f>
        <v/>
      </c>
      <c r="CW54" s="16">
        <f>CU54*CV54</f>
        <v/>
      </c>
    </row>
    <row r="55" ht="15.75" customHeight="1">
      <c r="A55" s="41" t="inlineStr">
        <is>
          <t>Mostazax4000</t>
        </is>
      </c>
      <c r="B55" s="41" t="inlineStr">
        <is>
          <t>Pqte</t>
        </is>
      </c>
      <c r="C55" s="42" t="n"/>
      <c r="D55" s="43" t="n"/>
      <c r="E55" s="78">
        <f>IFERROR(+C55*D55, 0)</f>
        <v/>
      </c>
      <c r="F55" s="14" t="n"/>
      <c r="G55" s="15" t="n"/>
      <c r="H55" s="16">
        <f>IFERROR(F55*G55, 0)</f>
        <v/>
      </c>
      <c r="I55" s="14" t="n"/>
      <c r="J55" s="15" t="n"/>
      <c r="K55" s="16">
        <f>IFERROR(I55*J55, 0)</f>
        <v/>
      </c>
      <c r="L55" s="14" t="n"/>
      <c r="M55" s="15" t="n"/>
      <c r="N55" s="16">
        <f>IFERROR(L55*M55, 0)</f>
        <v/>
      </c>
      <c r="O55" s="14" t="n"/>
      <c r="P55" s="15" t="n"/>
      <c r="Q55" s="16">
        <f>IFERROR(O55*P55, 0)</f>
        <v/>
      </c>
      <c r="R55" s="14" t="n"/>
      <c r="S55" s="15" t="n"/>
      <c r="T55" s="16">
        <f>IFERROR(R55*S55, 0)</f>
        <v/>
      </c>
      <c r="U55" s="14" t="n"/>
      <c r="V55" s="15" t="n"/>
      <c r="W55" s="16">
        <f>IFERROR(U55*V55, 0)</f>
        <v/>
      </c>
      <c r="X55" s="14" t="n"/>
      <c r="Y55" s="15" t="n"/>
      <c r="Z55" s="16">
        <f>IFERROR(X55*Y55, 0)</f>
        <v/>
      </c>
      <c r="AA55" s="14" t="n"/>
      <c r="AB55" s="15" t="n"/>
      <c r="AC55" s="16">
        <f>IFERROR(AA55*AB55, 0)</f>
        <v/>
      </c>
      <c r="AD55" s="14" t="n"/>
      <c r="AE55" s="15" t="n"/>
      <c r="AF55" s="16">
        <f>IFERROR(AD55*AE55, 0)</f>
        <v/>
      </c>
      <c r="AG55" s="14" t="n"/>
      <c r="AH55" s="15" t="n"/>
      <c r="AI55" s="16">
        <f>IFERROR(AG55*AH55, 0)</f>
        <v/>
      </c>
      <c r="AJ55" s="14" t="n"/>
      <c r="AK55" s="15" t="n"/>
      <c r="AL55" s="16">
        <f>IFERROR(AJ55*AK55, 0)</f>
        <v/>
      </c>
      <c r="AM55" s="14" t="n"/>
      <c r="AN55" s="15" t="n"/>
      <c r="AO55" s="16">
        <f>IFERROR(AM55*AN55, 0)</f>
        <v/>
      </c>
      <c r="AP55" s="14" t="n"/>
      <c r="AQ55" s="15" t="n"/>
      <c r="AR55" s="16">
        <f>IFERROR(AP55*AQ55, 0)</f>
        <v/>
      </c>
      <c r="AS55" s="14" t="n"/>
      <c r="AT55" s="15" t="n"/>
      <c r="AU55" s="16">
        <f>IFERROR(AS55*AT55, 0)</f>
        <v/>
      </c>
      <c r="AV55" s="14" t="n"/>
      <c r="AW55" s="15" t="n"/>
      <c r="AX55" s="16">
        <f>IFERROR(AV55*AW55, 0)</f>
        <v/>
      </c>
      <c r="AY55" s="14" t="n"/>
      <c r="AZ55" s="15" t="n"/>
      <c r="BA55" s="16">
        <f>IFERROR(AY55*AZ55, 0)</f>
        <v/>
      </c>
      <c r="BB55" s="14" t="n"/>
      <c r="BC55" s="15" t="n"/>
      <c r="BD55" s="16">
        <f>IFERROR(BB55*BC55, 0)</f>
        <v/>
      </c>
      <c r="BE55" s="14" t="n"/>
      <c r="BF55" s="15" t="n"/>
      <c r="BG55" s="16">
        <f>IFERROR(BE55*BF55, 0)</f>
        <v/>
      </c>
      <c r="BH55" s="14" t="n"/>
      <c r="BI55" s="15" t="n"/>
      <c r="BJ55" s="16">
        <f>IFERROR(BH55*BI55, 0)</f>
        <v/>
      </c>
      <c r="BK55" s="14" t="n"/>
      <c r="BL55" s="15" t="n"/>
      <c r="BM55" s="16">
        <f>IFERROR(BK55*BL55, 0)</f>
        <v/>
      </c>
      <c r="BN55" s="14" t="n"/>
      <c r="BO55" s="15" t="n"/>
      <c r="BP55" s="16">
        <f>IFERROR(BN55*BO55, 0)</f>
        <v/>
      </c>
      <c r="BQ55" s="14" t="n"/>
      <c r="BR55" s="15" t="n"/>
      <c r="BS55" s="16">
        <f>IFERROR(BQ55*BR55, 0)</f>
        <v/>
      </c>
      <c r="BT55" s="14" t="n"/>
      <c r="BU55" s="15" t="n"/>
      <c r="BV55" s="16">
        <f>IFERROR(BT55*BU55, 0)</f>
        <v/>
      </c>
      <c r="BW55" s="14" t="n"/>
      <c r="BX55" s="15" t="n"/>
      <c r="BY55" s="16">
        <f>IFERROR(BW55*BX55, 0)</f>
        <v/>
      </c>
      <c r="BZ55" s="14" t="n"/>
      <c r="CA55" s="15" t="n"/>
      <c r="CB55" s="16">
        <f>IFERROR(BZ55*CA55, 0)</f>
        <v/>
      </c>
      <c r="CC55" s="14" t="n"/>
      <c r="CD55" s="15" t="n"/>
      <c r="CE55" s="16">
        <f>IFERROR(CC55*CD55, 0)</f>
        <v/>
      </c>
      <c r="CF55" s="14" t="n"/>
      <c r="CG55" s="15" t="n"/>
      <c r="CH55" s="16">
        <f>IFERROR(CF55*CG55, 0)</f>
        <v/>
      </c>
      <c r="CI55" s="14" t="n"/>
      <c r="CJ55" s="15" t="n"/>
      <c r="CK55" s="16">
        <f>IFERROR(CI55*CJ55, 0)</f>
        <v/>
      </c>
      <c r="CL55" s="14" t="n"/>
      <c r="CM55" s="15" t="n"/>
      <c r="CN55" s="16">
        <f>IFERROR(CL55*CM55, 0)</f>
        <v/>
      </c>
      <c r="CO55" s="14" t="n"/>
      <c r="CP55" s="15" t="n"/>
      <c r="CQ55" s="16">
        <f>IFERROR(CO55*CP55, 0)</f>
        <v/>
      </c>
      <c r="CR55" s="14" t="n"/>
      <c r="CS55" s="15" t="n"/>
      <c r="CT55" s="16">
        <f>IFERROR(CR55*CS55, 0)</f>
        <v/>
      </c>
      <c r="CU55" s="17">
        <f>IFERROR(SUM(F55,I55,L55,O55,R55,U55,X55,AA55,AD55,AG55,AJ55,AM55,AP55,AS55,AV55,AY55,BB55,BE55,BH55,BK55,BN55,BQ55,BT55,BW55,BZ55,CC55,CF55,CI55,CL55,CO55,CR55), 0)</f>
        <v/>
      </c>
      <c r="CV55" s="16">
        <f>IFERROR(AVERAGE(G55,J55,M55,P55,S55,V55,Y55,AB55,AE55,AH55,AK55,AN55,AQ55,AT55,AW55,AZ55,BC55,BF55,BI55,BL55,BO55,BR55,BU55,BX55,CA55,CD55,CG55,CJ55,CM55,CP55,CS55), 0)</f>
        <v/>
      </c>
      <c r="CW55" s="16">
        <f>CU55*CV55</f>
        <v/>
      </c>
    </row>
    <row r="56" ht="15.75" customHeight="1">
      <c r="A56" s="41" t="inlineStr">
        <is>
          <t>Paprika</t>
        </is>
      </c>
      <c r="B56" s="41" t="inlineStr">
        <is>
          <t>Pqte</t>
        </is>
      </c>
      <c r="C56" s="42" t="n"/>
      <c r="D56" s="43" t="n"/>
      <c r="E56" s="78">
        <f>IFERROR(+C56*D56, 0)</f>
        <v/>
      </c>
      <c r="F56" s="14" t="n"/>
      <c r="G56" s="15" t="n"/>
      <c r="H56" s="16">
        <f>IFERROR(F56*G56, 0)</f>
        <v/>
      </c>
      <c r="I56" s="14" t="n"/>
      <c r="J56" s="15" t="n"/>
      <c r="K56" s="16">
        <f>IFERROR(I56*J56, 0)</f>
        <v/>
      </c>
      <c r="L56" s="14" t="n"/>
      <c r="M56" s="15" t="n"/>
      <c r="N56" s="16">
        <f>IFERROR(L56*M56, 0)</f>
        <v/>
      </c>
      <c r="O56" s="14" t="n"/>
      <c r="P56" s="15" t="n"/>
      <c r="Q56" s="16">
        <f>IFERROR(O56*P56, 0)</f>
        <v/>
      </c>
      <c r="R56" s="14" t="n"/>
      <c r="S56" s="15" t="n"/>
      <c r="T56" s="16">
        <f>IFERROR(R56*S56, 0)</f>
        <v/>
      </c>
      <c r="U56" s="14" t="n"/>
      <c r="V56" s="15" t="n"/>
      <c r="W56" s="16">
        <f>IFERROR(U56*V56, 0)</f>
        <v/>
      </c>
      <c r="X56" s="14" t="n"/>
      <c r="Y56" s="15" t="n"/>
      <c r="Z56" s="16">
        <f>IFERROR(X56*Y56, 0)</f>
        <v/>
      </c>
      <c r="AA56" s="14" t="n"/>
      <c r="AB56" s="15" t="n"/>
      <c r="AC56" s="16">
        <f>IFERROR(AA56*AB56, 0)</f>
        <v/>
      </c>
      <c r="AD56" s="14" t="n"/>
      <c r="AE56" s="15" t="n"/>
      <c r="AF56" s="16">
        <f>IFERROR(AD56*AE56, 0)</f>
        <v/>
      </c>
      <c r="AG56" s="14" t="n"/>
      <c r="AH56" s="15" t="n"/>
      <c r="AI56" s="16">
        <f>IFERROR(AG56*AH56, 0)</f>
        <v/>
      </c>
      <c r="AJ56" s="14" t="n"/>
      <c r="AK56" s="15" t="n"/>
      <c r="AL56" s="16">
        <f>IFERROR(AJ56*AK56, 0)</f>
        <v/>
      </c>
      <c r="AM56" s="14" t="n"/>
      <c r="AN56" s="15" t="n"/>
      <c r="AO56" s="16">
        <f>IFERROR(AM56*AN56, 0)</f>
        <v/>
      </c>
      <c r="AP56" s="14" t="n"/>
      <c r="AQ56" s="15" t="n"/>
      <c r="AR56" s="16">
        <f>IFERROR(AP56*AQ56, 0)</f>
        <v/>
      </c>
      <c r="AS56" s="14" t="n"/>
      <c r="AT56" s="15" t="n"/>
      <c r="AU56" s="16">
        <f>IFERROR(AS56*AT56, 0)</f>
        <v/>
      </c>
      <c r="AV56" s="14" t="n"/>
      <c r="AW56" s="15" t="n"/>
      <c r="AX56" s="16">
        <f>IFERROR(AV56*AW56, 0)</f>
        <v/>
      </c>
      <c r="AY56" s="14" t="n"/>
      <c r="AZ56" s="15" t="n"/>
      <c r="BA56" s="16">
        <f>IFERROR(AY56*AZ56, 0)</f>
        <v/>
      </c>
      <c r="BB56" s="14" t="n"/>
      <c r="BC56" s="15" t="n"/>
      <c r="BD56" s="16">
        <f>IFERROR(BB56*BC56, 0)</f>
        <v/>
      </c>
      <c r="BE56" s="14" t="n"/>
      <c r="BF56" s="15" t="n"/>
      <c r="BG56" s="16">
        <f>IFERROR(BE56*BF56, 0)</f>
        <v/>
      </c>
      <c r="BH56" s="14" t="n"/>
      <c r="BI56" s="15" t="n"/>
      <c r="BJ56" s="16">
        <f>IFERROR(BH56*BI56, 0)</f>
        <v/>
      </c>
      <c r="BK56" s="14" t="n"/>
      <c r="BL56" s="15" t="n"/>
      <c r="BM56" s="16">
        <f>IFERROR(BK56*BL56, 0)</f>
        <v/>
      </c>
      <c r="BN56" s="14" t="n"/>
      <c r="BO56" s="15" t="n"/>
      <c r="BP56" s="16">
        <f>IFERROR(BN56*BO56, 0)</f>
        <v/>
      </c>
      <c r="BQ56" s="14" t="n"/>
      <c r="BR56" s="15" t="n"/>
      <c r="BS56" s="16">
        <f>IFERROR(BQ56*BR56, 0)</f>
        <v/>
      </c>
      <c r="BT56" s="14" t="n"/>
      <c r="BU56" s="15" t="n"/>
      <c r="BV56" s="16">
        <f>IFERROR(BT56*BU56, 0)</f>
        <v/>
      </c>
      <c r="BW56" s="14" t="n"/>
      <c r="BX56" s="15" t="n"/>
      <c r="BY56" s="16">
        <f>IFERROR(BW56*BX56, 0)</f>
        <v/>
      </c>
      <c r="BZ56" s="14" t="n"/>
      <c r="CA56" s="15" t="n"/>
      <c r="CB56" s="16">
        <f>IFERROR(BZ56*CA56, 0)</f>
        <v/>
      </c>
      <c r="CC56" s="14" t="n"/>
      <c r="CD56" s="15" t="n"/>
      <c r="CE56" s="16">
        <f>IFERROR(CC56*CD56, 0)</f>
        <v/>
      </c>
      <c r="CF56" s="14" t="n"/>
      <c r="CG56" s="15" t="n"/>
      <c r="CH56" s="16">
        <f>IFERROR(CF56*CG56, 0)</f>
        <v/>
      </c>
      <c r="CI56" s="14" t="n"/>
      <c r="CJ56" s="15" t="n"/>
      <c r="CK56" s="16">
        <f>IFERROR(CI56*CJ56, 0)</f>
        <v/>
      </c>
      <c r="CL56" s="14" t="n"/>
      <c r="CM56" s="15" t="n"/>
      <c r="CN56" s="16">
        <f>IFERROR(CL56*CM56, 0)</f>
        <v/>
      </c>
      <c r="CO56" s="14" t="n"/>
      <c r="CP56" s="15" t="n"/>
      <c r="CQ56" s="16">
        <f>IFERROR(CO56*CP56, 0)</f>
        <v/>
      </c>
      <c r="CR56" s="14" t="n"/>
      <c r="CS56" s="15" t="n"/>
      <c r="CT56" s="16">
        <f>IFERROR(CR56*CS56, 0)</f>
        <v/>
      </c>
      <c r="CU56" s="17">
        <f>IFERROR(SUM(F56,I56,L56,O56,R56,U56,X56,AA56,AD56,AG56,AJ56,AM56,AP56,AS56,AV56,AY56,BB56,BE56,BH56,BK56,BN56,BQ56,BT56,BW56,BZ56,CC56,CF56,CI56,CL56,CO56,CR56), 0)</f>
        <v/>
      </c>
      <c r="CV56" s="16">
        <f>IFERROR(AVERAGE(G56,J56,M56,P56,S56,V56,Y56,AB56,AE56,AH56,AK56,AN56,AQ56,AT56,AW56,AZ56,BC56,BF56,BI56,BL56,BO56,BR56,BU56,BX56,CA56,CD56,CG56,CJ56,CM56,CP56,CS56), 0)</f>
        <v/>
      </c>
      <c r="CW56" s="16">
        <f>CU56*CV56</f>
        <v/>
      </c>
    </row>
    <row r="57" ht="15.75" customHeight="1">
      <c r="A57" s="41" t="inlineStr">
        <is>
          <t>Papel aluminio</t>
        </is>
      </c>
      <c r="B57" s="41" t="inlineStr">
        <is>
          <t>Pqte</t>
        </is>
      </c>
      <c r="C57" s="42" t="n"/>
      <c r="D57" s="43" t="n"/>
      <c r="E57" s="78">
        <f>IFERROR(+C57*D57, 0)</f>
        <v/>
      </c>
      <c r="F57" s="14" t="n"/>
      <c r="G57" s="15" t="n"/>
      <c r="H57" s="16">
        <f>IFERROR(F57*G57, 0)</f>
        <v/>
      </c>
      <c r="I57" s="14" t="n"/>
      <c r="J57" s="15" t="n"/>
      <c r="K57" s="16">
        <f>IFERROR(I57*J57, 0)</f>
        <v/>
      </c>
      <c r="L57" s="14" t="n"/>
      <c r="M57" s="15" t="n"/>
      <c r="N57" s="16">
        <f>IFERROR(L57*M57, 0)</f>
        <v/>
      </c>
      <c r="O57" s="14" t="n"/>
      <c r="P57" s="15" t="n"/>
      <c r="Q57" s="16">
        <f>IFERROR(O57*P57, 0)</f>
        <v/>
      </c>
      <c r="R57" s="14" t="n"/>
      <c r="S57" s="15" t="n"/>
      <c r="T57" s="16">
        <f>IFERROR(R57*S57, 0)</f>
        <v/>
      </c>
      <c r="U57" s="14" t="n"/>
      <c r="V57" s="15" t="n"/>
      <c r="W57" s="16">
        <f>IFERROR(U57*V57, 0)</f>
        <v/>
      </c>
      <c r="X57" s="14" t="n"/>
      <c r="Y57" s="15" t="n"/>
      <c r="Z57" s="16">
        <f>IFERROR(X57*Y57, 0)</f>
        <v/>
      </c>
      <c r="AA57" s="14" t="n"/>
      <c r="AB57" s="15" t="n"/>
      <c r="AC57" s="16">
        <f>IFERROR(AA57*AB57, 0)</f>
        <v/>
      </c>
      <c r="AD57" s="14" t="n"/>
      <c r="AE57" s="15" t="n"/>
      <c r="AF57" s="16">
        <f>IFERROR(AD57*AE57, 0)</f>
        <v/>
      </c>
      <c r="AG57" s="14" t="n"/>
      <c r="AH57" s="15" t="n"/>
      <c r="AI57" s="16">
        <f>IFERROR(AG57*AH57, 0)</f>
        <v/>
      </c>
      <c r="AJ57" s="14" t="n"/>
      <c r="AK57" s="15" t="n"/>
      <c r="AL57" s="16">
        <f>IFERROR(AJ57*AK57, 0)</f>
        <v/>
      </c>
      <c r="AM57" s="14" t="n"/>
      <c r="AN57" s="15" t="n"/>
      <c r="AO57" s="16">
        <f>IFERROR(AM57*AN57, 0)</f>
        <v/>
      </c>
      <c r="AP57" s="14" t="n"/>
      <c r="AQ57" s="15" t="n"/>
      <c r="AR57" s="16">
        <f>IFERROR(AP57*AQ57, 0)</f>
        <v/>
      </c>
      <c r="AS57" s="14" t="n"/>
      <c r="AT57" s="15" t="n"/>
      <c r="AU57" s="16">
        <f>IFERROR(AS57*AT57, 0)</f>
        <v/>
      </c>
      <c r="AV57" s="14" t="n"/>
      <c r="AW57" s="15" t="n"/>
      <c r="AX57" s="16">
        <f>IFERROR(AV57*AW57, 0)</f>
        <v/>
      </c>
      <c r="AY57" s="14" t="n"/>
      <c r="AZ57" s="15" t="n"/>
      <c r="BA57" s="16">
        <f>IFERROR(AY57*AZ57, 0)</f>
        <v/>
      </c>
      <c r="BB57" s="14" t="n"/>
      <c r="BC57" s="15" t="n"/>
      <c r="BD57" s="16">
        <f>IFERROR(BB57*BC57, 0)</f>
        <v/>
      </c>
      <c r="BE57" s="14" t="n">
        <v>1</v>
      </c>
      <c r="BF57" s="15" t="n">
        <v>65800</v>
      </c>
      <c r="BG57" s="16" t="n">
        <v>65800</v>
      </c>
      <c r="BH57" s="14" t="n"/>
      <c r="BI57" s="15" t="n"/>
      <c r="BJ57" s="16">
        <f>IFERROR(BH57*BI57, 0)</f>
        <v/>
      </c>
      <c r="BK57" s="14" t="n"/>
      <c r="BL57" s="15" t="n"/>
      <c r="BM57" s="16">
        <f>IFERROR(BK57*BL57, 0)</f>
        <v/>
      </c>
      <c r="BN57" s="14" t="n"/>
      <c r="BO57" s="15" t="n"/>
      <c r="BP57" s="16">
        <f>IFERROR(BN57*BO57, 0)</f>
        <v/>
      </c>
      <c r="BQ57" s="14" t="n"/>
      <c r="BR57" s="15" t="n"/>
      <c r="BS57" s="16">
        <f>IFERROR(BQ57*BR57, 0)</f>
        <v/>
      </c>
      <c r="BT57" s="14" t="n"/>
      <c r="BU57" s="15" t="n"/>
      <c r="BV57" s="16">
        <f>IFERROR(BT57*BU57, 0)</f>
        <v/>
      </c>
      <c r="BW57" s="14" t="n"/>
      <c r="BX57" s="15" t="n"/>
      <c r="BY57" s="16">
        <f>IFERROR(BW57*BX57, 0)</f>
        <v/>
      </c>
      <c r="BZ57" s="14" t="n"/>
      <c r="CA57" s="15" t="n"/>
      <c r="CB57" s="16">
        <f>IFERROR(BZ57*CA57, 0)</f>
        <v/>
      </c>
      <c r="CC57" s="14" t="n"/>
      <c r="CD57" s="15" t="n"/>
      <c r="CE57" s="16">
        <f>IFERROR(CC57*CD57, 0)</f>
        <v/>
      </c>
      <c r="CF57" s="14" t="n"/>
      <c r="CG57" s="15" t="n"/>
      <c r="CH57" s="16">
        <f>IFERROR(CF57*CG57, 0)</f>
        <v/>
      </c>
      <c r="CI57" s="14" t="n"/>
      <c r="CJ57" s="15" t="n"/>
      <c r="CK57" s="16">
        <f>IFERROR(CI57*CJ57, 0)</f>
        <v/>
      </c>
      <c r="CL57" s="14" t="n"/>
      <c r="CM57" s="15" t="n"/>
      <c r="CN57" s="16">
        <f>IFERROR(CL57*CM57, 0)</f>
        <v/>
      </c>
      <c r="CO57" s="14" t="n"/>
      <c r="CP57" s="15" t="n"/>
      <c r="CQ57" s="16">
        <f>IFERROR(CO57*CP57, 0)</f>
        <v/>
      </c>
      <c r="CR57" s="14" t="n"/>
      <c r="CS57" s="15" t="n"/>
      <c r="CT57" s="16">
        <f>IFERROR(CR57*CS57, 0)</f>
        <v/>
      </c>
      <c r="CU57" s="17">
        <f>IFERROR(SUM(F57,I57,L57,O57,R57,U57,X57,AA57,AD57,AG57,AJ57,AM57,AP57,AS57,AV57,AY57,BB57,BE57,BH57,BK57,BN57,BQ57,BT57,BW57,BZ57,CC57,CF57,CI57,CL57,CO57,CR57), 0)</f>
        <v/>
      </c>
      <c r="CV57" s="16">
        <f>IFERROR(AVERAGE(G57,J57,M57,P57,S57,V57,Y57,AB57,AE57,AH57,AK57,AN57,AQ57,AT57,AW57,AZ57,BC57,BF57,BI57,BL57,BO57,BR57,BU57,BX57,CA57,CD57,CG57,CJ57,CM57,CP57,CS57), 0)</f>
        <v/>
      </c>
      <c r="CW57" s="16">
        <f>CU57*CV57</f>
        <v/>
      </c>
    </row>
    <row r="58" ht="15.75" customHeight="1">
      <c r="A58" s="41" t="inlineStr">
        <is>
          <t>Papel de impresora</t>
        </is>
      </c>
      <c r="B58" s="41" t="inlineStr">
        <is>
          <t>Pqte</t>
        </is>
      </c>
      <c r="C58" s="42" t="n"/>
      <c r="D58" s="43" t="n"/>
      <c r="E58" s="78">
        <f>IFERROR(+C58*D58, 0)</f>
        <v/>
      </c>
      <c r="F58" s="14" t="n"/>
      <c r="G58" s="15" t="n"/>
      <c r="H58" s="16">
        <f>IFERROR(F58*G58, 0)</f>
        <v/>
      </c>
      <c r="I58" s="14" t="n"/>
      <c r="J58" s="15" t="n"/>
      <c r="K58" s="16">
        <f>IFERROR(I58*J58, 0)</f>
        <v/>
      </c>
      <c r="L58" s="14" t="n"/>
      <c r="M58" s="15" t="n"/>
      <c r="N58" s="16">
        <f>IFERROR(L58*M58, 0)</f>
        <v/>
      </c>
      <c r="O58" s="14" t="n"/>
      <c r="P58" s="15" t="n"/>
      <c r="Q58" s="16">
        <f>IFERROR(O58*P58, 0)</f>
        <v/>
      </c>
      <c r="R58" s="14" t="n"/>
      <c r="S58" s="15" t="n"/>
      <c r="T58" s="16">
        <f>IFERROR(R58*S58, 0)</f>
        <v/>
      </c>
      <c r="U58" s="14" t="n"/>
      <c r="V58" s="15" t="n"/>
      <c r="W58" s="16">
        <f>IFERROR(U58*V58, 0)</f>
        <v/>
      </c>
      <c r="X58" s="14" t="n"/>
      <c r="Y58" s="15" t="n"/>
      <c r="Z58" s="16">
        <f>IFERROR(X58*Y58, 0)</f>
        <v/>
      </c>
      <c r="AA58" s="14" t="n"/>
      <c r="AB58" s="15" t="n"/>
      <c r="AC58" s="16">
        <f>IFERROR(AA58*AB58, 0)</f>
        <v/>
      </c>
      <c r="AD58" s="14" t="n"/>
      <c r="AE58" s="15" t="n"/>
      <c r="AF58" s="16">
        <f>IFERROR(AD58*AE58, 0)</f>
        <v/>
      </c>
      <c r="AG58" s="14" t="n"/>
      <c r="AH58" s="15" t="n"/>
      <c r="AI58" s="16">
        <f>IFERROR(AG58*AH58, 0)</f>
        <v/>
      </c>
      <c r="AJ58" s="14" t="n"/>
      <c r="AK58" s="15" t="n"/>
      <c r="AL58" s="16">
        <f>IFERROR(AJ58*AK58, 0)</f>
        <v/>
      </c>
      <c r="AM58" s="14" t="n"/>
      <c r="AN58" s="15" t="n"/>
      <c r="AO58" s="16">
        <f>IFERROR(AM58*AN58, 0)</f>
        <v/>
      </c>
      <c r="AP58" s="14" t="n"/>
      <c r="AQ58" s="15" t="n"/>
      <c r="AR58" s="16">
        <f>IFERROR(AP58*AQ58, 0)</f>
        <v/>
      </c>
      <c r="AS58" s="14" t="n"/>
      <c r="AT58" s="15" t="n"/>
      <c r="AU58" s="16">
        <f>IFERROR(AS58*AT58, 0)</f>
        <v/>
      </c>
      <c r="AV58" s="14" t="n"/>
      <c r="AW58" s="15" t="n"/>
      <c r="AX58" s="16">
        <f>IFERROR(AV58*AW58, 0)</f>
        <v/>
      </c>
      <c r="AY58" s="14" t="n"/>
      <c r="AZ58" s="15" t="n"/>
      <c r="BA58" s="16">
        <f>IFERROR(AY58*AZ58, 0)</f>
        <v/>
      </c>
      <c r="BB58" s="14" t="n"/>
      <c r="BC58" s="15" t="n"/>
      <c r="BD58" s="16">
        <f>IFERROR(BB58*BC58, 0)</f>
        <v/>
      </c>
      <c r="BE58" s="14" t="n"/>
      <c r="BF58" s="15" t="n"/>
      <c r="BG58" s="16">
        <f>IFERROR(BE58*BF58, 0)</f>
        <v/>
      </c>
      <c r="BH58" s="14" t="n"/>
      <c r="BI58" s="15" t="n"/>
      <c r="BJ58" s="16">
        <f>IFERROR(BH58*BI58, 0)</f>
        <v/>
      </c>
      <c r="BK58" s="14" t="n"/>
      <c r="BL58" s="15" t="n"/>
      <c r="BM58" s="16">
        <f>IFERROR(BK58*BL58, 0)</f>
        <v/>
      </c>
      <c r="BN58" s="14" t="n"/>
      <c r="BO58" s="15" t="n"/>
      <c r="BP58" s="16">
        <f>IFERROR(BN58*BO58, 0)</f>
        <v/>
      </c>
      <c r="BQ58" s="14" t="n"/>
      <c r="BR58" s="15" t="n"/>
      <c r="BS58" s="16">
        <f>IFERROR(BQ58*BR58, 0)</f>
        <v/>
      </c>
      <c r="BT58" s="14" t="n"/>
      <c r="BU58" s="15" t="n"/>
      <c r="BV58" s="16">
        <f>IFERROR(BT58*BU58, 0)</f>
        <v/>
      </c>
      <c r="BW58" s="14" t="n"/>
      <c r="BX58" s="15" t="n"/>
      <c r="BY58" s="16">
        <f>IFERROR(BW58*BX58, 0)</f>
        <v/>
      </c>
      <c r="BZ58" s="14" t="n"/>
      <c r="CA58" s="15" t="n"/>
      <c r="CB58" s="16">
        <f>IFERROR(BZ58*CA58, 0)</f>
        <v/>
      </c>
      <c r="CC58" s="14" t="n"/>
      <c r="CD58" s="15" t="n"/>
      <c r="CE58" s="16">
        <f>IFERROR(CC58*CD58, 0)</f>
        <v/>
      </c>
      <c r="CF58" s="14" t="n"/>
      <c r="CG58" s="15" t="n"/>
      <c r="CH58" s="16">
        <f>IFERROR(CF58*CG58, 0)</f>
        <v/>
      </c>
      <c r="CI58" s="14" t="n"/>
      <c r="CJ58" s="15" t="n"/>
      <c r="CK58" s="16">
        <f>IFERROR(CI58*CJ58, 0)</f>
        <v/>
      </c>
      <c r="CL58" s="14" t="n"/>
      <c r="CM58" s="15" t="n"/>
      <c r="CN58" s="16">
        <f>IFERROR(CL58*CM58, 0)</f>
        <v/>
      </c>
      <c r="CO58" s="14" t="n"/>
      <c r="CP58" s="15" t="n"/>
      <c r="CQ58" s="16">
        <f>IFERROR(CO58*CP58, 0)</f>
        <v/>
      </c>
      <c r="CR58" s="14" t="n"/>
      <c r="CS58" s="15" t="n"/>
      <c r="CT58" s="16">
        <f>IFERROR(CR58*CS58, 0)</f>
        <v/>
      </c>
      <c r="CU58" s="17">
        <f>IFERROR(SUM(F58,I58,L58,O58,R58,U58,X58,AA58,AD58,AG58,AJ58,AM58,AP58,AS58,AV58,AY58,BB58,BE58,BH58,BK58,BN58,BQ58,BT58,BW58,BZ58,CC58,CF58,CI58,CL58,CO58,CR58), 0)</f>
        <v/>
      </c>
      <c r="CV58" s="16">
        <f>IFERROR(AVERAGE(G58,J58,M58,P58,S58,V58,Y58,AB58,AE58,AH58,AK58,AN58,AQ58,AT58,AW58,AZ58,BC58,BF58,BI58,BL58,BO58,BR58,BU58,BX58,CA58,CD58,CG58,CJ58,CM58,CP58,CS58), 0)</f>
        <v/>
      </c>
      <c r="CW58" s="16">
        <f>CU58*CV58</f>
        <v/>
      </c>
    </row>
    <row r="59" ht="15.75" customHeight="1">
      <c r="A59" s="41" t="inlineStr">
        <is>
          <t>Guante nitrilo</t>
        </is>
      </c>
      <c r="B59" s="41" t="inlineStr">
        <is>
          <t>Caja</t>
        </is>
      </c>
      <c r="C59" s="42" t="n"/>
      <c r="D59" s="43" t="n"/>
      <c r="E59" s="78">
        <f>IFERROR(+C59*D59, 0)</f>
        <v/>
      </c>
      <c r="F59" s="14" t="n"/>
      <c r="G59" s="15" t="n"/>
      <c r="H59" s="16">
        <f>IFERROR(F59*G59, 0)</f>
        <v/>
      </c>
      <c r="I59" s="14" t="n"/>
      <c r="J59" s="15" t="n"/>
      <c r="K59" s="16">
        <f>IFERROR(I59*J59, 0)</f>
        <v/>
      </c>
      <c r="L59" s="14" t="n">
        <v>1</v>
      </c>
      <c r="M59" s="15" t="n">
        <v>23700</v>
      </c>
      <c r="N59" s="16" t="n">
        <v>23700</v>
      </c>
      <c r="O59" s="14" t="n"/>
      <c r="P59" s="15" t="n"/>
      <c r="Q59" s="16">
        <f>IFERROR(O59*P59, 0)</f>
        <v/>
      </c>
      <c r="R59" s="14" t="n"/>
      <c r="S59" s="15" t="n"/>
      <c r="T59" s="16">
        <f>IFERROR(R59*S59, 0)</f>
        <v/>
      </c>
      <c r="U59" s="14" t="n"/>
      <c r="V59" s="15" t="n"/>
      <c r="W59" s="16">
        <f>IFERROR(U59*V59, 0)</f>
        <v/>
      </c>
      <c r="X59" s="14" t="n"/>
      <c r="Y59" s="15" t="n"/>
      <c r="Z59" s="16">
        <f>IFERROR(X59*Y59, 0)</f>
        <v/>
      </c>
      <c r="AA59" s="14" t="n"/>
      <c r="AB59" s="15" t="n"/>
      <c r="AC59" s="16">
        <f>IFERROR(AA59*AB59, 0)</f>
        <v/>
      </c>
      <c r="AD59" s="14" t="n"/>
      <c r="AE59" s="15" t="n"/>
      <c r="AF59" s="16">
        <f>IFERROR(AD59*AE59, 0)</f>
        <v/>
      </c>
      <c r="AG59" s="14" t="n">
        <v>1</v>
      </c>
      <c r="AH59" s="15" t="n">
        <v>19400</v>
      </c>
      <c r="AI59" s="16" t="n">
        <v>19400</v>
      </c>
      <c r="AJ59" s="14" t="n"/>
      <c r="AK59" s="15" t="n"/>
      <c r="AL59" s="16">
        <f>IFERROR(AJ59*AK59, 0)</f>
        <v/>
      </c>
      <c r="AM59" s="14" t="n"/>
      <c r="AN59" s="15" t="n"/>
      <c r="AO59" s="16">
        <f>IFERROR(AM59*AN59, 0)</f>
        <v/>
      </c>
      <c r="AP59" s="14" t="n"/>
      <c r="AQ59" s="15" t="n"/>
      <c r="AR59" s="16">
        <f>IFERROR(AP59*AQ59, 0)</f>
        <v/>
      </c>
      <c r="AS59" s="14" t="n"/>
      <c r="AT59" s="15" t="n"/>
      <c r="AU59" s="16">
        <f>IFERROR(AS59*AT59, 0)</f>
        <v/>
      </c>
      <c r="AV59" s="14" t="n"/>
      <c r="AW59" s="15" t="n"/>
      <c r="AX59" s="16">
        <f>IFERROR(AV59*AW59, 0)</f>
        <v/>
      </c>
      <c r="AY59" s="14" t="n"/>
      <c r="AZ59" s="15" t="n"/>
      <c r="BA59" s="16">
        <f>IFERROR(AY59*AZ59, 0)</f>
        <v/>
      </c>
      <c r="BB59" s="14" t="n"/>
      <c r="BC59" s="15" t="n"/>
      <c r="BD59" s="16">
        <f>IFERROR(BB59*BC59, 0)</f>
        <v/>
      </c>
      <c r="BE59" s="14" t="n">
        <v>1</v>
      </c>
      <c r="BF59" s="15" t="n">
        <v>22500</v>
      </c>
      <c r="BG59" s="16" t="n">
        <v>22500</v>
      </c>
      <c r="BH59" s="14" t="n"/>
      <c r="BI59" s="15" t="n"/>
      <c r="BJ59" s="16">
        <f>IFERROR(BH59*BI59, 0)</f>
        <v/>
      </c>
      <c r="BK59" s="14" t="n"/>
      <c r="BL59" s="15" t="n"/>
      <c r="BM59" s="16">
        <f>IFERROR(BK59*BL59, 0)</f>
        <v/>
      </c>
      <c r="BN59" s="14" t="n"/>
      <c r="BO59" s="15" t="n"/>
      <c r="BP59" s="16">
        <f>IFERROR(BN59*BO59, 0)</f>
        <v/>
      </c>
      <c r="BQ59" s="14" t="n">
        <v>1</v>
      </c>
      <c r="BR59" s="15" t="n">
        <v>22500</v>
      </c>
      <c r="BS59" s="16" t="n">
        <v>22500</v>
      </c>
      <c r="BT59" s="14" t="n"/>
      <c r="BU59" s="15" t="n"/>
      <c r="BV59" s="16">
        <f>IFERROR(BT59*BU59, 0)</f>
        <v/>
      </c>
      <c r="BW59" s="14" t="n"/>
      <c r="BX59" s="15" t="n"/>
      <c r="BY59" s="16">
        <f>IFERROR(BW59*BX59, 0)</f>
        <v/>
      </c>
      <c r="BZ59" s="14" t="n"/>
      <c r="CA59" s="15" t="n"/>
      <c r="CB59" s="16">
        <f>IFERROR(BZ59*CA59, 0)</f>
        <v/>
      </c>
      <c r="CC59" s="14" t="n"/>
      <c r="CD59" s="15" t="n"/>
      <c r="CE59" s="16">
        <f>IFERROR(CC59*CD59, 0)</f>
        <v/>
      </c>
      <c r="CF59" s="14" t="n"/>
      <c r="CG59" s="15" t="n"/>
      <c r="CH59" s="16">
        <f>IFERROR(CF59*CG59, 0)</f>
        <v/>
      </c>
      <c r="CI59" s="14" t="n"/>
      <c r="CJ59" s="15" t="n"/>
      <c r="CK59" s="16">
        <f>IFERROR(CI59*CJ59, 0)</f>
        <v/>
      </c>
      <c r="CL59" s="14" t="n"/>
      <c r="CM59" s="15" t="n"/>
      <c r="CN59" s="16">
        <f>IFERROR(CL59*CM59, 0)</f>
        <v/>
      </c>
      <c r="CO59" s="14" t="n"/>
      <c r="CP59" s="15" t="n"/>
      <c r="CQ59" s="16">
        <f>IFERROR(CO59*CP59, 0)</f>
        <v/>
      </c>
      <c r="CR59" s="14" t="n"/>
      <c r="CS59" s="15" t="n"/>
      <c r="CT59" s="16">
        <f>IFERROR(CR59*CS59, 0)</f>
        <v/>
      </c>
      <c r="CU59" s="17">
        <f>IFERROR(SUM(F59,I59,L59,O59,R59,U59,X59,AA59,AD59,AG59,AJ59,AM59,AP59,AS59,AV59,AY59,BB59,BE59,BH59,BK59,BN59,BQ59,BT59,BW59,BZ59,CC59,CF59,CI59,CL59,CO59,CR59), 0)</f>
        <v/>
      </c>
      <c r="CV59" s="16">
        <f>IFERROR(AVERAGE(G59,J59,M59,P59,S59,V59,Y59,AB59,AE59,AH59,AK59,AN59,AQ59,AT59,AW59,AZ59,BC59,BF59,BI59,BL59,BO59,BR59,BU59,BX59,CA59,CD59,CG59,CJ59,CM59,CP59,CS59), 0)</f>
        <v/>
      </c>
      <c r="CW59" s="16">
        <f>CU59*CV59</f>
        <v/>
      </c>
    </row>
    <row r="60" ht="15.75" customHeight="1">
      <c r="A60" s="41" t="inlineStr">
        <is>
          <t>Pato tanque azul</t>
        </is>
      </c>
      <c r="B60" s="41" t="inlineStr">
        <is>
          <t>Und</t>
        </is>
      </c>
      <c r="C60" s="42" t="n"/>
      <c r="D60" s="43" t="n"/>
      <c r="E60" s="78">
        <f>IFERROR(+C60*D60, 0)</f>
        <v/>
      </c>
      <c r="F60" s="14" t="n"/>
      <c r="G60" s="15" t="n"/>
      <c r="H60" s="16">
        <f>IFERROR(F60*G60, 0)</f>
        <v/>
      </c>
      <c r="I60" s="14" t="n"/>
      <c r="J60" s="15" t="n"/>
      <c r="K60" s="16">
        <f>IFERROR(I60*J60, 0)</f>
        <v/>
      </c>
      <c r="L60" s="14" t="n"/>
      <c r="M60" s="15" t="n"/>
      <c r="N60" s="16">
        <f>IFERROR(L60*M60, 0)</f>
        <v/>
      </c>
      <c r="O60" s="14" t="n"/>
      <c r="P60" s="15" t="n"/>
      <c r="Q60" s="16">
        <f>IFERROR(O60*P60, 0)</f>
        <v/>
      </c>
      <c r="R60" s="14" t="n"/>
      <c r="S60" s="15" t="n"/>
      <c r="T60" s="16">
        <f>IFERROR(R60*S60, 0)</f>
        <v/>
      </c>
      <c r="U60" s="14" t="n"/>
      <c r="V60" s="15" t="n"/>
      <c r="W60" s="16">
        <f>IFERROR(U60*V60, 0)</f>
        <v/>
      </c>
      <c r="X60" s="14" t="n">
        <v>4</v>
      </c>
      <c r="Y60" s="15" t="n">
        <v>7600</v>
      </c>
      <c r="Z60" s="16" t="n">
        <v>30400</v>
      </c>
      <c r="AA60" s="14" t="n"/>
      <c r="AB60" s="15" t="n"/>
      <c r="AC60" s="16">
        <f>IFERROR(AA60*AB60, 0)</f>
        <v/>
      </c>
      <c r="AD60" s="14" t="n"/>
      <c r="AE60" s="15" t="n"/>
      <c r="AF60" s="16">
        <f>IFERROR(AD60*AE60, 0)</f>
        <v/>
      </c>
      <c r="AG60" s="14" t="n"/>
      <c r="AH60" s="15" t="n"/>
      <c r="AI60" s="16">
        <f>IFERROR(AG60*AH60, 0)</f>
        <v/>
      </c>
      <c r="AJ60" s="14" t="n"/>
      <c r="AK60" s="15" t="n"/>
      <c r="AL60" s="16">
        <f>IFERROR(AJ60*AK60, 0)</f>
        <v/>
      </c>
      <c r="AM60" s="14" t="n"/>
      <c r="AN60" s="15" t="n"/>
      <c r="AO60" s="16">
        <f>IFERROR(AM60*AN60, 0)</f>
        <v/>
      </c>
      <c r="AP60" s="14" t="n"/>
      <c r="AQ60" s="15" t="n"/>
      <c r="AR60" s="16">
        <f>IFERROR(AP60*AQ60, 0)</f>
        <v/>
      </c>
      <c r="AS60" s="14" t="n"/>
      <c r="AT60" s="15" t="n"/>
      <c r="AU60" s="16">
        <f>IFERROR(AS60*AT60, 0)</f>
        <v/>
      </c>
      <c r="AV60" s="14" t="n"/>
      <c r="AW60" s="15" t="n"/>
      <c r="AX60" s="16">
        <f>IFERROR(AV60*AW60, 0)</f>
        <v/>
      </c>
      <c r="AY60" s="14" t="n"/>
      <c r="AZ60" s="15" t="n"/>
      <c r="BA60" s="16">
        <f>IFERROR(AY60*AZ60, 0)</f>
        <v/>
      </c>
      <c r="BB60" s="14" t="n"/>
      <c r="BC60" s="15" t="n"/>
      <c r="BD60" s="16">
        <f>IFERROR(BB60*BC60, 0)</f>
        <v/>
      </c>
      <c r="BE60" s="14" t="n">
        <v>5</v>
      </c>
      <c r="BF60" s="15" t="n">
        <v>7600</v>
      </c>
      <c r="BG60" s="16" t="n">
        <v>38000</v>
      </c>
      <c r="BH60" s="14" t="n"/>
      <c r="BI60" s="15" t="n"/>
      <c r="BJ60" s="16">
        <f>IFERROR(BH60*BI60, 0)</f>
        <v/>
      </c>
      <c r="BK60" s="14" t="n"/>
      <c r="BL60" s="15" t="n"/>
      <c r="BM60" s="16">
        <f>IFERROR(BK60*BL60, 0)</f>
        <v/>
      </c>
      <c r="BN60" s="14" t="n"/>
      <c r="BO60" s="15" t="n"/>
      <c r="BP60" s="16">
        <f>IFERROR(BN60*BO60, 0)</f>
        <v/>
      </c>
      <c r="BQ60" s="14" t="n"/>
      <c r="BR60" s="15" t="n"/>
      <c r="BS60" s="16">
        <f>IFERROR(BQ60*BR60, 0)</f>
        <v/>
      </c>
      <c r="BT60" s="14" t="n"/>
      <c r="BU60" s="15" t="n"/>
      <c r="BV60" s="16">
        <f>IFERROR(BT60*BU60, 0)</f>
        <v/>
      </c>
      <c r="BW60" s="14" t="n"/>
      <c r="BX60" s="15" t="n"/>
      <c r="BY60" s="16">
        <f>IFERROR(BW60*BX60, 0)</f>
        <v/>
      </c>
      <c r="BZ60" s="14" t="n"/>
      <c r="CA60" s="15" t="n"/>
      <c r="CB60" s="16">
        <f>IFERROR(BZ60*CA60, 0)</f>
        <v/>
      </c>
      <c r="CC60" s="14" t="n"/>
      <c r="CD60" s="15" t="n"/>
      <c r="CE60" s="16">
        <f>IFERROR(CC60*CD60, 0)</f>
        <v/>
      </c>
      <c r="CF60" s="14" t="n"/>
      <c r="CG60" s="15" t="n"/>
      <c r="CH60" s="16">
        <f>IFERROR(CF60*CG60, 0)</f>
        <v/>
      </c>
      <c r="CI60" s="14" t="n"/>
      <c r="CJ60" s="15" t="n"/>
      <c r="CK60" s="16">
        <f>IFERROR(CI60*CJ60, 0)</f>
        <v/>
      </c>
      <c r="CL60" s="14" t="n"/>
      <c r="CM60" s="15" t="n"/>
      <c r="CN60" s="16">
        <f>IFERROR(CL60*CM60, 0)</f>
        <v/>
      </c>
      <c r="CO60" s="14" t="n"/>
      <c r="CP60" s="15" t="n"/>
      <c r="CQ60" s="16">
        <f>IFERROR(CO60*CP60, 0)</f>
        <v/>
      </c>
      <c r="CR60" s="14" t="n"/>
      <c r="CS60" s="15" t="n"/>
      <c r="CT60" s="16">
        <f>IFERROR(CR60*CS60, 0)</f>
        <v/>
      </c>
      <c r="CU60" s="17">
        <f>IFERROR(SUM(F60,I60,L60,O60,R60,U60,X60,AA60,AD60,AG60,AJ60,AM60,AP60,AS60,AV60,AY60,BB60,BE60,BH60,BK60,BN60,BQ60,BT60,BW60,BZ60,CC60,CF60,CI60,CL60,CO60,CR60), 0)</f>
        <v/>
      </c>
      <c r="CV60" s="16">
        <f>IFERROR(AVERAGE(G60,J60,M60,P60,S60,V60,Y60,AB60,AE60,AH60,AK60,AN60,AQ60,AT60,AW60,AZ60,BC60,BF60,BI60,BL60,BO60,BR60,BU60,BX60,CA60,CD60,CG60,CJ60,CM60,CP60,CS60), 0)</f>
        <v/>
      </c>
      <c r="CW60" s="16">
        <f>CU60*CV60</f>
        <v/>
      </c>
    </row>
    <row r="61" ht="15.75" customHeight="1">
      <c r="A61" s="41" t="inlineStr">
        <is>
          <t>Palo doble punta sol</t>
        </is>
      </c>
      <c r="B61" s="41" t="inlineStr">
        <is>
          <t>Pqte</t>
        </is>
      </c>
      <c r="C61" s="42" t="n"/>
      <c r="D61" s="43" t="n"/>
      <c r="E61" s="78">
        <f>IFERROR(+C61*D61, 0)</f>
        <v/>
      </c>
      <c r="F61" s="14" t="n"/>
      <c r="G61" s="15" t="n"/>
      <c r="H61" s="16">
        <f>IFERROR(F61*G61, 0)</f>
        <v/>
      </c>
      <c r="I61" s="14" t="n"/>
      <c r="J61" s="15" t="n"/>
      <c r="K61" s="16">
        <f>IFERROR(I61*J61, 0)</f>
        <v/>
      </c>
      <c r="L61" s="14" t="n"/>
      <c r="M61" s="15" t="n"/>
      <c r="N61" s="16">
        <f>IFERROR(L61*M61, 0)</f>
        <v/>
      </c>
      <c r="O61" s="14" t="n"/>
      <c r="P61" s="15" t="n"/>
      <c r="Q61" s="16">
        <f>IFERROR(O61*P61, 0)</f>
        <v/>
      </c>
      <c r="R61" s="14" t="n"/>
      <c r="S61" s="15" t="n"/>
      <c r="T61" s="16">
        <f>IFERROR(R61*S61, 0)</f>
        <v/>
      </c>
      <c r="U61" s="14" t="n"/>
      <c r="V61" s="15" t="n"/>
      <c r="W61" s="16">
        <f>IFERROR(U61*V61, 0)</f>
        <v/>
      </c>
      <c r="X61" s="14" t="n">
        <v>12</v>
      </c>
      <c r="Y61" s="15" t="n">
        <v>600</v>
      </c>
      <c r="Z61" s="16" t="n">
        <v>7200</v>
      </c>
      <c r="AA61" s="14" t="n"/>
      <c r="AB61" s="15" t="n"/>
      <c r="AC61" s="16">
        <f>IFERROR(AA61*AB61, 0)</f>
        <v/>
      </c>
      <c r="AD61" s="14" t="n"/>
      <c r="AE61" s="15" t="n"/>
      <c r="AF61" s="16">
        <f>IFERROR(AD61*AE61, 0)</f>
        <v/>
      </c>
      <c r="AG61" s="14" t="n"/>
      <c r="AH61" s="15" t="n"/>
      <c r="AI61" s="16">
        <f>IFERROR(AG61*AH61, 0)</f>
        <v/>
      </c>
      <c r="AJ61" s="14" t="n"/>
      <c r="AK61" s="15" t="n"/>
      <c r="AL61" s="16">
        <f>IFERROR(AJ61*AK61, 0)</f>
        <v/>
      </c>
      <c r="AM61" s="14" t="n"/>
      <c r="AN61" s="15" t="n"/>
      <c r="AO61" s="16">
        <f>IFERROR(AM61*AN61, 0)</f>
        <v/>
      </c>
      <c r="AP61" s="14" t="n"/>
      <c r="AQ61" s="15" t="n"/>
      <c r="AR61" s="16">
        <f>IFERROR(AP61*AQ61, 0)</f>
        <v/>
      </c>
      <c r="AS61" s="14" t="n"/>
      <c r="AT61" s="15" t="n"/>
      <c r="AU61" s="16">
        <f>IFERROR(AS61*AT61, 0)</f>
        <v/>
      </c>
      <c r="AV61" s="14" t="n"/>
      <c r="AW61" s="15" t="n"/>
      <c r="AX61" s="16">
        <f>IFERROR(AV61*AW61, 0)</f>
        <v/>
      </c>
      <c r="AY61" s="14" t="n"/>
      <c r="AZ61" s="15" t="n"/>
      <c r="BA61" s="16">
        <f>IFERROR(AY61*AZ61, 0)</f>
        <v/>
      </c>
      <c r="BB61" s="14" t="n"/>
      <c r="BC61" s="15" t="n"/>
      <c r="BD61" s="16">
        <f>IFERROR(BB61*BC61, 0)</f>
        <v/>
      </c>
      <c r="BE61" s="14" t="n"/>
      <c r="BF61" s="15" t="n"/>
      <c r="BG61" s="16">
        <f>IFERROR(BE61*BF61, 0)</f>
        <v/>
      </c>
      <c r="BH61" s="14" t="n"/>
      <c r="BI61" s="15" t="n"/>
      <c r="BJ61" s="16">
        <f>IFERROR(BH61*BI61, 0)</f>
        <v/>
      </c>
      <c r="BK61" s="14" t="n"/>
      <c r="BL61" s="15" t="n"/>
      <c r="BM61" s="16">
        <f>IFERROR(BK61*BL61, 0)</f>
        <v/>
      </c>
      <c r="BN61" s="14" t="n"/>
      <c r="BO61" s="15" t="n"/>
      <c r="BP61" s="16">
        <f>IFERROR(BN61*BO61, 0)</f>
        <v/>
      </c>
      <c r="BQ61" s="14" t="n"/>
      <c r="BR61" s="15" t="n"/>
      <c r="BS61" s="16">
        <f>IFERROR(BQ61*BR61, 0)</f>
        <v/>
      </c>
      <c r="BT61" s="14" t="n"/>
      <c r="BU61" s="15" t="n"/>
      <c r="BV61" s="16">
        <f>IFERROR(BT61*BU61, 0)</f>
        <v/>
      </c>
      <c r="BW61" s="14" t="n"/>
      <c r="BX61" s="15" t="n"/>
      <c r="BY61" s="16">
        <f>IFERROR(BW61*BX61, 0)</f>
        <v/>
      </c>
      <c r="BZ61" s="14" t="n"/>
      <c r="CA61" s="15" t="n"/>
      <c r="CB61" s="16">
        <f>IFERROR(BZ61*CA61, 0)</f>
        <v/>
      </c>
      <c r="CC61" s="14" t="n"/>
      <c r="CD61" s="15" t="n"/>
      <c r="CE61" s="16">
        <f>IFERROR(CC61*CD61, 0)</f>
        <v/>
      </c>
      <c r="CF61" s="14" t="n"/>
      <c r="CG61" s="15" t="n"/>
      <c r="CH61" s="16">
        <f>IFERROR(CF61*CG61, 0)</f>
        <v/>
      </c>
      <c r="CI61" s="14" t="n"/>
      <c r="CJ61" s="15" t="n"/>
      <c r="CK61" s="16">
        <f>IFERROR(CI61*CJ61, 0)</f>
        <v/>
      </c>
      <c r="CL61" s="14" t="n"/>
      <c r="CM61" s="15" t="n"/>
      <c r="CN61" s="16">
        <f>IFERROR(CL61*CM61, 0)</f>
        <v/>
      </c>
      <c r="CO61" s="14" t="n"/>
      <c r="CP61" s="15" t="n"/>
      <c r="CQ61" s="16">
        <f>IFERROR(CO61*CP61, 0)</f>
        <v/>
      </c>
      <c r="CR61" s="14" t="n"/>
      <c r="CS61" s="15" t="n"/>
      <c r="CT61" s="16">
        <f>IFERROR(CR61*CS61, 0)</f>
        <v/>
      </c>
      <c r="CU61" s="17">
        <f>IFERROR(SUM(F61,I61,L61,O61,R61,U61,X61,AA61,AD61,AG61,AJ61,AM61,AP61,AS61,AV61,AY61,BB61,BE61,BH61,BK61,BN61,BQ61,BT61,BW61,BZ61,CC61,CF61,CI61,CL61,CO61,CR61), 0)</f>
        <v/>
      </c>
      <c r="CV61" s="16">
        <f>IFERROR(AVERAGE(G61,J61,M61,P61,S61,V61,Y61,AB61,AE61,AH61,AK61,AN61,AQ61,AT61,AW61,AZ61,BC61,BF61,BI61,BL61,BO61,BR61,BU61,BX61,CA61,CD61,CG61,CJ61,CM61,CP61,CS61), 0)</f>
        <v/>
      </c>
      <c r="CW61" s="16">
        <f>CU61*CV61</f>
        <v/>
      </c>
    </row>
    <row r="62" ht="15.75" customHeight="1">
      <c r="A62" s="41" t="inlineStr">
        <is>
          <t>Harina de trigo x 25</t>
        </is>
      </c>
      <c r="B62" s="41" t="inlineStr">
        <is>
          <t>Lb</t>
        </is>
      </c>
      <c r="C62" s="42" t="n"/>
      <c r="D62" s="43" t="n"/>
      <c r="E62" s="78">
        <f>IFERROR(+C62*D62, 0)</f>
        <v/>
      </c>
      <c r="F62" s="14" t="n"/>
      <c r="G62" s="15" t="n"/>
      <c r="H62" s="16">
        <f>IFERROR(F62*G62, 0)</f>
        <v/>
      </c>
      <c r="I62" s="14" t="n">
        <v>5</v>
      </c>
      <c r="J62" s="15" t="n">
        <v>2100</v>
      </c>
      <c r="K62" s="16" t="n">
        <v>10500</v>
      </c>
      <c r="L62" s="14" t="n"/>
      <c r="M62" s="15" t="n"/>
      <c r="N62" s="16">
        <f>IFERROR(L62*M62, 0)</f>
        <v/>
      </c>
      <c r="O62" s="14" t="n"/>
      <c r="P62" s="15" t="n"/>
      <c r="Q62" s="16">
        <f>IFERROR(O62*P62, 0)</f>
        <v/>
      </c>
      <c r="R62" s="14" t="n"/>
      <c r="S62" s="15" t="n"/>
      <c r="T62" s="16">
        <f>IFERROR(R62*S62, 0)</f>
        <v/>
      </c>
      <c r="U62" s="14" t="n"/>
      <c r="V62" s="15" t="n"/>
      <c r="W62" s="16">
        <f>IFERROR(U62*V62, 0)</f>
        <v/>
      </c>
      <c r="X62" s="14" t="n"/>
      <c r="Y62" s="15" t="n"/>
      <c r="Z62" s="16">
        <f>IFERROR(X62*Y62, 0)</f>
        <v/>
      </c>
      <c r="AA62" s="14" t="n"/>
      <c r="AB62" s="15" t="n"/>
      <c r="AC62" s="16">
        <f>IFERROR(AA62*AB62, 0)</f>
        <v/>
      </c>
      <c r="AD62" s="14" t="n"/>
      <c r="AE62" s="15" t="n"/>
      <c r="AF62" s="16">
        <f>IFERROR(AD62*AE62, 0)</f>
        <v/>
      </c>
      <c r="AG62" s="14" t="n">
        <v>5</v>
      </c>
      <c r="AH62" s="15" t="n">
        <v>2100</v>
      </c>
      <c r="AI62" s="16" t="n">
        <v>10500</v>
      </c>
      <c r="AJ62" s="14" t="n"/>
      <c r="AK62" s="15" t="n"/>
      <c r="AL62" s="16">
        <f>IFERROR(AJ62*AK62, 0)</f>
        <v/>
      </c>
      <c r="AM62" s="14" t="n"/>
      <c r="AN62" s="15" t="n"/>
      <c r="AO62" s="16">
        <f>IFERROR(AM62*AN62, 0)</f>
        <v/>
      </c>
      <c r="AP62" s="14" t="n"/>
      <c r="AQ62" s="15" t="n"/>
      <c r="AR62" s="16">
        <f>IFERROR(AP62*AQ62, 0)</f>
        <v/>
      </c>
      <c r="AS62" s="14" t="n"/>
      <c r="AT62" s="15" t="n"/>
      <c r="AU62" s="16">
        <f>IFERROR(AS62*AT62, 0)</f>
        <v/>
      </c>
      <c r="AV62" s="14" t="n"/>
      <c r="AW62" s="15" t="n"/>
      <c r="AX62" s="16">
        <f>IFERROR(AV62*AW62, 0)</f>
        <v/>
      </c>
      <c r="AY62" s="14" t="n"/>
      <c r="AZ62" s="15" t="n"/>
      <c r="BA62" s="16">
        <f>IFERROR(AY62*AZ62, 0)</f>
        <v/>
      </c>
      <c r="BB62" s="14" t="n"/>
      <c r="BC62" s="15" t="n"/>
      <c r="BD62" s="16">
        <f>IFERROR(BB62*BC62, 0)</f>
        <v/>
      </c>
      <c r="BE62" s="14" t="n"/>
      <c r="BF62" s="15" t="n"/>
      <c r="BG62" s="16">
        <f>IFERROR(BE62*BF62, 0)</f>
        <v/>
      </c>
      <c r="BH62" s="14" t="n"/>
      <c r="BI62" s="15" t="n"/>
      <c r="BJ62" s="16">
        <f>IFERROR(BH62*BI62, 0)</f>
        <v/>
      </c>
      <c r="BK62" s="14" t="n"/>
      <c r="BL62" s="15" t="n"/>
      <c r="BM62" s="16">
        <f>IFERROR(BK62*BL62, 0)</f>
        <v/>
      </c>
      <c r="BN62" s="14" t="n"/>
      <c r="BO62" s="15" t="n"/>
      <c r="BP62" s="16">
        <f>IFERROR(BN62*BO62, 0)</f>
        <v/>
      </c>
      <c r="BQ62" s="14" t="n">
        <v>7</v>
      </c>
      <c r="BR62" s="15" t="n">
        <v>2100</v>
      </c>
      <c r="BS62" s="16" t="n">
        <v>14700</v>
      </c>
      <c r="BT62" s="14" t="n"/>
      <c r="BU62" s="15" t="n"/>
      <c r="BV62" s="16">
        <f>IFERROR(BT62*BU62, 0)</f>
        <v/>
      </c>
      <c r="BW62" s="14" t="n"/>
      <c r="BX62" s="15" t="n"/>
      <c r="BY62" s="16">
        <f>IFERROR(BW62*BX62, 0)</f>
        <v/>
      </c>
      <c r="BZ62" s="14" t="n"/>
      <c r="CA62" s="15" t="n"/>
      <c r="CB62" s="16">
        <f>IFERROR(BZ62*CA62, 0)</f>
        <v/>
      </c>
      <c r="CC62" s="14" t="n"/>
      <c r="CD62" s="15" t="n"/>
      <c r="CE62" s="16">
        <f>IFERROR(CC62*CD62, 0)</f>
        <v/>
      </c>
      <c r="CF62" s="14" t="n"/>
      <c r="CG62" s="15" t="n"/>
      <c r="CH62" s="16">
        <f>IFERROR(CF62*CG62, 0)</f>
        <v/>
      </c>
      <c r="CI62" s="14" t="n"/>
      <c r="CJ62" s="15" t="n"/>
      <c r="CK62" s="16">
        <f>IFERROR(CI62*CJ62, 0)</f>
        <v/>
      </c>
      <c r="CL62" s="14" t="n"/>
      <c r="CM62" s="15" t="n"/>
      <c r="CN62" s="16">
        <f>IFERROR(CL62*CM62, 0)</f>
        <v/>
      </c>
      <c r="CO62" s="14" t="n"/>
      <c r="CP62" s="15" t="n"/>
      <c r="CQ62" s="16">
        <f>IFERROR(CO62*CP62, 0)</f>
        <v/>
      </c>
      <c r="CR62" s="14" t="n"/>
      <c r="CS62" s="15" t="n"/>
      <c r="CT62" s="16">
        <f>IFERROR(CR62*CS62, 0)</f>
        <v/>
      </c>
      <c r="CU62" s="17">
        <f>IFERROR(SUM(F62,I62,L62,O62,R62,U62,X62,AA62,AD62,AG62,AJ62,AM62,AP62,AS62,AV62,AY62,BB62,BE62,BH62,BK62,BN62,BQ62,BT62,BW62,BZ62,CC62,CF62,CI62,CL62,CO62,CR62), 0)</f>
        <v/>
      </c>
      <c r="CV62" s="16">
        <f>IFERROR(AVERAGE(G62,J62,M62,P62,S62,V62,Y62,AB62,AE62,AH62,AK62,AN62,AQ62,AT62,AW62,AZ62,BC62,BF62,BI62,BL62,BO62,BR62,BU62,BX62,CA62,CD62,CG62,CJ62,CM62,CP62,CS62), 0)</f>
        <v/>
      </c>
      <c r="CW62" s="16">
        <f>CU62*CV62</f>
        <v/>
      </c>
    </row>
    <row r="63" ht="15.75" customHeight="1">
      <c r="A63" s="41" t="inlineStr">
        <is>
          <t>Harina para apanar</t>
        </is>
      </c>
      <c r="B63" s="41" t="inlineStr">
        <is>
          <t>Lb</t>
        </is>
      </c>
      <c r="C63" s="42" t="n"/>
      <c r="D63" s="43" t="n"/>
      <c r="E63" s="78">
        <f>IFERROR(+C63*D63, 0)</f>
        <v/>
      </c>
      <c r="F63" s="14" t="n"/>
      <c r="G63" s="15" t="n"/>
      <c r="H63" s="16">
        <f>IFERROR(F63*G63, 0)</f>
        <v/>
      </c>
      <c r="I63" s="14" t="n"/>
      <c r="J63" s="15" t="n"/>
      <c r="K63" s="16">
        <f>IFERROR(I63*J63, 0)</f>
        <v/>
      </c>
      <c r="L63" s="14" t="n"/>
      <c r="M63" s="15" t="n"/>
      <c r="N63" s="16">
        <f>IFERROR(L63*M63, 0)</f>
        <v/>
      </c>
      <c r="O63" s="14" t="n">
        <v>25</v>
      </c>
      <c r="P63" s="15" t="n">
        <v>2100</v>
      </c>
      <c r="Q63" s="16" t="n">
        <v>52500</v>
      </c>
      <c r="R63" s="14" t="n"/>
      <c r="S63" s="15" t="n"/>
      <c r="T63" s="16">
        <f>IFERROR(R63*S63, 0)</f>
        <v/>
      </c>
      <c r="U63" s="14" t="n"/>
      <c r="V63" s="15" t="n"/>
      <c r="W63" s="16">
        <f>IFERROR(U63*V63, 0)</f>
        <v/>
      </c>
      <c r="X63" s="14" t="n"/>
      <c r="Y63" s="15" t="n"/>
      <c r="Z63" s="16">
        <f>IFERROR(X63*Y63, 0)</f>
        <v/>
      </c>
      <c r="AA63" s="14" t="n"/>
      <c r="AB63" s="15" t="n"/>
      <c r="AC63" s="16">
        <f>IFERROR(AA63*AB63, 0)</f>
        <v/>
      </c>
      <c r="AD63" s="14" t="n"/>
      <c r="AE63" s="15" t="n"/>
      <c r="AF63" s="16">
        <f>IFERROR(AD63*AE63, 0)</f>
        <v/>
      </c>
      <c r="AG63" s="14" t="n">
        <v>25</v>
      </c>
      <c r="AH63" s="15" t="n">
        <v>2100</v>
      </c>
      <c r="AI63" s="16" t="n">
        <v>52500</v>
      </c>
      <c r="AJ63" s="14" t="n"/>
      <c r="AK63" s="15" t="n"/>
      <c r="AL63" s="16">
        <f>IFERROR(AJ63*AK63, 0)</f>
        <v/>
      </c>
      <c r="AM63" s="14" t="n"/>
      <c r="AN63" s="15" t="n"/>
      <c r="AO63" s="16">
        <f>IFERROR(AM63*AN63, 0)</f>
        <v/>
      </c>
      <c r="AP63" s="14" t="n"/>
      <c r="AQ63" s="15" t="n"/>
      <c r="AR63" s="16">
        <f>IFERROR(AP63*AQ63, 0)</f>
        <v/>
      </c>
      <c r="AS63" s="14" t="n"/>
      <c r="AT63" s="15" t="n"/>
      <c r="AU63" s="16">
        <f>IFERROR(AS63*AT63, 0)</f>
        <v/>
      </c>
      <c r="AV63" s="14" t="n"/>
      <c r="AW63" s="15" t="n"/>
      <c r="AX63" s="16">
        <f>IFERROR(AV63*AW63, 0)</f>
        <v/>
      </c>
      <c r="AY63" s="14" t="n"/>
      <c r="AZ63" s="15" t="n"/>
      <c r="BA63" s="16">
        <f>IFERROR(AY63*AZ63, 0)</f>
        <v/>
      </c>
      <c r="BB63" s="14" t="n"/>
      <c r="BC63" s="15" t="n"/>
      <c r="BD63" s="16">
        <f>IFERROR(BB63*BC63, 0)</f>
        <v/>
      </c>
      <c r="BE63" s="14" t="n">
        <v>25</v>
      </c>
      <c r="BF63" s="15" t="n">
        <v>2100</v>
      </c>
      <c r="BG63" s="16" t="n">
        <v>52500</v>
      </c>
      <c r="BH63" s="14" t="n"/>
      <c r="BI63" s="15" t="n"/>
      <c r="BJ63" s="16">
        <f>IFERROR(BH63*BI63, 0)</f>
        <v/>
      </c>
      <c r="BK63" s="14" t="n"/>
      <c r="BL63" s="15" t="n"/>
      <c r="BM63" s="16">
        <f>IFERROR(BK63*BL63, 0)</f>
        <v/>
      </c>
      <c r="BN63" s="14" t="n"/>
      <c r="BO63" s="15" t="n"/>
      <c r="BP63" s="16">
        <f>IFERROR(BN63*BO63, 0)</f>
        <v/>
      </c>
      <c r="BQ63" s="14" t="n">
        <v>25</v>
      </c>
      <c r="BR63" s="15" t="n">
        <v>2100</v>
      </c>
      <c r="BS63" s="16" t="n">
        <v>52500</v>
      </c>
      <c r="BT63" s="14" t="n"/>
      <c r="BU63" s="15" t="n"/>
      <c r="BV63" s="16">
        <f>IFERROR(BT63*BU63, 0)</f>
        <v/>
      </c>
      <c r="BW63" s="14" t="n"/>
      <c r="BX63" s="15" t="n"/>
      <c r="BY63" s="16">
        <f>IFERROR(BW63*BX63, 0)</f>
        <v/>
      </c>
      <c r="BZ63" s="14" t="n"/>
      <c r="CA63" s="15" t="n"/>
      <c r="CB63" s="16">
        <f>IFERROR(BZ63*CA63, 0)</f>
        <v/>
      </c>
      <c r="CC63" s="14" t="n"/>
      <c r="CD63" s="15" t="n"/>
      <c r="CE63" s="16">
        <f>IFERROR(CC63*CD63, 0)</f>
        <v/>
      </c>
      <c r="CF63" s="14" t="n"/>
      <c r="CG63" s="15" t="n"/>
      <c r="CH63" s="16">
        <f>IFERROR(CF63*CG63, 0)</f>
        <v/>
      </c>
      <c r="CI63" s="14" t="n"/>
      <c r="CJ63" s="15" t="n"/>
      <c r="CK63" s="16">
        <f>IFERROR(CI63*CJ63, 0)</f>
        <v/>
      </c>
      <c r="CL63" s="14" t="n"/>
      <c r="CM63" s="15" t="n"/>
      <c r="CN63" s="16">
        <f>IFERROR(CL63*CM63, 0)</f>
        <v/>
      </c>
      <c r="CO63" s="14" t="n"/>
      <c r="CP63" s="15" t="n"/>
      <c r="CQ63" s="16">
        <f>IFERROR(CO63*CP63, 0)</f>
        <v/>
      </c>
      <c r="CR63" s="14" t="n"/>
      <c r="CS63" s="15" t="n"/>
      <c r="CT63" s="16">
        <f>IFERROR(CR63*CS63, 0)</f>
        <v/>
      </c>
      <c r="CU63" s="17">
        <f>IFERROR(SUM(F63,I63,L63,O63,R63,U63,X63,AA63,AD63,AG63,AJ63,AM63,AP63,AS63,AV63,AY63,BB63,BE63,BH63,BK63,BN63,BQ63,BT63,BW63,BZ63,CC63,CF63,CI63,CL63,CO63,CR63), 0)</f>
        <v/>
      </c>
      <c r="CV63" s="16">
        <f>IFERROR(AVERAGE(G63,J63,M63,P63,S63,V63,Y63,AB63,AE63,AH63,AK63,AN63,AQ63,AT63,AW63,AZ63,BC63,BF63,BI63,BL63,BO63,BR63,BU63,BX63,CA63,CD63,CG63,CJ63,CM63,CP63,CS63), 0)</f>
        <v/>
      </c>
      <c r="CW63" s="16">
        <f>CU63*CV63</f>
        <v/>
      </c>
    </row>
    <row r="64" ht="15.75" customHeight="1">
      <c r="A64" s="41" t="inlineStr">
        <is>
          <t>Humo</t>
        </is>
      </c>
      <c r="B64" s="41" t="inlineStr">
        <is>
          <t>Tarro</t>
        </is>
      </c>
      <c r="C64" s="42" t="n"/>
      <c r="D64" s="43" t="n"/>
      <c r="E64" s="78">
        <f>IFERROR(+C64*D64, 0)</f>
        <v/>
      </c>
      <c r="F64" s="14" t="n"/>
      <c r="G64" s="15" t="n"/>
      <c r="H64" s="16">
        <f>IFERROR(F64*G64, 0)</f>
        <v/>
      </c>
      <c r="I64" s="14" t="n">
        <v>2</v>
      </c>
      <c r="J64" s="15" t="n">
        <v>19850</v>
      </c>
      <c r="K64" s="16" t="n">
        <v>39700</v>
      </c>
      <c r="L64" s="14" t="n"/>
      <c r="M64" s="15" t="n"/>
      <c r="N64" s="16">
        <f>IFERROR(L64*M64, 0)</f>
        <v/>
      </c>
      <c r="O64" s="14" t="n"/>
      <c r="P64" s="15" t="n"/>
      <c r="Q64" s="16">
        <f>IFERROR(O64*P64, 0)</f>
        <v/>
      </c>
      <c r="R64" s="14" t="n"/>
      <c r="S64" s="15" t="n"/>
      <c r="T64" s="16">
        <f>IFERROR(R64*S64, 0)</f>
        <v/>
      </c>
      <c r="U64" s="14" t="n"/>
      <c r="V64" s="15" t="n"/>
      <c r="W64" s="16">
        <f>IFERROR(U64*V64, 0)</f>
        <v/>
      </c>
      <c r="X64" s="14" t="n">
        <v>1</v>
      </c>
      <c r="Y64" s="15" t="n">
        <v>19850</v>
      </c>
      <c r="Z64" s="16" t="n">
        <v>19850</v>
      </c>
      <c r="AA64" s="14" t="n"/>
      <c r="AB64" s="15" t="n"/>
      <c r="AC64" s="16">
        <f>IFERROR(AA64*AB64, 0)</f>
        <v/>
      </c>
      <c r="AD64" s="14" t="n"/>
      <c r="AE64" s="15" t="n"/>
      <c r="AF64" s="16">
        <f>IFERROR(AD64*AE64, 0)</f>
        <v/>
      </c>
      <c r="AG64" s="14" t="n">
        <v>2</v>
      </c>
      <c r="AH64" s="15" t="n">
        <v>19850</v>
      </c>
      <c r="AI64" s="16" t="n">
        <v>39700</v>
      </c>
      <c r="AJ64" s="14" t="n"/>
      <c r="AK64" s="15" t="n"/>
      <c r="AL64" s="16">
        <f>IFERROR(AJ64*AK64, 0)</f>
        <v/>
      </c>
      <c r="AM64" s="14" t="n"/>
      <c r="AN64" s="15" t="n"/>
      <c r="AO64" s="16">
        <f>IFERROR(AM64*AN64, 0)</f>
        <v/>
      </c>
      <c r="AP64" s="14" t="n"/>
      <c r="AQ64" s="15" t="n"/>
      <c r="AR64" s="16">
        <f>IFERROR(AP64*AQ64, 0)</f>
        <v/>
      </c>
      <c r="AS64" s="14" t="n"/>
      <c r="AT64" s="15" t="n"/>
      <c r="AU64" s="16">
        <f>IFERROR(AS64*AT64, 0)</f>
        <v/>
      </c>
      <c r="AV64" s="14" t="n"/>
      <c r="AW64" s="15" t="n"/>
      <c r="AX64" s="16">
        <f>IFERROR(AV64*AW64, 0)</f>
        <v/>
      </c>
      <c r="AY64" s="14" t="n"/>
      <c r="AZ64" s="15" t="n"/>
      <c r="BA64" s="16">
        <f>IFERROR(AY64*AZ64, 0)</f>
        <v/>
      </c>
      <c r="BB64" s="14" t="n"/>
      <c r="BC64" s="15" t="n"/>
      <c r="BD64" s="16">
        <f>IFERROR(BB64*BC64, 0)</f>
        <v/>
      </c>
      <c r="BE64" s="14" t="n">
        <v>1</v>
      </c>
      <c r="BF64" s="15" t="n">
        <v>19850</v>
      </c>
      <c r="BG64" s="16" t="n">
        <v>19850</v>
      </c>
      <c r="BH64" s="14" t="n"/>
      <c r="BI64" s="15" t="n"/>
      <c r="BJ64" s="16">
        <f>IFERROR(BH64*BI64, 0)</f>
        <v/>
      </c>
      <c r="BK64" s="14" t="n"/>
      <c r="BL64" s="15" t="n"/>
      <c r="BM64" s="16">
        <f>IFERROR(BK64*BL64, 0)</f>
        <v/>
      </c>
      <c r="BN64" s="14" t="n"/>
      <c r="BO64" s="15" t="n"/>
      <c r="BP64" s="16">
        <f>IFERROR(BN64*BO64, 0)</f>
        <v/>
      </c>
      <c r="BQ64" s="14" t="n">
        <v>1</v>
      </c>
      <c r="BR64" s="15" t="n">
        <v>19850</v>
      </c>
      <c r="BS64" s="16" t="n">
        <v>19850</v>
      </c>
      <c r="BT64" s="14" t="n"/>
      <c r="BU64" s="15" t="n"/>
      <c r="BV64" s="16">
        <f>IFERROR(BT64*BU64, 0)</f>
        <v/>
      </c>
      <c r="BW64" s="14" t="n"/>
      <c r="BX64" s="15" t="n"/>
      <c r="BY64" s="16">
        <f>IFERROR(BW64*BX64, 0)</f>
        <v/>
      </c>
      <c r="BZ64" s="14" t="n"/>
      <c r="CA64" s="15" t="n"/>
      <c r="CB64" s="16">
        <f>IFERROR(BZ64*CA64, 0)</f>
        <v/>
      </c>
      <c r="CC64" s="14" t="n"/>
      <c r="CD64" s="15" t="n"/>
      <c r="CE64" s="16">
        <f>IFERROR(CC64*CD64, 0)</f>
        <v/>
      </c>
      <c r="CF64" s="14" t="n"/>
      <c r="CG64" s="15" t="n"/>
      <c r="CH64" s="16">
        <f>IFERROR(CF64*CG64, 0)</f>
        <v/>
      </c>
      <c r="CI64" s="14" t="n"/>
      <c r="CJ64" s="15" t="n"/>
      <c r="CK64" s="16">
        <f>IFERROR(CI64*CJ64, 0)</f>
        <v/>
      </c>
      <c r="CL64" s="14" t="n"/>
      <c r="CM64" s="15" t="n"/>
      <c r="CN64" s="16">
        <f>IFERROR(CL64*CM64, 0)</f>
        <v/>
      </c>
      <c r="CO64" s="14" t="n"/>
      <c r="CP64" s="15" t="n"/>
      <c r="CQ64" s="16">
        <f>IFERROR(CO64*CP64, 0)</f>
        <v/>
      </c>
      <c r="CR64" s="14" t="n"/>
      <c r="CS64" s="15" t="n"/>
      <c r="CT64" s="16">
        <f>IFERROR(CR64*CS64, 0)</f>
        <v/>
      </c>
      <c r="CU64" s="17">
        <f>IFERROR(SUM(F64,I64,L64,O64,R64,U64,X64,AA64,AD64,AG64,AJ64,AM64,AP64,AS64,AV64,AY64,BB64,BE64,BH64,BK64,BN64,BQ64,BT64,BW64,BZ64,CC64,CF64,CI64,CL64,CO64,CR64), 0)</f>
        <v/>
      </c>
      <c r="CV64" s="16">
        <f>IFERROR(AVERAGE(G64,J64,M64,P64,S64,V64,Y64,AB64,AE64,AH64,AK64,AN64,AQ64,AT64,AW64,AZ64,BC64,BF64,BI64,BL64,BO64,BR64,BU64,BX64,CA64,CD64,CG64,CJ64,CM64,CP64,CS64), 0)</f>
        <v/>
      </c>
      <c r="CW64" s="16">
        <f>CU64*CV64</f>
        <v/>
      </c>
    </row>
    <row r="65" ht="15.75" customHeight="1">
      <c r="A65" s="41" t="inlineStr">
        <is>
          <t>Papel higienico jumbo</t>
        </is>
      </c>
      <c r="B65" s="41" t="inlineStr">
        <is>
          <t>Und</t>
        </is>
      </c>
      <c r="C65" s="42" t="n"/>
      <c r="D65" s="43" t="n"/>
      <c r="E65" s="78">
        <f>IFERROR(+C65*D65, 0)</f>
        <v/>
      </c>
      <c r="F65" s="14" t="n"/>
      <c r="G65" s="15" t="n"/>
      <c r="H65" s="16">
        <f>IFERROR(F65*G65, 0)</f>
        <v/>
      </c>
      <c r="I65" s="14" t="n"/>
      <c r="J65" s="15" t="n"/>
      <c r="K65" s="16">
        <f>IFERROR(I65*J65, 0)</f>
        <v/>
      </c>
      <c r="L65" s="14" t="n"/>
      <c r="M65" s="15" t="n"/>
      <c r="N65" s="16">
        <f>IFERROR(L65*M65, 0)</f>
        <v/>
      </c>
      <c r="O65" s="14" t="n"/>
      <c r="P65" s="15" t="n"/>
      <c r="Q65" s="16">
        <f>IFERROR(O65*P65, 0)</f>
        <v/>
      </c>
      <c r="R65" s="14" t="n"/>
      <c r="S65" s="15" t="n"/>
      <c r="T65" s="16">
        <f>IFERROR(R65*S65, 0)</f>
        <v/>
      </c>
      <c r="U65" s="14" t="n"/>
      <c r="V65" s="15" t="n"/>
      <c r="W65" s="16">
        <f>IFERROR(U65*V65, 0)</f>
        <v/>
      </c>
      <c r="X65" s="14" t="n">
        <v>2</v>
      </c>
      <c r="Y65" s="15" t="n">
        <v>11400</v>
      </c>
      <c r="Z65" s="16" t="n">
        <v>22800</v>
      </c>
      <c r="AA65" s="14" t="n"/>
      <c r="AB65" s="15" t="n"/>
      <c r="AC65" s="16">
        <f>IFERROR(AA65*AB65, 0)</f>
        <v/>
      </c>
      <c r="AD65" s="14" t="n"/>
      <c r="AE65" s="15" t="n"/>
      <c r="AF65" s="16">
        <f>IFERROR(AD65*AE65, 0)</f>
        <v/>
      </c>
      <c r="AG65" s="14" t="n">
        <v>2</v>
      </c>
      <c r="AH65" s="15" t="n">
        <v>11400</v>
      </c>
      <c r="AI65" s="16" t="n">
        <v>22800</v>
      </c>
      <c r="AJ65" s="14" t="n"/>
      <c r="AK65" s="15" t="n"/>
      <c r="AL65" s="16">
        <f>IFERROR(AJ65*AK65, 0)</f>
        <v/>
      </c>
      <c r="AM65" s="14" t="n"/>
      <c r="AN65" s="15" t="n"/>
      <c r="AO65" s="16">
        <f>IFERROR(AM65*AN65, 0)</f>
        <v/>
      </c>
      <c r="AP65" s="14" t="n"/>
      <c r="AQ65" s="15" t="n"/>
      <c r="AR65" s="16">
        <f>IFERROR(AP65*AQ65, 0)</f>
        <v/>
      </c>
      <c r="AS65" s="14" t="n"/>
      <c r="AT65" s="15" t="n"/>
      <c r="AU65" s="16">
        <f>IFERROR(AS65*AT65, 0)</f>
        <v/>
      </c>
      <c r="AV65" s="14" t="n"/>
      <c r="AW65" s="15" t="n"/>
      <c r="AX65" s="16">
        <f>IFERROR(AV65*AW65, 0)</f>
        <v/>
      </c>
      <c r="AY65" s="14" t="n"/>
      <c r="AZ65" s="15" t="n"/>
      <c r="BA65" s="16">
        <f>IFERROR(AY65*AZ65, 0)</f>
        <v/>
      </c>
      <c r="BB65" s="14" t="n"/>
      <c r="BC65" s="15" t="n"/>
      <c r="BD65" s="16">
        <f>IFERROR(BB65*BC65, 0)</f>
        <v/>
      </c>
      <c r="BE65" s="14" t="n">
        <v>4</v>
      </c>
      <c r="BF65" s="15" t="n">
        <v>11400</v>
      </c>
      <c r="BG65" s="16" t="n">
        <v>45600</v>
      </c>
      <c r="BH65" s="14" t="n"/>
      <c r="BI65" s="15" t="n"/>
      <c r="BJ65" s="16">
        <f>IFERROR(BH65*BI65, 0)</f>
        <v/>
      </c>
      <c r="BK65" s="14" t="n"/>
      <c r="BL65" s="15" t="n"/>
      <c r="BM65" s="16">
        <f>IFERROR(BK65*BL65, 0)</f>
        <v/>
      </c>
      <c r="BN65" s="14" t="n"/>
      <c r="BO65" s="15" t="n"/>
      <c r="BP65" s="16">
        <f>IFERROR(BN65*BO65, 0)</f>
        <v/>
      </c>
      <c r="BQ65" s="14" t="n"/>
      <c r="BR65" s="15" t="n"/>
      <c r="BS65" s="16">
        <f>IFERROR(BQ65*BR65, 0)</f>
        <v/>
      </c>
      <c r="BT65" s="14" t="n"/>
      <c r="BU65" s="15" t="n"/>
      <c r="BV65" s="16">
        <f>IFERROR(BT65*BU65, 0)</f>
        <v/>
      </c>
      <c r="BW65" s="14" t="n"/>
      <c r="BX65" s="15" t="n"/>
      <c r="BY65" s="16">
        <f>IFERROR(BW65*BX65, 0)</f>
        <v/>
      </c>
      <c r="BZ65" s="14" t="n"/>
      <c r="CA65" s="15" t="n"/>
      <c r="CB65" s="16">
        <f>IFERROR(BZ65*CA65, 0)</f>
        <v/>
      </c>
      <c r="CC65" s="14" t="n"/>
      <c r="CD65" s="15" t="n"/>
      <c r="CE65" s="16">
        <f>IFERROR(CC65*CD65, 0)</f>
        <v/>
      </c>
      <c r="CF65" s="14" t="n"/>
      <c r="CG65" s="15" t="n"/>
      <c r="CH65" s="16">
        <f>IFERROR(CF65*CG65, 0)</f>
        <v/>
      </c>
      <c r="CI65" s="14" t="n"/>
      <c r="CJ65" s="15" t="n"/>
      <c r="CK65" s="16">
        <f>IFERROR(CI65*CJ65, 0)</f>
        <v/>
      </c>
      <c r="CL65" s="14" t="n"/>
      <c r="CM65" s="15" t="n"/>
      <c r="CN65" s="16">
        <f>IFERROR(CL65*CM65, 0)</f>
        <v/>
      </c>
      <c r="CO65" s="14" t="n"/>
      <c r="CP65" s="15" t="n"/>
      <c r="CQ65" s="16">
        <f>IFERROR(CO65*CP65, 0)</f>
        <v/>
      </c>
      <c r="CR65" s="14" t="n"/>
      <c r="CS65" s="15" t="n"/>
      <c r="CT65" s="16">
        <f>IFERROR(CR65*CS65, 0)</f>
        <v/>
      </c>
      <c r="CU65" s="17">
        <f>IFERROR(SUM(F65,I65,L65,O65,R65,U65,X65,AA65,AD65,AG65,AJ65,AM65,AP65,AS65,AV65,AY65,BB65,BE65,BH65,BK65,BN65,BQ65,BT65,BW65,BZ65,CC65,CF65,CI65,CL65,CO65,CR65), 0)</f>
        <v/>
      </c>
      <c r="CV65" s="16">
        <f>IFERROR(AVERAGE(G65,J65,M65,P65,S65,V65,Y65,AB65,AE65,AH65,AK65,AN65,AQ65,AT65,AW65,AZ65,BC65,BF65,BI65,BL65,BO65,BR65,BU65,BX65,CA65,CD65,CG65,CJ65,CM65,CP65,CS65), 0)</f>
        <v/>
      </c>
      <c r="CW65" s="16">
        <f>CU65*CV65</f>
        <v/>
      </c>
    </row>
    <row r="66" ht="15.75" customHeight="1">
      <c r="A66" s="41" t="inlineStr">
        <is>
          <t>Recogedor fino</t>
        </is>
      </c>
      <c r="B66" s="41" t="inlineStr">
        <is>
          <t>Pqte</t>
        </is>
      </c>
      <c r="C66" s="42" t="n"/>
      <c r="D66" s="43" t="n"/>
      <c r="E66" s="78">
        <f>IFERROR(+C66*D66, 0)</f>
        <v/>
      </c>
      <c r="F66" s="14" t="n"/>
      <c r="G66" s="15" t="n"/>
      <c r="H66" s="16">
        <f>IFERROR(F66*G66, 0)</f>
        <v/>
      </c>
      <c r="I66" s="14" t="n"/>
      <c r="J66" s="15" t="n"/>
      <c r="K66" s="16">
        <f>IFERROR(I66*J66, 0)</f>
        <v/>
      </c>
      <c r="L66" s="14" t="n"/>
      <c r="M66" s="15" t="n"/>
      <c r="N66" s="16">
        <f>IFERROR(L66*M66, 0)</f>
        <v/>
      </c>
      <c r="O66" s="14" t="n"/>
      <c r="P66" s="15" t="n"/>
      <c r="Q66" s="16">
        <f>IFERROR(O66*P66, 0)</f>
        <v/>
      </c>
      <c r="R66" s="14" t="n"/>
      <c r="S66" s="15" t="n"/>
      <c r="T66" s="16">
        <f>IFERROR(R66*S66, 0)</f>
        <v/>
      </c>
      <c r="U66" s="14" t="n"/>
      <c r="V66" s="15" t="n"/>
      <c r="W66" s="16">
        <f>IFERROR(U66*V66, 0)</f>
        <v/>
      </c>
      <c r="X66" s="14" t="n"/>
      <c r="Y66" s="15" t="n"/>
      <c r="Z66" s="16">
        <f>IFERROR(X66*Y66, 0)</f>
        <v/>
      </c>
      <c r="AA66" s="14" t="n"/>
      <c r="AB66" s="15" t="n"/>
      <c r="AC66" s="16">
        <f>IFERROR(AA66*AB66, 0)</f>
        <v/>
      </c>
      <c r="AD66" s="14" t="n"/>
      <c r="AE66" s="15" t="n"/>
      <c r="AF66" s="16">
        <f>IFERROR(AD66*AE66, 0)</f>
        <v/>
      </c>
      <c r="AG66" s="14" t="n"/>
      <c r="AH66" s="15" t="n"/>
      <c r="AI66" s="16">
        <f>IFERROR(AG66*AH66, 0)</f>
        <v/>
      </c>
      <c r="AJ66" s="14" t="n"/>
      <c r="AK66" s="15" t="n"/>
      <c r="AL66" s="16">
        <f>IFERROR(AJ66*AK66, 0)</f>
        <v/>
      </c>
      <c r="AM66" s="14" t="n"/>
      <c r="AN66" s="15" t="n"/>
      <c r="AO66" s="16">
        <f>IFERROR(AM66*AN66, 0)</f>
        <v/>
      </c>
      <c r="AP66" s="14" t="n"/>
      <c r="AQ66" s="15" t="n"/>
      <c r="AR66" s="16">
        <f>IFERROR(AP66*AQ66, 0)</f>
        <v/>
      </c>
      <c r="AS66" s="14" t="n"/>
      <c r="AT66" s="15" t="n"/>
      <c r="AU66" s="16">
        <f>IFERROR(AS66*AT66, 0)</f>
        <v/>
      </c>
      <c r="AV66" s="14" t="n"/>
      <c r="AW66" s="15" t="n"/>
      <c r="AX66" s="16">
        <f>IFERROR(AV66*AW66, 0)</f>
        <v/>
      </c>
      <c r="AY66" s="14" t="n"/>
      <c r="AZ66" s="15" t="n"/>
      <c r="BA66" s="16">
        <f>IFERROR(AY66*AZ66, 0)</f>
        <v/>
      </c>
      <c r="BB66" s="14" t="n"/>
      <c r="BC66" s="15" t="n"/>
      <c r="BD66" s="16">
        <f>IFERROR(BB66*BC66, 0)</f>
        <v/>
      </c>
      <c r="BE66" s="14" t="n"/>
      <c r="BF66" s="15" t="n"/>
      <c r="BG66" s="16">
        <f>IFERROR(BE66*BF66, 0)</f>
        <v/>
      </c>
      <c r="BH66" s="14" t="n"/>
      <c r="BI66" s="15" t="n"/>
      <c r="BJ66" s="16">
        <f>IFERROR(BH66*BI66, 0)</f>
        <v/>
      </c>
      <c r="BK66" s="14" t="n"/>
      <c r="BL66" s="15" t="n"/>
      <c r="BM66" s="16">
        <f>IFERROR(BK66*BL66, 0)</f>
        <v/>
      </c>
      <c r="BN66" s="14" t="n"/>
      <c r="BO66" s="15" t="n"/>
      <c r="BP66" s="16">
        <f>IFERROR(BN66*BO66, 0)</f>
        <v/>
      </c>
      <c r="BQ66" s="14" t="n"/>
      <c r="BR66" s="15" t="n"/>
      <c r="BS66" s="16">
        <f>IFERROR(BQ66*BR66, 0)</f>
        <v/>
      </c>
      <c r="BT66" s="14" t="n"/>
      <c r="BU66" s="15" t="n"/>
      <c r="BV66" s="16">
        <f>IFERROR(BT66*BU66, 0)</f>
        <v/>
      </c>
      <c r="BW66" s="14" t="n"/>
      <c r="BX66" s="15" t="n"/>
      <c r="BY66" s="16">
        <f>IFERROR(BW66*BX66, 0)</f>
        <v/>
      </c>
      <c r="BZ66" s="14" t="n"/>
      <c r="CA66" s="15" t="n"/>
      <c r="CB66" s="16">
        <f>IFERROR(BZ66*CA66, 0)</f>
        <v/>
      </c>
      <c r="CC66" s="14" t="n"/>
      <c r="CD66" s="15" t="n"/>
      <c r="CE66" s="16">
        <f>IFERROR(CC66*CD66, 0)</f>
        <v/>
      </c>
      <c r="CF66" s="14" t="n"/>
      <c r="CG66" s="15" t="n"/>
      <c r="CH66" s="16">
        <f>IFERROR(CF66*CG66, 0)</f>
        <v/>
      </c>
      <c r="CI66" s="14" t="n"/>
      <c r="CJ66" s="15" t="n"/>
      <c r="CK66" s="16">
        <f>IFERROR(CI66*CJ66, 0)</f>
        <v/>
      </c>
      <c r="CL66" s="14" t="n"/>
      <c r="CM66" s="15" t="n"/>
      <c r="CN66" s="16">
        <f>IFERROR(CL66*CM66, 0)</f>
        <v/>
      </c>
      <c r="CO66" s="14" t="n"/>
      <c r="CP66" s="15" t="n"/>
      <c r="CQ66" s="16">
        <f>IFERROR(CO66*CP66, 0)</f>
        <v/>
      </c>
      <c r="CR66" s="14" t="n"/>
      <c r="CS66" s="15" t="n"/>
      <c r="CT66" s="16">
        <f>IFERROR(CR66*CS66, 0)</f>
        <v/>
      </c>
      <c r="CU66" s="17">
        <f>IFERROR(SUM(F66,I66,L66,O66,R66,U66,X66,AA66,AD66,AG66,AJ66,AM66,AP66,AS66,AV66,AY66,BB66,BE66,BH66,BK66,BN66,BQ66,BT66,BW66,BZ66,CC66,CF66,CI66,CL66,CO66,CR66), 0)</f>
        <v/>
      </c>
      <c r="CV66" s="16">
        <f>IFERROR(AVERAGE(G66,J66,M66,P66,S66,V66,Y66,AB66,AE66,AH66,AK66,AN66,AQ66,AT66,AW66,AZ66,BC66,BF66,BI66,BL66,BO66,BR66,BU66,BX66,CA66,CD66,CG66,CJ66,CM66,CP66,CS66), 0)</f>
        <v/>
      </c>
      <c r="CW66" s="16">
        <f>CU66*CV66</f>
        <v/>
      </c>
    </row>
    <row r="67" ht="15.75" customHeight="1">
      <c r="A67" s="41" t="inlineStr">
        <is>
          <t>Resma de papel</t>
        </is>
      </c>
      <c r="B67" s="41" t="inlineStr">
        <is>
          <t>Pqte</t>
        </is>
      </c>
      <c r="C67" s="42" t="n"/>
      <c r="D67" s="43" t="n"/>
      <c r="E67" s="78">
        <f>IFERROR(+C67*D67, 0)</f>
        <v/>
      </c>
      <c r="F67" s="14" t="n">
        <v>1</v>
      </c>
      <c r="G67" s="15" t="n">
        <v>17500</v>
      </c>
      <c r="H67" s="16" t="n">
        <v>17500</v>
      </c>
      <c r="I67" s="14" t="n"/>
      <c r="J67" s="15" t="n"/>
      <c r="K67" s="16">
        <f>IFERROR(I67*J67, 0)</f>
        <v/>
      </c>
      <c r="L67" s="14" t="n"/>
      <c r="M67" s="15" t="n"/>
      <c r="N67" s="16">
        <f>IFERROR(L67*M67, 0)</f>
        <v/>
      </c>
      <c r="O67" s="14" t="n"/>
      <c r="P67" s="15" t="n"/>
      <c r="Q67" s="16">
        <f>IFERROR(O67*P67, 0)</f>
        <v/>
      </c>
      <c r="R67" s="14" t="n"/>
      <c r="S67" s="15" t="n"/>
      <c r="T67" s="16">
        <f>IFERROR(R67*S67, 0)</f>
        <v/>
      </c>
      <c r="U67" s="14" t="n"/>
      <c r="V67" s="15" t="n"/>
      <c r="W67" s="16">
        <f>IFERROR(U67*V67, 0)</f>
        <v/>
      </c>
      <c r="X67" s="14" t="n">
        <v>2</v>
      </c>
      <c r="Y67" s="15" t="n">
        <v>16500</v>
      </c>
      <c r="Z67" s="16" t="n">
        <v>33000</v>
      </c>
      <c r="AA67" s="14" t="n"/>
      <c r="AB67" s="15" t="n"/>
      <c r="AC67" s="16">
        <f>IFERROR(AA67*AB67, 0)</f>
        <v/>
      </c>
      <c r="AD67" s="14" t="n"/>
      <c r="AE67" s="15" t="n"/>
      <c r="AF67" s="16">
        <f>IFERROR(AD67*AE67, 0)</f>
        <v/>
      </c>
      <c r="AG67" s="14" t="n"/>
      <c r="AH67" s="15" t="n"/>
      <c r="AI67" s="16">
        <f>IFERROR(AG67*AH67, 0)</f>
        <v/>
      </c>
      <c r="AJ67" s="14" t="n"/>
      <c r="AK67" s="15" t="n"/>
      <c r="AL67" s="16">
        <f>IFERROR(AJ67*AK67, 0)</f>
        <v/>
      </c>
      <c r="AM67" s="14" t="n"/>
      <c r="AN67" s="15" t="n"/>
      <c r="AO67" s="16">
        <f>IFERROR(AM67*AN67, 0)</f>
        <v/>
      </c>
      <c r="AP67" s="14" t="n"/>
      <c r="AQ67" s="15" t="n"/>
      <c r="AR67" s="16">
        <f>IFERROR(AP67*AQ67, 0)</f>
        <v/>
      </c>
      <c r="AS67" s="14" t="n"/>
      <c r="AT67" s="15" t="n"/>
      <c r="AU67" s="16">
        <f>IFERROR(AS67*AT67, 0)</f>
        <v/>
      </c>
      <c r="AV67" s="14" t="n"/>
      <c r="AW67" s="15" t="n"/>
      <c r="AX67" s="16">
        <f>IFERROR(AV67*AW67, 0)</f>
        <v/>
      </c>
      <c r="AY67" s="14" t="n"/>
      <c r="AZ67" s="15" t="n"/>
      <c r="BA67" s="16">
        <f>IFERROR(AY67*AZ67, 0)</f>
        <v/>
      </c>
      <c r="BB67" s="14" t="n"/>
      <c r="BC67" s="15" t="n"/>
      <c r="BD67" s="16">
        <f>IFERROR(BB67*BC67, 0)</f>
        <v/>
      </c>
      <c r="BE67" s="14" t="n"/>
      <c r="BF67" s="15" t="n"/>
      <c r="BG67" s="16">
        <f>IFERROR(BE67*BF67, 0)</f>
        <v/>
      </c>
      <c r="BH67" s="14" t="n"/>
      <c r="BI67" s="15" t="n"/>
      <c r="BJ67" s="16">
        <f>IFERROR(BH67*BI67, 0)</f>
        <v/>
      </c>
      <c r="BK67" s="14" t="n"/>
      <c r="BL67" s="15" t="n"/>
      <c r="BM67" s="16">
        <f>IFERROR(BK67*BL67, 0)</f>
        <v/>
      </c>
      <c r="BN67" s="14" t="n"/>
      <c r="BO67" s="15" t="n"/>
      <c r="BP67" s="16">
        <f>IFERROR(BN67*BO67, 0)</f>
        <v/>
      </c>
      <c r="BQ67" s="14" t="n"/>
      <c r="BR67" s="15" t="n"/>
      <c r="BS67" s="16">
        <f>IFERROR(BQ67*BR67, 0)</f>
        <v/>
      </c>
      <c r="BT67" s="14" t="n"/>
      <c r="BU67" s="15" t="n"/>
      <c r="BV67" s="16">
        <f>IFERROR(BT67*BU67, 0)</f>
        <v/>
      </c>
      <c r="BW67" s="14" t="n"/>
      <c r="BX67" s="15" t="n"/>
      <c r="BY67" s="16">
        <f>IFERROR(BW67*BX67, 0)</f>
        <v/>
      </c>
      <c r="BZ67" s="14" t="n"/>
      <c r="CA67" s="15" t="n"/>
      <c r="CB67" s="16">
        <f>IFERROR(BZ67*CA67, 0)</f>
        <v/>
      </c>
      <c r="CC67" s="14" t="n"/>
      <c r="CD67" s="15" t="n"/>
      <c r="CE67" s="16">
        <f>IFERROR(CC67*CD67, 0)</f>
        <v/>
      </c>
      <c r="CF67" s="14" t="n"/>
      <c r="CG67" s="15" t="n"/>
      <c r="CH67" s="16">
        <f>IFERROR(CF67*CG67, 0)</f>
        <v/>
      </c>
      <c r="CI67" s="14" t="n"/>
      <c r="CJ67" s="15" t="n"/>
      <c r="CK67" s="16">
        <f>IFERROR(CI67*CJ67, 0)</f>
        <v/>
      </c>
      <c r="CL67" s="14" t="n"/>
      <c r="CM67" s="15" t="n"/>
      <c r="CN67" s="16">
        <f>IFERROR(CL67*CM67, 0)</f>
        <v/>
      </c>
      <c r="CO67" s="14" t="n"/>
      <c r="CP67" s="15" t="n"/>
      <c r="CQ67" s="16">
        <f>IFERROR(CO67*CP67, 0)</f>
        <v/>
      </c>
      <c r="CR67" s="14" t="n"/>
      <c r="CS67" s="15" t="n"/>
      <c r="CT67" s="16">
        <f>IFERROR(CR67*CS67, 0)</f>
        <v/>
      </c>
      <c r="CU67" s="17">
        <f>IFERROR(SUM(F67,I67,L67,O67,R67,U67,X67,AA67,AD67,AG67,AJ67,AM67,AP67,AS67,AV67,AY67,BB67,BE67,BH67,BK67,BN67,BQ67,BT67,BW67,BZ67,CC67,CF67,CI67,CL67,CO67,CR67), 0)</f>
        <v/>
      </c>
      <c r="CV67" s="16">
        <f>IFERROR(AVERAGE(G67,J67,M67,P67,S67,V67,Y67,AB67,AE67,AH67,AK67,AN67,AQ67,AT67,AW67,AZ67,BC67,BF67,BI67,BL67,BO67,BR67,BU67,BX67,CA67,CD67,CG67,CJ67,CM67,CP67,CS67), 0)</f>
        <v/>
      </c>
      <c r="CW67" s="16">
        <f>CU67*CV67</f>
        <v/>
      </c>
    </row>
    <row r="68" ht="15.75" customHeight="1">
      <c r="A68" s="41" t="inlineStr">
        <is>
          <t>Rollos termicos</t>
        </is>
      </c>
      <c r="B68" s="41" t="inlineStr">
        <is>
          <t>Und</t>
        </is>
      </c>
      <c r="C68" s="42" t="n"/>
      <c r="D68" s="43" t="n"/>
      <c r="E68" s="78">
        <f>IFERROR(+C68*D68, 0)</f>
        <v/>
      </c>
      <c r="F68" s="14" t="n"/>
      <c r="G68" s="15" t="n"/>
      <c r="H68" s="16">
        <f>IFERROR(F68*G68, 0)</f>
        <v/>
      </c>
      <c r="I68" s="14" t="n"/>
      <c r="J68" s="15" t="n"/>
      <c r="K68" s="16">
        <f>IFERROR(I68*J68, 0)</f>
        <v/>
      </c>
      <c r="L68" s="14" t="n"/>
      <c r="M68" s="15" t="n"/>
      <c r="N68" s="16">
        <f>IFERROR(L68*M68, 0)</f>
        <v/>
      </c>
      <c r="O68" s="14" t="n"/>
      <c r="P68" s="15" t="n"/>
      <c r="Q68" s="16">
        <f>IFERROR(O68*P68, 0)</f>
        <v/>
      </c>
      <c r="R68" s="14" t="n"/>
      <c r="S68" s="15" t="n"/>
      <c r="T68" s="16">
        <f>IFERROR(R68*S68, 0)</f>
        <v/>
      </c>
      <c r="U68" s="14" t="n"/>
      <c r="V68" s="15" t="n"/>
      <c r="W68" s="16">
        <f>IFERROR(U68*V68, 0)</f>
        <v/>
      </c>
      <c r="X68" s="14" t="n">
        <v>72</v>
      </c>
      <c r="Y68" s="15" t="n">
        <v>3600</v>
      </c>
      <c r="Z68" s="16" t="n">
        <v>259200</v>
      </c>
      <c r="AA68" s="14" t="n"/>
      <c r="AB68" s="15" t="n"/>
      <c r="AC68" s="16">
        <f>IFERROR(AA68*AB68, 0)</f>
        <v/>
      </c>
      <c r="AD68" s="14" t="n"/>
      <c r="AE68" s="15" t="n"/>
      <c r="AF68" s="16">
        <f>IFERROR(AD68*AE68, 0)</f>
        <v/>
      </c>
      <c r="AG68" s="14" t="n"/>
      <c r="AH68" s="15" t="n"/>
      <c r="AI68" s="16">
        <f>IFERROR(AG68*AH68, 0)</f>
        <v/>
      </c>
      <c r="AJ68" s="14" t="n"/>
      <c r="AK68" s="15" t="n"/>
      <c r="AL68" s="16">
        <f>IFERROR(AJ68*AK68, 0)</f>
        <v/>
      </c>
      <c r="AM68" s="14" t="n"/>
      <c r="AN68" s="15" t="n"/>
      <c r="AO68" s="16">
        <f>IFERROR(AM68*AN68, 0)</f>
        <v/>
      </c>
      <c r="AP68" s="14" t="n"/>
      <c r="AQ68" s="15" t="n"/>
      <c r="AR68" s="16">
        <f>IFERROR(AP68*AQ68, 0)</f>
        <v/>
      </c>
      <c r="AS68" s="14" t="n"/>
      <c r="AT68" s="15" t="n"/>
      <c r="AU68" s="16">
        <f>IFERROR(AS68*AT68, 0)</f>
        <v/>
      </c>
      <c r="AV68" s="14" t="n"/>
      <c r="AW68" s="15" t="n"/>
      <c r="AX68" s="16">
        <f>IFERROR(AV68*AW68, 0)</f>
        <v/>
      </c>
      <c r="AY68" s="14" t="n"/>
      <c r="AZ68" s="15" t="n"/>
      <c r="BA68" s="16">
        <f>IFERROR(AY68*AZ68, 0)</f>
        <v/>
      </c>
      <c r="BB68" s="14" t="n"/>
      <c r="BC68" s="15" t="n"/>
      <c r="BD68" s="16">
        <f>IFERROR(BB68*BC68, 0)</f>
        <v/>
      </c>
      <c r="BE68" s="14" t="n"/>
      <c r="BF68" s="15" t="n"/>
      <c r="BG68" s="16">
        <f>IFERROR(BE68*BF68, 0)</f>
        <v/>
      </c>
      <c r="BH68" s="14" t="n"/>
      <c r="BI68" s="15" t="n"/>
      <c r="BJ68" s="16">
        <f>IFERROR(BH68*BI68, 0)</f>
        <v/>
      </c>
      <c r="BK68" s="14" t="n"/>
      <c r="BL68" s="15" t="n"/>
      <c r="BM68" s="16">
        <f>IFERROR(BK68*BL68, 0)</f>
        <v/>
      </c>
      <c r="BN68" s="14" t="n"/>
      <c r="BO68" s="15" t="n"/>
      <c r="BP68" s="16">
        <f>IFERROR(BN68*BO68, 0)</f>
        <v/>
      </c>
      <c r="BQ68" s="14" t="n"/>
      <c r="BR68" s="15" t="n"/>
      <c r="BS68" s="16">
        <f>IFERROR(BQ68*BR68, 0)</f>
        <v/>
      </c>
      <c r="BT68" s="14" t="n"/>
      <c r="BU68" s="15" t="n"/>
      <c r="BV68" s="16">
        <f>IFERROR(BT68*BU68, 0)</f>
        <v/>
      </c>
      <c r="BW68" s="14" t="n"/>
      <c r="BX68" s="15" t="n"/>
      <c r="BY68" s="16">
        <f>IFERROR(BW68*BX68, 0)</f>
        <v/>
      </c>
      <c r="BZ68" s="14" t="n"/>
      <c r="CA68" s="15" t="n"/>
      <c r="CB68" s="16">
        <f>IFERROR(BZ68*CA68, 0)</f>
        <v/>
      </c>
      <c r="CC68" s="14" t="n"/>
      <c r="CD68" s="15" t="n"/>
      <c r="CE68" s="16">
        <f>IFERROR(CC68*CD68, 0)</f>
        <v/>
      </c>
      <c r="CF68" s="14" t="n"/>
      <c r="CG68" s="15" t="n"/>
      <c r="CH68" s="16">
        <f>IFERROR(CF68*CG68, 0)</f>
        <v/>
      </c>
      <c r="CI68" s="14" t="n"/>
      <c r="CJ68" s="15" t="n"/>
      <c r="CK68" s="16">
        <f>IFERROR(CI68*CJ68, 0)</f>
        <v/>
      </c>
      <c r="CL68" s="14" t="n"/>
      <c r="CM68" s="15" t="n"/>
      <c r="CN68" s="16">
        <f>IFERROR(CL68*CM68, 0)</f>
        <v/>
      </c>
      <c r="CO68" s="14" t="n"/>
      <c r="CP68" s="15" t="n"/>
      <c r="CQ68" s="16">
        <f>IFERROR(CO68*CP68, 0)</f>
        <v/>
      </c>
      <c r="CR68" s="14" t="n"/>
      <c r="CS68" s="15" t="n"/>
      <c r="CT68" s="16">
        <f>IFERROR(CR68*CS68, 0)</f>
        <v/>
      </c>
      <c r="CU68" s="17">
        <f>IFERROR(SUM(F68,I68,L68,O68,R68,U68,X68,AA68,AD68,AG68,AJ68,AM68,AP68,AS68,AV68,AY68,BB68,BE68,BH68,BK68,BN68,BQ68,BT68,BW68,BZ68,CC68,CF68,CI68,CL68,CO68,CR68), 0)</f>
        <v/>
      </c>
      <c r="CV68" s="16">
        <f>IFERROR(AVERAGE(G68,J68,M68,P68,S68,V68,Y68,AB68,AE68,AH68,AK68,AN68,AQ68,AT68,AW68,AZ68,BC68,BF68,BI68,BL68,BO68,BR68,BU68,BX68,CA68,CD68,CG68,CJ68,CM68,CP68,CS68), 0)</f>
        <v/>
      </c>
      <c r="CW68" s="16">
        <f>CU68*CV68</f>
        <v/>
      </c>
    </row>
    <row r="69" ht="15.75" customHeight="1">
      <c r="A69" s="41" t="inlineStr">
        <is>
          <t>Sabras</t>
        </is>
      </c>
      <c r="B69" s="41" t="inlineStr">
        <is>
          <t>Pqte</t>
        </is>
      </c>
      <c r="C69" s="42" t="n"/>
      <c r="D69" s="43" t="n"/>
      <c r="E69" s="78">
        <f>IFERROR(+C69*D69, 0)</f>
        <v/>
      </c>
      <c r="F69" s="14" t="n"/>
      <c r="G69" s="15" t="n"/>
      <c r="H69" s="16">
        <f>IFERROR(F69*G69, 0)</f>
        <v/>
      </c>
      <c r="I69" s="14" t="n">
        <v>1</v>
      </c>
      <c r="J69" s="15" t="n">
        <v>15550</v>
      </c>
      <c r="K69" s="16" t="n">
        <v>15550</v>
      </c>
      <c r="L69" s="14" t="n"/>
      <c r="M69" s="15" t="n"/>
      <c r="N69" s="16">
        <f>IFERROR(L69*M69, 0)</f>
        <v/>
      </c>
      <c r="O69" s="14" t="n"/>
      <c r="P69" s="15" t="n"/>
      <c r="Q69" s="16">
        <f>IFERROR(O69*P69, 0)</f>
        <v/>
      </c>
      <c r="R69" s="14" t="n"/>
      <c r="S69" s="15" t="n"/>
      <c r="T69" s="16">
        <f>IFERROR(R69*S69, 0)</f>
        <v/>
      </c>
      <c r="U69" s="14" t="n"/>
      <c r="V69" s="15" t="n"/>
      <c r="W69" s="16">
        <f>IFERROR(U69*V69, 0)</f>
        <v/>
      </c>
      <c r="X69" s="14" t="n"/>
      <c r="Y69" s="15" t="n"/>
      <c r="Z69" s="16">
        <f>IFERROR(X69*Y69, 0)</f>
        <v/>
      </c>
      <c r="AA69" s="14" t="n"/>
      <c r="AB69" s="15" t="n"/>
      <c r="AC69" s="16">
        <f>IFERROR(AA69*AB69, 0)</f>
        <v/>
      </c>
      <c r="AD69" s="14" t="n"/>
      <c r="AE69" s="15" t="n"/>
      <c r="AF69" s="16">
        <f>IFERROR(AD69*AE69, 0)</f>
        <v/>
      </c>
      <c r="AG69" s="14" t="n"/>
      <c r="AH69" s="15" t="n"/>
      <c r="AI69" s="16">
        <f>IFERROR(AG69*AH69, 0)</f>
        <v/>
      </c>
      <c r="AJ69" s="14" t="n"/>
      <c r="AK69" s="15" t="n"/>
      <c r="AL69" s="16">
        <f>IFERROR(AJ69*AK69, 0)</f>
        <v/>
      </c>
      <c r="AM69" s="14" t="n"/>
      <c r="AN69" s="15" t="n"/>
      <c r="AO69" s="16">
        <f>IFERROR(AM69*AN69, 0)</f>
        <v/>
      </c>
      <c r="AP69" s="14" t="n"/>
      <c r="AQ69" s="15" t="n"/>
      <c r="AR69" s="16">
        <f>IFERROR(AP69*AQ69, 0)</f>
        <v/>
      </c>
      <c r="AS69" s="14" t="n"/>
      <c r="AT69" s="15" t="n"/>
      <c r="AU69" s="16">
        <f>IFERROR(AS69*AT69, 0)</f>
        <v/>
      </c>
      <c r="AV69" s="14" t="n"/>
      <c r="AW69" s="15" t="n"/>
      <c r="AX69" s="16">
        <f>IFERROR(AV69*AW69, 0)</f>
        <v/>
      </c>
      <c r="AY69" s="14" t="n"/>
      <c r="AZ69" s="15" t="n"/>
      <c r="BA69" s="16">
        <f>IFERROR(AY69*AZ69, 0)</f>
        <v/>
      </c>
      <c r="BB69" s="14" t="n"/>
      <c r="BC69" s="15" t="n"/>
      <c r="BD69" s="16">
        <f>IFERROR(BB69*BC69, 0)</f>
        <v/>
      </c>
      <c r="BE69" s="14" t="n"/>
      <c r="BF69" s="15" t="n"/>
      <c r="BG69" s="16">
        <f>IFERROR(BE69*BF69, 0)</f>
        <v/>
      </c>
      <c r="BH69" s="14" t="n"/>
      <c r="BI69" s="15" t="n"/>
      <c r="BJ69" s="16">
        <f>IFERROR(BH69*BI69, 0)</f>
        <v/>
      </c>
      <c r="BK69" s="14" t="n"/>
      <c r="BL69" s="15" t="n"/>
      <c r="BM69" s="16">
        <f>IFERROR(BK69*BL69, 0)</f>
        <v/>
      </c>
      <c r="BN69" s="14" t="n"/>
      <c r="BO69" s="15" t="n"/>
      <c r="BP69" s="16">
        <f>IFERROR(BN69*BO69, 0)</f>
        <v/>
      </c>
      <c r="BQ69" s="14" t="n"/>
      <c r="BR69" s="15" t="n"/>
      <c r="BS69" s="16">
        <f>IFERROR(BQ69*BR69, 0)</f>
        <v/>
      </c>
      <c r="BT69" s="14" t="n"/>
      <c r="BU69" s="15" t="n"/>
      <c r="BV69" s="16">
        <f>IFERROR(BT69*BU69, 0)</f>
        <v/>
      </c>
      <c r="BW69" s="14" t="n"/>
      <c r="BX69" s="15" t="n"/>
      <c r="BY69" s="16">
        <f>IFERROR(BW69*BX69, 0)</f>
        <v/>
      </c>
      <c r="BZ69" s="14" t="n"/>
      <c r="CA69" s="15" t="n"/>
      <c r="CB69" s="16">
        <f>IFERROR(BZ69*CA69, 0)</f>
        <v/>
      </c>
      <c r="CC69" s="14" t="n"/>
      <c r="CD69" s="15" t="n"/>
      <c r="CE69" s="16">
        <f>IFERROR(CC69*CD69, 0)</f>
        <v/>
      </c>
      <c r="CF69" s="14" t="n"/>
      <c r="CG69" s="15" t="n"/>
      <c r="CH69" s="16">
        <f>IFERROR(CF69*CG69, 0)</f>
        <v/>
      </c>
      <c r="CI69" s="14" t="n"/>
      <c r="CJ69" s="15" t="n"/>
      <c r="CK69" s="16">
        <f>IFERROR(CI69*CJ69, 0)</f>
        <v/>
      </c>
      <c r="CL69" s="14" t="n"/>
      <c r="CM69" s="15" t="n"/>
      <c r="CN69" s="16">
        <f>IFERROR(CL69*CM69, 0)</f>
        <v/>
      </c>
      <c r="CO69" s="14" t="n"/>
      <c r="CP69" s="15" t="n"/>
      <c r="CQ69" s="16">
        <f>IFERROR(CO69*CP69, 0)</f>
        <v/>
      </c>
      <c r="CR69" s="14" t="n"/>
      <c r="CS69" s="15" t="n"/>
      <c r="CT69" s="16">
        <f>IFERROR(CR69*CS69, 0)</f>
        <v/>
      </c>
      <c r="CU69" s="17">
        <f>IFERROR(SUM(F69,I69,L69,O69,R69,U69,X69,AA69,AD69,AG69,AJ69,AM69,AP69,AS69,AV69,AY69,BB69,BE69,BH69,BK69,BN69,BQ69,BT69,BW69,BZ69,CC69,CF69,CI69,CL69,CO69,CR69), 0)</f>
        <v/>
      </c>
      <c r="CV69" s="16">
        <f>IFERROR(AVERAGE(G69,J69,M69,P69,S69,V69,Y69,AB69,AE69,AH69,AK69,AN69,AQ69,AT69,AW69,AZ69,BC69,BF69,BI69,BL69,BO69,BR69,BU69,BX69,CA69,CD69,CG69,CJ69,CM69,CP69,CS69), 0)</f>
        <v/>
      </c>
      <c r="CW69" s="16">
        <f>CU69*CV69</f>
        <v/>
      </c>
    </row>
    <row r="70" ht="15.75" customHeight="1">
      <c r="A70" s="41" t="inlineStr">
        <is>
          <t>Pitillos</t>
        </is>
      </c>
      <c r="B70" s="41" t="inlineStr">
        <is>
          <t>Pqte</t>
        </is>
      </c>
      <c r="C70" s="42" t="n"/>
      <c r="D70" s="43" t="n"/>
      <c r="E70" s="78">
        <f>IFERROR(+C70*D70, 0)</f>
        <v/>
      </c>
      <c r="F70" s="14" t="n"/>
      <c r="G70" s="15" t="n"/>
      <c r="H70" s="16">
        <f>IFERROR(F70*G70, 0)</f>
        <v/>
      </c>
      <c r="I70" s="14" t="n">
        <v>1</v>
      </c>
      <c r="J70" s="15" t="n">
        <v>15100</v>
      </c>
      <c r="K70" s="16" t="n">
        <v>15100</v>
      </c>
      <c r="L70" s="14" t="n"/>
      <c r="M70" s="15" t="n"/>
      <c r="N70" s="16">
        <f>IFERROR(L70*M70, 0)</f>
        <v/>
      </c>
      <c r="O70" s="14" t="n"/>
      <c r="P70" s="15" t="n"/>
      <c r="Q70" s="16">
        <f>IFERROR(O70*P70, 0)</f>
        <v/>
      </c>
      <c r="R70" s="14" t="n"/>
      <c r="S70" s="15" t="n"/>
      <c r="T70" s="16">
        <f>IFERROR(R70*S70, 0)</f>
        <v/>
      </c>
      <c r="U70" s="14" t="n"/>
      <c r="V70" s="15" t="n"/>
      <c r="W70" s="16">
        <f>IFERROR(U70*V70, 0)</f>
        <v/>
      </c>
      <c r="X70" s="14" t="n"/>
      <c r="Y70" s="15" t="n"/>
      <c r="Z70" s="16">
        <f>IFERROR(X70*Y70, 0)</f>
        <v/>
      </c>
      <c r="AA70" s="14" t="n"/>
      <c r="AB70" s="15" t="n"/>
      <c r="AC70" s="16">
        <f>IFERROR(AA70*AB70, 0)</f>
        <v/>
      </c>
      <c r="AD70" s="14" t="n"/>
      <c r="AE70" s="15" t="n"/>
      <c r="AF70" s="16">
        <f>IFERROR(AD70*AE70, 0)</f>
        <v/>
      </c>
      <c r="AG70" s="14" t="n"/>
      <c r="AH70" s="15" t="n"/>
      <c r="AI70" s="16">
        <f>IFERROR(AG70*AH70, 0)</f>
        <v/>
      </c>
      <c r="AJ70" s="14" t="n"/>
      <c r="AK70" s="15" t="n"/>
      <c r="AL70" s="16">
        <f>IFERROR(AJ70*AK70, 0)</f>
        <v/>
      </c>
      <c r="AM70" s="14" t="n"/>
      <c r="AN70" s="15" t="n"/>
      <c r="AO70" s="16">
        <f>IFERROR(AM70*AN70, 0)</f>
        <v/>
      </c>
      <c r="AP70" s="14" t="n"/>
      <c r="AQ70" s="15" t="n"/>
      <c r="AR70" s="16">
        <f>IFERROR(AP70*AQ70, 0)</f>
        <v/>
      </c>
      <c r="AS70" s="14" t="n"/>
      <c r="AT70" s="15" t="n"/>
      <c r="AU70" s="16">
        <f>IFERROR(AS70*AT70, 0)</f>
        <v/>
      </c>
      <c r="AV70" s="14" t="n"/>
      <c r="AW70" s="15" t="n"/>
      <c r="AX70" s="16">
        <f>IFERROR(AV70*AW70, 0)</f>
        <v/>
      </c>
      <c r="AY70" s="14" t="n"/>
      <c r="AZ70" s="15" t="n"/>
      <c r="BA70" s="16">
        <f>IFERROR(AY70*AZ70, 0)</f>
        <v/>
      </c>
      <c r="BB70" s="14" t="n"/>
      <c r="BC70" s="15" t="n"/>
      <c r="BD70" s="16">
        <f>IFERROR(BB70*BC70, 0)</f>
        <v/>
      </c>
      <c r="BE70" s="14" t="n"/>
      <c r="BF70" s="15" t="n"/>
      <c r="BG70" s="16">
        <f>IFERROR(BE70*BF70, 0)</f>
        <v/>
      </c>
      <c r="BH70" s="14" t="n"/>
      <c r="BI70" s="15" t="n"/>
      <c r="BJ70" s="16">
        <f>IFERROR(BH70*BI70, 0)</f>
        <v/>
      </c>
      <c r="BK70" s="14" t="n"/>
      <c r="BL70" s="15" t="n"/>
      <c r="BM70" s="16">
        <f>IFERROR(BK70*BL70, 0)</f>
        <v/>
      </c>
      <c r="BN70" s="14" t="n"/>
      <c r="BO70" s="15" t="n"/>
      <c r="BP70" s="16">
        <f>IFERROR(BN70*BO70, 0)</f>
        <v/>
      </c>
      <c r="BQ70" s="14" t="n"/>
      <c r="BR70" s="15" t="n"/>
      <c r="BS70" s="16">
        <f>IFERROR(BQ70*BR70, 0)</f>
        <v/>
      </c>
      <c r="BT70" s="14" t="n"/>
      <c r="BU70" s="15" t="n"/>
      <c r="BV70" s="16">
        <f>IFERROR(BT70*BU70, 0)</f>
        <v/>
      </c>
      <c r="BW70" s="14" t="n"/>
      <c r="BX70" s="15" t="n"/>
      <c r="BY70" s="16">
        <f>IFERROR(BW70*BX70, 0)</f>
        <v/>
      </c>
      <c r="BZ70" s="14" t="n"/>
      <c r="CA70" s="15" t="n"/>
      <c r="CB70" s="16">
        <f>IFERROR(BZ70*CA70, 0)</f>
        <v/>
      </c>
      <c r="CC70" s="14" t="n"/>
      <c r="CD70" s="15" t="n"/>
      <c r="CE70" s="16">
        <f>IFERROR(CC70*CD70, 0)</f>
        <v/>
      </c>
      <c r="CF70" s="14" t="n"/>
      <c r="CG70" s="15" t="n"/>
      <c r="CH70" s="16">
        <f>IFERROR(CF70*CG70, 0)</f>
        <v/>
      </c>
      <c r="CI70" s="14" t="n"/>
      <c r="CJ70" s="15" t="n"/>
      <c r="CK70" s="16">
        <f>IFERROR(CI70*CJ70, 0)</f>
        <v/>
      </c>
      <c r="CL70" s="14" t="n"/>
      <c r="CM70" s="15" t="n"/>
      <c r="CN70" s="16">
        <f>IFERROR(CL70*CM70, 0)</f>
        <v/>
      </c>
      <c r="CO70" s="14" t="n"/>
      <c r="CP70" s="15" t="n"/>
      <c r="CQ70" s="16">
        <f>IFERROR(CO70*CP70, 0)</f>
        <v/>
      </c>
      <c r="CR70" s="14" t="n"/>
      <c r="CS70" s="15" t="n"/>
      <c r="CT70" s="16">
        <f>IFERROR(CR70*CS70, 0)</f>
        <v/>
      </c>
      <c r="CU70" s="17">
        <f>IFERROR(SUM(F70,I70,L70,O70,R70,U70,X70,AA70,AD70,AG70,AJ70,AM70,AP70,AS70,AV70,AY70,BB70,BE70,BH70,BK70,BN70,BQ70,BT70,BW70,BZ70,CC70,CF70,CI70,CL70,CO70,CR70), 0)</f>
        <v/>
      </c>
      <c r="CV70" s="16">
        <f>IFERROR(AVERAGE(G70,J70,M70,P70,S70,V70,Y70,AB70,AE70,AH70,AK70,AN70,AQ70,AT70,AW70,AZ70,BC70,BF70,BI70,BL70,BO70,BR70,BU70,BX70,CA70,CD70,CG70,CJ70,CM70,CP70,CS70), 0)</f>
        <v/>
      </c>
      <c r="CW70" s="16">
        <f>CU70*CV70</f>
        <v/>
      </c>
      <c r="CX70" s="81">
        <f>IFERROR(+DB70, 0)</f>
        <v/>
      </c>
    </row>
    <row r="71" ht="15.75" customHeight="1">
      <c r="A71" s="41" t="inlineStr">
        <is>
          <t>Porta comida c-1</t>
        </is>
      </c>
      <c r="B71" s="41" t="inlineStr">
        <is>
          <t>Pqte</t>
        </is>
      </c>
      <c r="C71" s="42" t="n"/>
      <c r="D71" s="43" t="n"/>
      <c r="E71" s="78">
        <f>IFERROR(+C71*D71, 0)</f>
        <v/>
      </c>
      <c r="F71" s="14" t="n"/>
      <c r="G71" s="15" t="n"/>
      <c r="H71" s="16">
        <f>IFERROR(F71*G71, 0)</f>
        <v/>
      </c>
      <c r="I71" s="14" t="n">
        <v>200</v>
      </c>
      <c r="J71" s="15" t="n">
        <v>270</v>
      </c>
      <c r="K71" s="16" t="n">
        <v>54000</v>
      </c>
      <c r="L71" s="14" t="n"/>
      <c r="M71" s="15" t="n"/>
      <c r="N71" s="16">
        <f>IFERROR(L71*M71, 0)</f>
        <v/>
      </c>
      <c r="O71" s="14" t="n"/>
      <c r="P71" s="15" t="n"/>
      <c r="Q71" s="16">
        <f>IFERROR(O71*P71, 0)</f>
        <v/>
      </c>
      <c r="R71" s="14" t="n"/>
      <c r="S71" s="15" t="n"/>
      <c r="T71" s="16">
        <f>IFERROR(R71*S71, 0)</f>
        <v/>
      </c>
      <c r="U71" s="14" t="n"/>
      <c r="V71" s="15" t="n"/>
      <c r="W71" s="16">
        <f>IFERROR(U71*V71, 0)</f>
        <v/>
      </c>
      <c r="X71" s="14" t="n">
        <v>200</v>
      </c>
      <c r="Y71" s="15" t="n">
        <v>270</v>
      </c>
      <c r="Z71" s="16" t="n">
        <v>54000</v>
      </c>
      <c r="AA71" s="14" t="n"/>
      <c r="AB71" s="15" t="n"/>
      <c r="AC71" s="16">
        <f>IFERROR(AA71*AB71, 0)</f>
        <v/>
      </c>
      <c r="AD71" s="14" t="n"/>
      <c r="AE71" s="15" t="n"/>
      <c r="AF71" s="16">
        <f>IFERROR(AD71*AE71, 0)</f>
        <v/>
      </c>
      <c r="AG71" s="14" t="n">
        <v>200</v>
      </c>
      <c r="AH71" s="15" t="n">
        <v>270</v>
      </c>
      <c r="AI71" s="16" t="n">
        <v>54000</v>
      </c>
      <c r="AJ71" s="14" t="n"/>
      <c r="AK71" s="15" t="n"/>
      <c r="AL71" s="16">
        <f>IFERROR(AJ71*AK71, 0)</f>
        <v/>
      </c>
      <c r="AM71" s="14" t="n"/>
      <c r="AN71" s="15" t="n"/>
      <c r="AO71" s="16">
        <f>IFERROR(AM71*AN71, 0)</f>
        <v/>
      </c>
      <c r="AP71" s="14" t="n"/>
      <c r="AQ71" s="15" t="n"/>
      <c r="AR71" s="16">
        <f>IFERROR(AP71*AQ71, 0)</f>
        <v/>
      </c>
      <c r="AS71" s="14" t="n"/>
      <c r="AT71" s="15" t="n"/>
      <c r="AU71" s="16">
        <f>IFERROR(AS71*AT71, 0)</f>
        <v/>
      </c>
      <c r="AV71" s="14" t="n"/>
      <c r="AW71" s="15" t="n"/>
      <c r="AX71" s="16">
        <f>IFERROR(AV71*AW71, 0)</f>
        <v/>
      </c>
      <c r="AY71" s="14" t="n"/>
      <c r="AZ71" s="15" t="n"/>
      <c r="BA71" s="16">
        <f>IFERROR(AY71*AZ71, 0)</f>
        <v/>
      </c>
      <c r="BB71" s="14" t="n"/>
      <c r="BC71" s="15" t="n"/>
      <c r="BD71" s="16">
        <f>IFERROR(BB71*BC71, 0)</f>
        <v/>
      </c>
      <c r="BE71" s="14" t="n">
        <v>200</v>
      </c>
      <c r="BF71" s="15" t="n">
        <v>270</v>
      </c>
      <c r="BG71" s="16" t="n">
        <v>54000</v>
      </c>
      <c r="BH71" s="14" t="n"/>
      <c r="BI71" s="15" t="n"/>
      <c r="BJ71" s="16">
        <f>IFERROR(BH71*BI71, 0)</f>
        <v/>
      </c>
      <c r="BK71" s="14" t="n"/>
      <c r="BL71" s="15" t="n"/>
      <c r="BM71" s="16">
        <f>IFERROR(BK71*BL71, 0)</f>
        <v/>
      </c>
      <c r="BN71" s="14" t="n"/>
      <c r="BO71" s="15" t="n"/>
      <c r="BP71" s="16">
        <f>IFERROR(BN71*BO71, 0)</f>
        <v/>
      </c>
      <c r="BQ71" s="14" t="n">
        <v>200</v>
      </c>
      <c r="BR71" s="15" t="n">
        <v>270</v>
      </c>
      <c r="BS71" s="16" t="n">
        <v>54000</v>
      </c>
      <c r="BT71" s="14" t="n"/>
      <c r="BU71" s="15" t="n"/>
      <c r="BV71" s="16">
        <f>IFERROR(BT71*BU71, 0)</f>
        <v/>
      </c>
      <c r="BW71" s="14" t="n"/>
      <c r="BX71" s="15" t="n"/>
      <c r="BY71" s="16">
        <f>IFERROR(BW71*BX71, 0)</f>
        <v/>
      </c>
      <c r="BZ71" s="14" t="n"/>
      <c r="CA71" s="15" t="n"/>
      <c r="CB71" s="16">
        <f>IFERROR(BZ71*CA71, 0)</f>
        <v/>
      </c>
      <c r="CC71" s="14" t="n"/>
      <c r="CD71" s="15" t="n"/>
      <c r="CE71" s="16">
        <f>IFERROR(CC71*CD71, 0)</f>
        <v/>
      </c>
      <c r="CF71" s="14" t="n"/>
      <c r="CG71" s="15" t="n"/>
      <c r="CH71" s="16">
        <f>IFERROR(CF71*CG71, 0)</f>
        <v/>
      </c>
      <c r="CI71" s="14" t="n"/>
      <c r="CJ71" s="15" t="n"/>
      <c r="CK71" s="16">
        <f>IFERROR(CI71*CJ71, 0)</f>
        <v/>
      </c>
      <c r="CL71" s="14" t="n"/>
      <c r="CM71" s="15" t="n"/>
      <c r="CN71" s="16">
        <f>IFERROR(CL71*CM71, 0)</f>
        <v/>
      </c>
      <c r="CO71" s="14" t="n"/>
      <c r="CP71" s="15" t="n"/>
      <c r="CQ71" s="16">
        <f>IFERROR(CO71*CP71, 0)</f>
        <v/>
      </c>
      <c r="CR71" s="14" t="n"/>
      <c r="CS71" s="15" t="n"/>
      <c r="CT71" s="16">
        <f>IFERROR(CR71*CS71, 0)</f>
        <v/>
      </c>
      <c r="CU71" s="17">
        <f>IFERROR(SUM(F71,I71,L71,O71,R71,U71,X71,AA71,AD71,AG71,AJ71,AM71,AP71,AS71,AV71,AY71,BB71,BE71,BH71,BK71,BN71,BQ71,BT71,BW71,BZ71,CC71,CF71,CI71,CL71,CO71,CR71), 0)</f>
        <v/>
      </c>
      <c r="CV71" s="16">
        <f>IFERROR(AVERAGE(G71,J71,M71,P71,S71,V71,Y71,AB71,AE71,AH71,AK71,AN71,AQ71,AT71,AW71,AZ71,BC71,BF71,BI71,BL71,BO71,BR71,BU71,BX71,CA71,CD71,CG71,CJ71,CM71,CP71,CS71), 0)</f>
        <v/>
      </c>
      <c r="CW71" s="16">
        <f>CU71*CV71</f>
        <v/>
      </c>
    </row>
    <row r="72" ht="15.75" customHeight="1">
      <c r="A72" s="41" t="inlineStr">
        <is>
          <t>Porta comida j-1</t>
        </is>
      </c>
      <c r="B72" s="41" t="inlineStr">
        <is>
          <t>Pqte</t>
        </is>
      </c>
      <c r="C72" s="42" t="n"/>
      <c r="D72" s="43" t="n"/>
      <c r="E72" s="78">
        <f>IFERROR(+C72*D72, 0)</f>
        <v/>
      </c>
      <c r="F72" s="14" t="n"/>
      <c r="G72" s="15" t="n"/>
      <c r="H72" s="16">
        <f>IFERROR(F72*G72, 0)</f>
        <v/>
      </c>
      <c r="I72" s="14" t="n">
        <v>200</v>
      </c>
      <c r="J72" s="15" t="n">
        <v>440</v>
      </c>
      <c r="K72" s="16" t="n">
        <v>88000</v>
      </c>
      <c r="L72" s="14" t="n"/>
      <c r="M72" s="15" t="n"/>
      <c r="N72" s="16">
        <f>IFERROR(L72*M72, 0)</f>
        <v/>
      </c>
      <c r="O72" s="14" t="n"/>
      <c r="P72" s="15" t="n"/>
      <c r="Q72" s="16">
        <f>IFERROR(O72*P72, 0)</f>
        <v/>
      </c>
      <c r="R72" s="14" t="n"/>
      <c r="S72" s="15" t="n"/>
      <c r="T72" s="16">
        <f>IFERROR(R72*S72, 0)</f>
        <v/>
      </c>
      <c r="U72" s="14" t="n"/>
      <c r="V72" s="15" t="n"/>
      <c r="W72" s="16">
        <f>IFERROR(U72*V72, 0)</f>
        <v/>
      </c>
      <c r="X72" s="14" t="n"/>
      <c r="Y72" s="15" t="n"/>
      <c r="Z72" s="16">
        <f>IFERROR(X72*Y72, 0)</f>
        <v/>
      </c>
      <c r="AA72" s="14" t="n"/>
      <c r="AB72" s="15" t="n"/>
      <c r="AC72" s="16">
        <f>IFERROR(AA72*AB72, 0)</f>
        <v/>
      </c>
      <c r="AD72" s="14" t="n"/>
      <c r="AE72" s="15" t="n"/>
      <c r="AF72" s="16">
        <f>IFERROR(AD72*AE72, 0)</f>
        <v/>
      </c>
      <c r="AG72" s="14" t="n">
        <v>200</v>
      </c>
      <c r="AH72" s="15" t="n">
        <v>440</v>
      </c>
      <c r="AI72" s="16" t="n">
        <v>88000</v>
      </c>
      <c r="AJ72" s="14" t="n"/>
      <c r="AK72" s="15" t="n"/>
      <c r="AL72" s="16">
        <f>IFERROR(AJ72*AK72, 0)</f>
        <v/>
      </c>
      <c r="AM72" s="14" t="n"/>
      <c r="AN72" s="15" t="n"/>
      <c r="AO72" s="16">
        <f>IFERROR(AM72*AN72, 0)</f>
        <v/>
      </c>
      <c r="AP72" s="14" t="n"/>
      <c r="AQ72" s="15" t="n"/>
      <c r="AR72" s="16">
        <f>IFERROR(AP72*AQ72, 0)</f>
        <v/>
      </c>
      <c r="AS72" s="14" t="n"/>
      <c r="AT72" s="15" t="n"/>
      <c r="AU72" s="16">
        <f>IFERROR(AS72*AT72, 0)</f>
        <v/>
      </c>
      <c r="AV72" s="14" t="n"/>
      <c r="AW72" s="15" t="n"/>
      <c r="AX72" s="16">
        <f>IFERROR(AV72*AW72, 0)</f>
        <v/>
      </c>
      <c r="AY72" s="14" t="n"/>
      <c r="AZ72" s="15" t="n"/>
      <c r="BA72" s="16">
        <f>IFERROR(AY72*AZ72, 0)</f>
        <v/>
      </c>
      <c r="BB72" s="14" t="n"/>
      <c r="BC72" s="15" t="n"/>
      <c r="BD72" s="16">
        <f>IFERROR(BB72*BC72, 0)</f>
        <v/>
      </c>
      <c r="BE72" s="14" t="n"/>
      <c r="BF72" s="15" t="n"/>
      <c r="BG72" s="16">
        <f>IFERROR(BE72*BF72, 0)</f>
        <v/>
      </c>
      <c r="BH72" s="14" t="n"/>
      <c r="BI72" s="15" t="n"/>
      <c r="BJ72" s="16">
        <f>IFERROR(BH72*BI72, 0)</f>
        <v/>
      </c>
      <c r="BK72" s="14" t="n"/>
      <c r="BL72" s="15" t="n"/>
      <c r="BM72" s="16">
        <f>IFERROR(BK72*BL72, 0)</f>
        <v/>
      </c>
      <c r="BN72" s="14" t="n"/>
      <c r="BO72" s="15" t="n"/>
      <c r="BP72" s="16">
        <f>IFERROR(BN72*BO72, 0)</f>
        <v/>
      </c>
      <c r="BQ72" s="14" t="n">
        <v>200</v>
      </c>
      <c r="BR72" s="15" t="n">
        <v>440</v>
      </c>
      <c r="BS72" s="16" t="n">
        <v>88000</v>
      </c>
      <c r="BT72" s="14" t="n"/>
      <c r="BU72" s="15" t="n"/>
      <c r="BV72" s="16">
        <f>IFERROR(BT72*BU72, 0)</f>
        <v/>
      </c>
      <c r="BW72" s="14" t="n"/>
      <c r="BX72" s="15" t="n"/>
      <c r="BY72" s="16">
        <f>IFERROR(BW72*BX72, 0)</f>
        <v/>
      </c>
      <c r="BZ72" s="14" t="n"/>
      <c r="CA72" s="15" t="n"/>
      <c r="CB72" s="16">
        <f>IFERROR(BZ72*CA72, 0)</f>
        <v/>
      </c>
      <c r="CC72" s="14" t="n"/>
      <c r="CD72" s="15" t="n"/>
      <c r="CE72" s="16">
        <f>IFERROR(CC72*CD72, 0)</f>
        <v/>
      </c>
      <c r="CF72" s="14" t="n"/>
      <c r="CG72" s="15" t="n"/>
      <c r="CH72" s="16">
        <f>IFERROR(CF72*CG72, 0)</f>
        <v/>
      </c>
      <c r="CI72" s="14" t="n"/>
      <c r="CJ72" s="15" t="n"/>
      <c r="CK72" s="16">
        <f>IFERROR(CI72*CJ72, 0)</f>
        <v/>
      </c>
      <c r="CL72" s="14" t="n"/>
      <c r="CM72" s="15" t="n"/>
      <c r="CN72" s="16">
        <f>IFERROR(CL72*CM72, 0)</f>
        <v/>
      </c>
      <c r="CO72" s="14" t="n"/>
      <c r="CP72" s="15" t="n"/>
      <c r="CQ72" s="16">
        <f>IFERROR(CO72*CP72, 0)</f>
        <v/>
      </c>
      <c r="CR72" s="14" t="n"/>
      <c r="CS72" s="15" t="n"/>
      <c r="CT72" s="16">
        <f>IFERROR(CR72*CS72, 0)</f>
        <v/>
      </c>
      <c r="CU72" s="17">
        <f>IFERROR(SUM(F72,I72,L72,O72,R72,U72,X72,AA72,AD72,AG72,AJ72,AM72,AP72,AS72,AV72,AY72,BB72,BE72,BH72,BK72,BN72,BQ72,BT72,BW72,BZ72,CC72,CF72,CI72,CL72,CO72,CR72), 0)</f>
        <v/>
      </c>
      <c r="CV72" s="16">
        <f>IFERROR(AVERAGE(G72,J72,M72,P72,S72,V72,Y72,AB72,AE72,AH72,AK72,AN72,AQ72,AT72,AW72,AZ72,BC72,BF72,BI72,BL72,BO72,BR72,BU72,BX72,CA72,CD72,CG72,CJ72,CM72,CP72,CS72), 0)</f>
        <v/>
      </c>
      <c r="CW72" s="16">
        <f>CU72*CV72</f>
        <v/>
      </c>
    </row>
    <row r="73" ht="15.75" customHeight="1">
      <c r="A73" s="41" t="inlineStr">
        <is>
          <t>Salsa mayonezax4000</t>
        </is>
      </c>
      <c r="B73" s="41" t="inlineStr">
        <is>
          <t>Pqte</t>
        </is>
      </c>
      <c r="C73" s="42" t="n"/>
      <c r="D73" s="43" t="n"/>
      <c r="E73" s="78">
        <f>IFERROR(+C73*D73, 0)</f>
        <v/>
      </c>
      <c r="F73" s="14" t="n"/>
      <c r="G73" s="15" t="n"/>
      <c r="H73" s="16">
        <f>IFERROR(F73*G73, 0)</f>
        <v/>
      </c>
      <c r="I73" s="14" t="n">
        <v>2</v>
      </c>
      <c r="J73" s="15" t="n">
        <v>30350</v>
      </c>
      <c r="K73" s="16" t="n">
        <v>60700</v>
      </c>
      <c r="L73" s="14" t="n"/>
      <c r="M73" s="15" t="n"/>
      <c r="N73" s="16">
        <f>IFERROR(L73*M73, 0)</f>
        <v/>
      </c>
      <c r="O73" s="14" t="n"/>
      <c r="P73" s="15" t="n"/>
      <c r="Q73" s="16">
        <f>IFERROR(O73*P73, 0)</f>
        <v/>
      </c>
      <c r="R73" s="14" t="n"/>
      <c r="S73" s="15" t="n"/>
      <c r="T73" s="16">
        <f>IFERROR(R73*S73, 0)</f>
        <v/>
      </c>
      <c r="U73" s="14" t="n"/>
      <c r="V73" s="15" t="n"/>
      <c r="W73" s="16">
        <f>IFERROR(U73*V73, 0)</f>
        <v/>
      </c>
      <c r="X73" s="14" t="n">
        <v>101</v>
      </c>
      <c r="Y73" s="15" t="n">
        <v>30350</v>
      </c>
      <c r="Z73" s="16" t="n">
        <v>125350</v>
      </c>
      <c r="AA73" s="14" t="n"/>
      <c r="AB73" s="15" t="n"/>
      <c r="AC73" s="16">
        <f>IFERROR(AA73*AB73, 0)</f>
        <v/>
      </c>
      <c r="AD73" s="14" t="n"/>
      <c r="AE73" s="15" t="n"/>
      <c r="AF73" s="16">
        <f>IFERROR(AD73*AE73, 0)</f>
        <v/>
      </c>
      <c r="AG73" s="14" t="n">
        <v>1</v>
      </c>
      <c r="AH73" s="15" t="n">
        <v>30350</v>
      </c>
      <c r="AI73" s="16" t="n">
        <v>30350</v>
      </c>
      <c r="AJ73" s="14" t="n"/>
      <c r="AK73" s="15" t="n"/>
      <c r="AL73" s="16">
        <f>IFERROR(AJ73*AK73, 0)</f>
        <v/>
      </c>
      <c r="AM73" s="14" t="n"/>
      <c r="AN73" s="15" t="n"/>
      <c r="AO73" s="16">
        <f>IFERROR(AM73*AN73, 0)</f>
        <v/>
      </c>
      <c r="AP73" s="14" t="n"/>
      <c r="AQ73" s="15" t="n"/>
      <c r="AR73" s="16">
        <f>IFERROR(AP73*AQ73, 0)</f>
        <v/>
      </c>
      <c r="AS73" s="14" t="n"/>
      <c r="AT73" s="15" t="n"/>
      <c r="AU73" s="16">
        <f>IFERROR(AS73*AT73, 0)</f>
        <v/>
      </c>
      <c r="AV73" s="14" t="n"/>
      <c r="AW73" s="15" t="n"/>
      <c r="AX73" s="16">
        <f>IFERROR(AV73*AW73, 0)</f>
        <v/>
      </c>
      <c r="AY73" s="14" t="n"/>
      <c r="AZ73" s="15" t="n"/>
      <c r="BA73" s="16">
        <f>IFERROR(AY73*AZ73, 0)</f>
        <v/>
      </c>
      <c r="BB73" s="14" t="n"/>
      <c r="BC73" s="15" t="n"/>
      <c r="BD73" s="16">
        <f>IFERROR(BB73*BC73, 0)</f>
        <v/>
      </c>
      <c r="BE73" s="14" t="n"/>
      <c r="BF73" s="15" t="n"/>
      <c r="BG73" s="16">
        <f>IFERROR(BE73*BF73, 0)</f>
        <v/>
      </c>
      <c r="BH73" s="14" t="n"/>
      <c r="BI73" s="15" t="n"/>
      <c r="BJ73" s="16">
        <f>IFERROR(BH73*BI73, 0)</f>
        <v/>
      </c>
      <c r="BK73" s="14" t="n"/>
      <c r="BL73" s="15" t="n"/>
      <c r="BM73" s="16">
        <f>IFERROR(BK73*BL73, 0)</f>
        <v/>
      </c>
      <c r="BN73" s="14" t="n"/>
      <c r="BO73" s="15" t="n"/>
      <c r="BP73" s="16">
        <f>IFERROR(BN73*BO73, 0)</f>
        <v/>
      </c>
      <c r="BQ73" s="14" t="n">
        <v>1</v>
      </c>
      <c r="BR73" s="15" t="n">
        <v>30350</v>
      </c>
      <c r="BS73" s="16" t="n">
        <v>30350</v>
      </c>
      <c r="BT73" s="14" t="n"/>
      <c r="BU73" s="15" t="n"/>
      <c r="BV73" s="16">
        <f>IFERROR(BT73*BU73, 0)</f>
        <v/>
      </c>
      <c r="BW73" s="14" t="n"/>
      <c r="BX73" s="15" t="n"/>
      <c r="BY73" s="16">
        <f>IFERROR(BW73*BX73, 0)</f>
        <v/>
      </c>
      <c r="BZ73" s="14" t="n"/>
      <c r="CA73" s="15" t="n"/>
      <c r="CB73" s="16">
        <f>IFERROR(BZ73*CA73, 0)</f>
        <v/>
      </c>
      <c r="CC73" s="14" t="n"/>
      <c r="CD73" s="15" t="n"/>
      <c r="CE73" s="16">
        <f>IFERROR(CC73*CD73, 0)</f>
        <v/>
      </c>
      <c r="CF73" s="14" t="n"/>
      <c r="CG73" s="15" t="n"/>
      <c r="CH73" s="16">
        <f>IFERROR(CF73*CG73, 0)</f>
        <v/>
      </c>
      <c r="CI73" s="14" t="n"/>
      <c r="CJ73" s="15" t="n"/>
      <c r="CK73" s="16">
        <f>IFERROR(CI73*CJ73, 0)</f>
        <v/>
      </c>
      <c r="CL73" s="14" t="n"/>
      <c r="CM73" s="15" t="n"/>
      <c r="CN73" s="16">
        <f>IFERROR(CL73*CM73, 0)</f>
        <v/>
      </c>
      <c r="CO73" s="14" t="n"/>
      <c r="CP73" s="15" t="n"/>
      <c r="CQ73" s="16">
        <f>IFERROR(CO73*CP73, 0)</f>
        <v/>
      </c>
      <c r="CR73" s="14" t="n"/>
      <c r="CS73" s="15" t="n"/>
      <c r="CT73" s="16">
        <f>IFERROR(CR73*CS73, 0)</f>
        <v/>
      </c>
      <c r="CU73" s="17">
        <f>IFERROR(SUM(F73,I73,L73,O73,R73,U73,X73,AA73,AD73,AG73,AJ73,AM73,AP73,AS73,AV73,AY73,BB73,BE73,BH73,BK73,BN73,BQ73,BT73,BW73,BZ73,CC73,CF73,CI73,CL73,CO73,CR73), 0)</f>
        <v/>
      </c>
      <c r="CV73" s="16">
        <f>IFERROR(AVERAGE(G73,J73,M73,P73,S73,V73,Y73,AB73,AE73,AH73,AK73,AN73,AQ73,AT73,AW73,AZ73,BC73,BF73,BI73,BL73,BO73,BR73,BU73,BX73,CA73,CD73,CG73,CJ73,CM73,CP73,CS73), 0)</f>
        <v/>
      </c>
      <c r="CW73" s="16">
        <f>CU73*CV73</f>
        <v/>
      </c>
    </row>
    <row r="74" ht="15.75" customHeight="1">
      <c r="A74" s="41" t="inlineStr">
        <is>
          <t>Porta comida j-2</t>
        </is>
      </c>
      <c r="B74" s="41" t="inlineStr">
        <is>
          <t>Pqte</t>
        </is>
      </c>
      <c r="C74" s="42" t="n"/>
      <c r="D74" s="43" t="n"/>
      <c r="E74" s="78">
        <f>IFERROR(+C74*D74, 0)</f>
        <v/>
      </c>
      <c r="F74" s="14" t="n"/>
      <c r="G74" s="15" t="n"/>
      <c r="H74" s="16">
        <f>IFERROR(F74*G74, 0)</f>
        <v/>
      </c>
      <c r="I74" s="14" t="n">
        <v>200</v>
      </c>
      <c r="J74" s="15" t="n">
        <v>440</v>
      </c>
      <c r="K74" s="16" t="n">
        <v>88000</v>
      </c>
      <c r="L74" s="14" t="n"/>
      <c r="M74" s="15" t="n"/>
      <c r="N74" s="16">
        <f>IFERROR(L74*M74, 0)</f>
        <v/>
      </c>
      <c r="O74" s="14" t="n"/>
      <c r="P74" s="15" t="n"/>
      <c r="Q74" s="16">
        <f>IFERROR(O74*P74, 0)</f>
        <v/>
      </c>
      <c r="R74" s="14" t="n"/>
      <c r="S74" s="15" t="n"/>
      <c r="T74" s="16">
        <f>IFERROR(R74*S74, 0)</f>
        <v/>
      </c>
      <c r="U74" s="14" t="n"/>
      <c r="V74" s="15" t="n"/>
      <c r="W74" s="16">
        <f>IFERROR(U74*V74, 0)</f>
        <v/>
      </c>
      <c r="X74" s="14" t="n">
        <v>600</v>
      </c>
      <c r="Y74" s="15" t="n">
        <v>440</v>
      </c>
      <c r="Z74" s="16" t="n">
        <v>264000</v>
      </c>
      <c r="AA74" s="14" t="n"/>
      <c r="AB74" s="15" t="n"/>
      <c r="AC74" s="16">
        <f>IFERROR(AA74*AB74, 0)</f>
        <v/>
      </c>
      <c r="AD74" s="14" t="n"/>
      <c r="AE74" s="15" t="n"/>
      <c r="AF74" s="16">
        <f>IFERROR(AD74*AE74, 0)</f>
        <v/>
      </c>
      <c r="AG74" s="14" t="n">
        <v>400</v>
      </c>
      <c r="AH74" s="15" t="n">
        <v>440</v>
      </c>
      <c r="AI74" s="16" t="n">
        <v>176000</v>
      </c>
      <c r="AJ74" s="14" t="n"/>
      <c r="AK74" s="15" t="n"/>
      <c r="AL74" s="16">
        <f>IFERROR(AJ74*AK74, 0)</f>
        <v/>
      </c>
      <c r="AM74" s="14" t="n"/>
      <c r="AN74" s="15" t="n"/>
      <c r="AO74" s="16">
        <f>IFERROR(AM74*AN74, 0)</f>
        <v/>
      </c>
      <c r="AP74" s="14" t="n"/>
      <c r="AQ74" s="15" t="n"/>
      <c r="AR74" s="16">
        <f>IFERROR(AP74*AQ74, 0)</f>
        <v/>
      </c>
      <c r="AS74" s="14" t="n"/>
      <c r="AT74" s="15" t="n"/>
      <c r="AU74" s="16">
        <f>IFERROR(AS74*AT74, 0)</f>
        <v/>
      </c>
      <c r="AV74" s="14" t="n"/>
      <c r="AW74" s="15" t="n"/>
      <c r="AX74" s="16">
        <f>IFERROR(AV74*AW74, 0)</f>
        <v/>
      </c>
      <c r="AY74" s="14" t="n"/>
      <c r="AZ74" s="15" t="n"/>
      <c r="BA74" s="16">
        <f>IFERROR(AY74*AZ74, 0)</f>
        <v/>
      </c>
      <c r="BB74" s="14" t="n"/>
      <c r="BC74" s="15" t="n"/>
      <c r="BD74" s="16">
        <f>IFERROR(BB74*BC74, 0)</f>
        <v/>
      </c>
      <c r="BE74" s="14" t="n">
        <v>400</v>
      </c>
      <c r="BF74" s="15" t="n">
        <v>440</v>
      </c>
      <c r="BG74" s="16" t="n">
        <v>176000</v>
      </c>
      <c r="BH74" s="14" t="n"/>
      <c r="BI74" s="15" t="n"/>
      <c r="BJ74" s="16">
        <f>IFERROR(BH74*BI74, 0)</f>
        <v/>
      </c>
      <c r="BK74" s="14" t="n"/>
      <c r="BL74" s="15" t="n"/>
      <c r="BM74" s="16">
        <f>IFERROR(BK74*BL74, 0)</f>
        <v/>
      </c>
      <c r="BN74" s="14" t="n"/>
      <c r="BO74" s="15" t="n"/>
      <c r="BP74" s="16">
        <f>IFERROR(BN74*BO74, 0)</f>
        <v/>
      </c>
      <c r="BQ74" s="14" t="n">
        <v>200</v>
      </c>
      <c r="BR74" s="15" t="n">
        <v>440</v>
      </c>
      <c r="BS74" s="16" t="n">
        <v>88000</v>
      </c>
      <c r="BT74" s="14" t="n"/>
      <c r="BU74" s="15" t="n"/>
      <c r="BV74" s="16">
        <f>IFERROR(BT74*BU74, 0)</f>
        <v/>
      </c>
      <c r="BW74" s="14" t="n"/>
      <c r="BX74" s="15" t="n"/>
      <c r="BY74" s="16">
        <f>IFERROR(BW74*BX74, 0)</f>
        <v/>
      </c>
      <c r="BZ74" s="14" t="n"/>
      <c r="CA74" s="15" t="n"/>
      <c r="CB74" s="16">
        <f>IFERROR(BZ74*CA74, 0)</f>
        <v/>
      </c>
      <c r="CC74" s="14" t="n"/>
      <c r="CD74" s="15" t="n"/>
      <c r="CE74" s="16">
        <f>IFERROR(CC74*CD74, 0)</f>
        <v/>
      </c>
      <c r="CF74" s="14" t="n"/>
      <c r="CG74" s="15" t="n"/>
      <c r="CH74" s="16">
        <f>IFERROR(CF74*CG74, 0)</f>
        <v/>
      </c>
      <c r="CI74" s="14" t="n"/>
      <c r="CJ74" s="15" t="n"/>
      <c r="CK74" s="16">
        <f>IFERROR(CI74*CJ74, 0)</f>
        <v/>
      </c>
      <c r="CL74" s="14" t="n"/>
      <c r="CM74" s="15" t="n"/>
      <c r="CN74" s="16">
        <f>IFERROR(CL74*CM74, 0)</f>
        <v/>
      </c>
      <c r="CO74" s="14" t="n"/>
      <c r="CP74" s="15" t="n"/>
      <c r="CQ74" s="16">
        <f>IFERROR(CO74*CP74, 0)</f>
        <v/>
      </c>
      <c r="CR74" s="14" t="n"/>
      <c r="CS74" s="15" t="n"/>
      <c r="CT74" s="16">
        <f>IFERROR(CR74*CS74, 0)</f>
        <v/>
      </c>
      <c r="CU74" s="17">
        <f>IFERROR(SUM(F74,I74,L74,O74,R74,U74,X74,AA74,AD74,AG74,AJ74,AM74,AP74,AS74,AV74,AY74,BB74,BE74,BH74,BK74,BN74,BQ74,BT74,BW74,BZ74,CC74,CF74,CI74,CL74,CO74,CR74), 0)</f>
        <v/>
      </c>
      <c r="CV74" s="16">
        <f>IFERROR(AVERAGE(G74,J74,M74,P74,S74,V74,Y74,AB74,AE74,AH74,AK74,AN74,AQ74,AT74,AW74,AZ74,BC74,BF74,BI74,BL74,BO74,BR74,BU74,BX74,CA74,CD74,CG74,CJ74,CM74,CP74,CS74), 0)</f>
        <v/>
      </c>
      <c r="CW74" s="16">
        <f>CU74*CV74</f>
        <v/>
      </c>
    </row>
    <row r="75" ht="15.75" customHeight="1">
      <c r="A75" s="41" t="inlineStr">
        <is>
          <t>Saleros</t>
        </is>
      </c>
      <c r="B75" s="41" t="inlineStr">
        <is>
          <t>Und</t>
        </is>
      </c>
      <c r="C75" s="42" t="n"/>
      <c r="D75" s="43" t="n"/>
      <c r="E75" s="78">
        <f>IFERROR(+C75*D75, 0)</f>
        <v/>
      </c>
      <c r="F75" s="14" t="n"/>
      <c r="G75" s="15" t="n"/>
      <c r="H75" s="16">
        <f>IFERROR(F75*G75, 0)</f>
        <v/>
      </c>
      <c r="I75" s="14" t="n"/>
      <c r="J75" s="15" t="n"/>
      <c r="K75" s="16">
        <f>IFERROR(I75*J75, 0)</f>
        <v/>
      </c>
      <c r="L75" s="14" t="n"/>
      <c r="M75" s="15" t="n"/>
      <c r="N75" s="16">
        <f>IFERROR(L75*M75, 0)</f>
        <v/>
      </c>
      <c r="O75" s="14" t="n"/>
      <c r="P75" s="15" t="n"/>
      <c r="Q75" s="16">
        <f>IFERROR(O75*P75, 0)</f>
        <v/>
      </c>
      <c r="R75" s="14" t="n"/>
      <c r="S75" s="15" t="n"/>
      <c r="T75" s="16">
        <f>IFERROR(R75*S75, 0)</f>
        <v/>
      </c>
      <c r="U75" s="14" t="n"/>
      <c r="V75" s="15" t="n"/>
      <c r="W75" s="16">
        <f>IFERROR(U75*V75, 0)</f>
        <v/>
      </c>
      <c r="X75" s="14" t="n"/>
      <c r="Y75" s="15" t="n"/>
      <c r="Z75" s="16">
        <f>IFERROR(X75*Y75, 0)</f>
        <v/>
      </c>
      <c r="AA75" s="14" t="n"/>
      <c r="AB75" s="15" t="n"/>
      <c r="AC75" s="16">
        <f>IFERROR(AA75*AB75, 0)</f>
        <v/>
      </c>
      <c r="AD75" s="14" t="n"/>
      <c r="AE75" s="15" t="n"/>
      <c r="AF75" s="16">
        <f>IFERROR(AD75*AE75, 0)</f>
        <v/>
      </c>
      <c r="AG75" s="14" t="n">
        <v>24</v>
      </c>
      <c r="AH75" s="15" t="n">
        <v>1400</v>
      </c>
      <c r="AI75" s="16" t="n">
        <v>33600</v>
      </c>
      <c r="AJ75" s="14" t="n"/>
      <c r="AK75" s="15" t="n"/>
      <c r="AL75" s="16">
        <f>IFERROR(AJ75*AK75, 0)</f>
        <v/>
      </c>
      <c r="AM75" s="14" t="n"/>
      <c r="AN75" s="15" t="n"/>
      <c r="AO75" s="16">
        <f>IFERROR(AM75*AN75, 0)</f>
        <v/>
      </c>
      <c r="AP75" s="14" t="n"/>
      <c r="AQ75" s="15" t="n"/>
      <c r="AR75" s="16">
        <f>IFERROR(AP75*AQ75, 0)</f>
        <v/>
      </c>
      <c r="AS75" s="14" t="n"/>
      <c r="AT75" s="15" t="n"/>
      <c r="AU75" s="16">
        <f>IFERROR(AS75*AT75, 0)</f>
        <v/>
      </c>
      <c r="AV75" s="14" t="n"/>
      <c r="AW75" s="15" t="n"/>
      <c r="AX75" s="16">
        <f>IFERROR(AV75*AW75, 0)</f>
        <v/>
      </c>
      <c r="AY75" s="14" t="n"/>
      <c r="AZ75" s="15" t="n"/>
      <c r="BA75" s="16">
        <f>IFERROR(AY75*AZ75, 0)</f>
        <v/>
      </c>
      <c r="BB75" s="14" t="n"/>
      <c r="BC75" s="15" t="n"/>
      <c r="BD75" s="16">
        <f>IFERROR(BB75*BC75, 0)</f>
        <v/>
      </c>
      <c r="BE75" s="14" t="n"/>
      <c r="BF75" s="15" t="n"/>
      <c r="BG75" s="16">
        <f>IFERROR(BE75*BF75, 0)</f>
        <v/>
      </c>
      <c r="BH75" s="14" t="n"/>
      <c r="BI75" s="15" t="n"/>
      <c r="BJ75" s="16">
        <f>IFERROR(BH75*BI75, 0)</f>
        <v/>
      </c>
      <c r="BK75" s="14" t="n"/>
      <c r="BL75" s="15" t="n"/>
      <c r="BM75" s="16">
        <f>IFERROR(BK75*BL75, 0)</f>
        <v/>
      </c>
      <c r="BN75" s="14" t="n"/>
      <c r="BO75" s="15" t="n"/>
      <c r="BP75" s="16">
        <f>IFERROR(BN75*BO75, 0)</f>
        <v/>
      </c>
      <c r="BQ75" s="14" t="n"/>
      <c r="BR75" s="15" t="n"/>
      <c r="BS75" s="16">
        <f>IFERROR(BQ75*BR75, 0)</f>
        <v/>
      </c>
      <c r="BT75" s="14" t="n"/>
      <c r="BU75" s="15" t="n"/>
      <c r="BV75" s="16">
        <f>IFERROR(BT75*BU75, 0)</f>
        <v/>
      </c>
      <c r="BW75" s="14" t="n"/>
      <c r="BX75" s="15" t="n"/>
      <c r="BY75" s="16">
        <f>IFERROR(BW75*BX75, 0)</f>
        <v/>
      </c>
      <c r="BZ75" s="14" t="n"/>
      <c r="CA75" s="15" t="n"/>
      <c r="CB75" s="16">
        <f>IFERROR(BZ75*CA75, 0)</f>
        <v/>
      </c>
      <c r="CC75" s="14" t="n"/>
      <c r="CD75" s="15" t="n"/>
      <c r="CE75" s="16">
        <f>IFERROR(CC75*CD75, 0)</f>
        <v/>
      </c>
      <c r="CF75" s="14" t="n"/>
      <c r="CG75" s="15" t="n"/>
      <c r="CH75" s="16">
        <f>IFERROR(CF75*CG75, 0)</f>
        <v/>
      </c>
      <c r="CI75" s="14" t="n"/>
      <c r="CJ75" s="15" t="n"/>
      <c r="CK75" s="16">
        <f>IFERROR(CI75*CJ75, 0)</f>
        <v/>
      </c>
      <c r="CL75" s="14" t="n"/>
      <c r="CM75" s="15" t="n"/>
      <c r="CN75" s="16">
        <f>IFERROR(CL75*CM75, 0)</f>
        <v/>
      </c>
      <c r="CO75" s="14" t="n"/>
      <c r="CP75" s="15" t="n"/>
      <c r="CQ75" s="16">
        <f>IFERROR(CO75*CP75, 0)</f>
        <v/>
      </c>
      <c r="CR75" s="14" t="n"/>
      <c r="CS75" s="15" t="n"/>
      <c r="CT75" s="16">
        <f>IFERROR(CR75*CS75, 0)</f>
        <v/>
      </c>
      <c r="CU75" s="17">
        <f>IFERROR(SUM(F75,I75,L75,O75,R75,U75,X75,AA75,AD75,AG75,AJ75,AM75,AP75,AS75,AV75,AY75,BB75,BE75,BH75,BK75,BN75,BQ75,BT75,BW75,BZ75,CC75,CF75,CI75,CL75,CO75,CR75), 0)</f>
        <v/>
      </c>
      <c r="CV75" s="16">
        <f>IFERROR(AVERAGE(G75,J75,M75,P75,S75,V75,Y75,AB75,AE75,AH75,AK75,AN75,AQ75,AT75,AW75,AZ75,BC75,BF75,BI75,BL75,BO75,BR75,BU75,BX75,CA75,CD75,CG75,CJ75,CM75,CP75,CS75), 0)</f>
        <v/>
      </c>
      <c r="CW75" s="16">
        <f>CU75*CV75</f>
        <v/>
      </c>
    </row>
    <row r="76" ht="15.75" customHeight="1">
      <c r="A76" s="41" t="inlineStr">
        <is>
          <t>Salsa negra</t>
        </is>
      </c>
      <c r="B76" s="41" t="inlineStr">
        <is>
          <t>Gal</t>
        </is>
      </c>
      <c r="C76" s="42" t="n"/>
      <c r="D76" s="43" t="n"/>
      <c r="E76" s="78">
        <f>IFERROR(+C76*D76, 0)</f>
        <v/>
      </c>
      <c r="F76" s="14" t="n"/>
      <c r="G76" s="15" t="n"/>
      <c r="H76" s="16">
        <f>IFERROR(F76*G76, 0)</f>
        <v/>
      </c>
      <c r="I76" s="14" t="n"/>
      <c r="J76" s="15" t="n"/>
      <c r="K76" s="16">
        <f>IFERROR(I76*J76, 0)</f>
        <v/>
      </c>
      <c r="L76" s="14" t="n"/>
      <c r="M76" s="15" t="n"/>
      <c r="N76" s="16">
        <f>IFERROR(L76*M76, 0)</f>
        <v/>
      </c>
      <c r="O76" s="14" t="n"/>
      <c r="P76" s="15" t="n"/>
      <c r="Q76" s="16">
        <f>IFERROR(O76*P76, 0)</f>
        <v/>
      </c>
      <c r="R76" s="14" t="n"/>
      <c r="S76" s="15" t="n"/>
      <c r="T76" s="16">
        <f>IFERROR(R76*S76, 0)</f>
        <v/>
      </c>
      <c r="U76" s="14" t="n"/>
      <c r="V76" s="15" t="n"/>
      <c r="W76" s="16">
        <f>IFERROR(U76*V76, 0)</f>
        <v/>
      </c>
      <c r="X76" s="14" t="n"/>
      <c r="Y76" s="15" t="n"/>
      <c r="Z76" s="16">
        <f>IFERROR(X76*Y76, 0)</f>
        <v/>
      </c>
      <c r="AA76" s="14" t="n"/>
      <c r="AB76" s="15" t="n"/>
      <c r="AC76" s="16">
        <f>IFERROR(AA76*AB76, 0)</f>
        <v/>
      </c>
      <c r="AD76" s="14" t="n"/>
      <c r="AE76" s="15" t="n"/>
      <c r="AF76" s="16">
        <f>IFERROR(AD76*AE76, 0)</f>
        <v/>
      </c>
      <c r="AG76" s="14" t="n"/>
      <c r="AH76" s="15" t="n"/>
      <c r="AI76" s="16">
        <f>IFERROR(AG76*AH76, 0)</f>
        <v/>
      </c>
      <c r="AJ76" s="14" t="n"/>
      <c r="AK76" s="15" t="n"/>
      <c r="AL76" s="16">
        <f>IFERROR(AJ76*AK76, 0)</f>
        <v/>
      </c>
      <c r="AM76" s="14" t="n"/>
      <c r="AN76" s="15" t="n"/>
      <c r="AO76" s="16">
        <f>IFERROR(AM76*AN76, 0)</f>
        <v/>
      </c>
      <c r="AP76" s="14" t="n"/>
      <c r="AQ76" s="15" t="n"/>
      <c r="AR76" s="16">
        <f>IFERROR(AP76*AQ76, 0)</f>
        <v/>
      </c>
      <c r="AS76" s="14" t="n"/>
      <c r="AT76" s="15" t="n"/>
      <c r="AU76" s="16">
        <f>IFERROR(AS76*AT76, 0)</f>
        <v/>
      </c>
      <c r="AV76" s="14" t="n"/>
      <c r="AW76" s="15" t="n"/>
      <c r="AX76" s="16">
        <f>IFERROR(AV76*AW76, 0)</f>
        <v/>
      </c>
      <c r="AY76" s="14" t="n"/>
      <c r="AZ76" s="15" t="n"/>
      <c r="BA76" s="16">
        <f>IFERROR(AY76*AZ76, 0)</f>
        <v/>
      </c>
      <c r="BB76" s="14" t="n"/>
      <c r="BC76" s="15" t="n"/>
      <c r="BD76" s="16">
        <f>IFERROR(BB76*BC76, 0)</f>
        <v/>
      </c>
      <c r="BE76" s="14" t="n"/>
      <c r="BF76" s="15" t="n"/>
      <c r="BG76" s="16">
        <f>IFERROR(BE76*BF76, 0)</f>
        <v/>
      </c>
      <c r="BH76" s="14" t="n"/>
      <c r="BI76" s="15" t="n"/>
      <c r="BJ76" s="16">
        <f>IFERROR(BH76*BI76, 0)</f>
        <v/>
      </c>
      <c r="BK76" s="14" t="n"/>
      <c r="BL76" s="15" t="n"/>
      <c r="BM76" s="16">
        <f>IFERROR(BK76*BL76, 0)</f>
        <v/>
      </c>
      <c r="BN76" s="14" t="n"/>
      <c r="BO76" s="15" t="n"/>
      <c r="BP76" s="16">
        <f>IFERROR(BN76*BO76, 0)</f>
        <v/>
      </c>
      <c r="BQ76" s="14" t="n"/>
      <c r="BR76" s="15" t="n"/>
      <c r="BS76" s="16">
        <f>IFERROR(BQ76*BR76, 0)</f>
        <v/>
      </c>
      <c r="BT76" s="14" t="n"/>
      <c r="BU76" s="15" t="n"/>
      <c r="BV76" s="16">
        <f>IFERROR(BT76*BU76, 0)</f>
        <v/>
      </c>
      <c r="BW76" s="14" t="n"/>
      <c r="BX76" s="15" t="n"/>
      <c r="BY76" s="16">
        <f>IFERROR(BW76*BX76, 0)</f>
        <v/>
      </c>
      <c r="BZ76" s="14" t="n"/>
      <c r="CA76" s="15" t="n"/>
      <c r="CB76" s="16">
        <f>IFERROR(BZ76*CA76, 0)</f>
        <v/>
      </c>
      <c r="CC76" s="14" t="n"/>
      <c r="CD76" s="15" t="n"/>
      <c r="CE76" s="16">
        <f>IFERROR(CC76*CD76, 0)</f>
        <v/>
      </c>
      <c r="CF76" s="14" t="n"/>
      <c r="CG76" s="15" t="n"/>
      <c r="CH76" s="16">
        <f>IFERROR(CF76*CG76, 0)</f>
        <v/>
      </c>
      <c r="CI76" s="14" t="n"/>
      <c r="CJ76" s="15" t="n"/>
      <c r="CK76" s="16">
        <f>IFERROR(CI76*CJ76, 0)</f>
        <v/>
      </c>
      <c r="CL76" s="14" t="n"/>
      <c r="CM76" s="15" t="n"/>
      <c r="CN76" s="16">
        <f>IFERROR(CL76*CM76, 0)</f>
        <v/>
      </c>
      <c r="CO76" s="14" t="n"/>
      <c r="CP76" s="15" t="n"/>
      <c r="CQ76" s="16">
        <f>IFERROR(CO76*CP76, 0)</f>
        <v/>
      </c>
      <c r="CR76" s="14" t="n"/>
      <c r="CS76" s="15" t="n"/>
      <c r="CT76" s="16">
        <f>IFERROR(CR76*CS76, 0)</f>
        <v/>
      </c>
      <c r="CU76" s="17">
        <f>IFERROR(SUM(F76,I76,L76,O76,R76,U76,X76,AA76,AD76,AG76,AJ76,AM76,AP76,AS76,AV76,AY76,BB76,BE76,BH76,BK76,BN76,BQ76,BT76,BW76,BZ76,CC76,CF76,CI76,CL76,CO76,CR76), 0)</f>
        <v/>
      </c>
      <c r="CV76" s="16">
        <f>IFERROR(AVERAGE(G76,J76,M76,P76,S76,V76,Y76,AB76,AE76,AH76,AK76,AN76,AQ76,AT76,AW76,AZ76,BC76,BF76,BI76,BL76,BO76,BR76,BU76,BX76,CA76,CD76,CG76,CJ76,CM76,CP76,CS76), 0)</f>
        <v/>
      </c>
      <c r="CW76" s="16">
        <f>CU76*CV76</f>
        <v/>
      </c>
    </row>
    <row r="77" ht="15.75" customHeight="1">
      <c r="A77" s="41" t="inlineStr">
        <is>
          <t>Salsa tomate x 4000</t>
        </is>
      </c>
      <c r="B77" s="41" t="inlineStr">
        <is>
          <t>Pqte</t>
        </is>
      </c>
      <c r="C77" s="42" t="n"/>
      <c r="D77" s="43" t="n"/>
      <c r="E77" s="78">
        <f>IFERROR(+C77*D77, 0)</f>
        <v/>
      </c>
      <c r="F77" s="14" t="n"/>
      <c r="G77" s="15" t="n"/>
      <c r="H77" s="16">
        <f>IFERROR(F77*G77, 0)</f>
        <v/>
      </c>
      <c r="I77" s="14" t="n"/>
      <c r="J77" s="15" t="n"/>
      <c r="K77" s="16">
        <f>IFERROR(I77*J77, 0)</f>
        <v/>
      </c>
      <c r="L77" s="14" t="n"/>
      <c r="M77" s="15" t="n"/>
      <c r="N77" s="16">
        <f>IFERROR(L77*M77, 0)</f>
        <v/>
      </c>
      <c r="O77" s="14" t="n"/>
      <c r="P77" s="15" t="n"/>
      <c r="Q77" s="16">
        <f>IFERROR(O77*P77, 0)</f>
        <v/>
      </c>
      <c r="R77" s="14" t="n"/>
      <c r="S77" s="15" t="n"/>
      <c r="T77" s="16">
        <f>IFERROR(R77*S77, 0)</f>
        <v/>
      </c>
      <c r="U77" s="14" t="n"/>
      <c r="V77" s="15" t="n"/>
      <c r="W77" s="16">
        <f>IFERROR(U77*V77, 0)</f>
        <v/>
      </c>
      <c r="X77" s="14" t="n"/>
      <c r="Y77" s="15" t="n"/>
      <c r="Z77" s="16">
        <f>IFERROR(X77*Y77, 0)</f>
        <v/>
      </c>
      <c r="AA77" s="14" t="n"/>
      <c r="AB77" s="15" t="n"/>
      <c r="AC77" s="16">
        <f>IFERROR(AA77*AB77, 0)</f>
        <v/>
      </c>
      <c r="AD77" s="14" t="n"/>
      <c r="AE77" s="15" t="n"/>
      <c r="AF77" s="16">
        <f>IFERROR(AD77*AE77, 0)</f>
        <v/>
      </c>
      <c r="AG77" s="14" t="n"/>
      <c r="AH77" s="15" t="n"/>
      <c r="AI77" s="16">
        <f>IFERROR(AG77*AH77, 0)</f>
        <v/>
      </c>
      <c r="AJ77" s="14" t="n"/>
      <c r="AK77" s="15" t="n"/>
      <c r="AL77" s="16">
        <f>IFERROR(AJ77*AK77, 0)</f>
        <v/>
      </c>
      <c r="AM77" s="14" t="n"/>
      <c r="AN77" s="15" t="n"/>
      <c r="AO77" s="16">
        <f>IFERROR(AM77*AN77, 0)</f>
        <v/>
      </c>
      <c r="AP77" s="14" t="n"/>
      <c r="AQ77" s="15" t="n"/>
      <c r="AR77" s="16">
        <f>IFERROR(AP77*AQ77, 0)</f>
        <v/>
      </c>
      <c r="AS77" s="14" t="n"/>
      <c r="AT77" s="15" t="n"/>
      <c r="AU77" s="16">
        <f>IFERROR(AS77*AT77, 0)</f>
        <v/>
      </c>
      <c r="AV77" s="14" t="n"/>
      <c r="AW77" s="15" t="n"/>
      <c r="AX77" s="16">
        <f>IFERROR(AV77*AW77, 0)</f>
        <v/>
      </c>
      <c r="AY77" s="14" t="n"/>
      <c r="AZ77" s="15" t="n"/>
      <c r="BA77" s="16">
        <f>IFERROR(AY77*AZ77, 0)</f>
        <v/>
      </c>
      <c r="BB77" s="14" t="n"/>
      <c r="BC77" s="15" t="n"/>
      <c r="BD77" s="16">
        <f>IFERROR(BB77*BC77, 0)</f>
        <v/>
      </c>
      <c r="BE77" s="14" t="n"/>
      <c r="BF77" s="15" t="n"/>
      <c r="BG77" s="16">
        <f>IFERROR(BE77*BF77, 0)</f>
        <v/>
      </c>
      <c r="BH77" s="14" t="n"/>
      <c r="BI77" s="15" t="n"/>
      <c r="BJ77" s="16">
        <f>IFERROR(BH77*BI77, 0)</f>
        <v/>
      </c>
      <c r="BK77" s="14" t="n"/>
      <c r="BL77" s="15" t="n"/>
      <c r="BM77" s="16">
        <f>IFERROR(BK77*BL77, 0)</f>
        <v/>
      </c>
      <c r="BN77" s="14" t="n"/>
      <c r="BO77" s="15" t="n"/>
      <c r="BP77" s="16">
        <f>IFERROR(BN77*BO77, 0)</f>
        <v/>
      </c>
      <c r="BQ77" s="14" t="n"/>
      <c r="BR77" s="15" t="n"/>
      <c r="BS77" s="16">
        <f>IFERROR(BQ77*BR77, 0)</f>
        <v/>
      </c>
      <c r="BT77" s="14" t="n"/>
      <c r="BU77" s="15" t="n"/>
      <c r="BV77" s="16">
        <f>IFERROR(BT77*BU77, 0)</f>
        <v/>
      </c>
      <c r="BW77" s="14" t="n"/>
      <c r="BX77" s="15" t="n"/>
      <c r="BY77" s="16">
        <f>IFERROR(BW77*BX77, 0)</f>
        <v/>
      </c>
      <c r="BZ77" s="14" t="n"/>
      <c r="CA77" s="15" t="n"/>
      <c r="CB77" s="16">
        <f>IFERROR(BZ77*CA77, 0)</f>
        <v/>
      </c>
      <c r="CC77" s="14" t="n"/>
      <c r="CD77" s="15" t="n"/>
      <c r="CE77" s="16">
        <f>IFERROR(CC77*CD77, 0)</f>
        <v/>
      </c>
      <c r="CF77" s="14" t="n"/>
      <c r="CG77" s="15" t="n"/>
      <c r="CH77" s="16">
        <f>IFERROR(CF77*CG77, 0)</f>
        <v/>
      </c>
      <c r="CI77" s="14" t="n"/>
      <c r="CJ77" s="15" t="n"/>
      <c r="CK77" s="16">
        <f>IFERROR(CI77*CJ77, 0)</f>
        <v/>
      </c>
      <c r="CL77" s="14" t="n"/>
      <c r="CM77" s="15" t="n"/>
      <c r="CN77" s="16">
        <f>IFERROR(CL77*CM77, 0)</f>
        <v/>
      </c>
      <c r="CO77" s="14" t="n"/>
      <c r="CP77" s="15" t="n"/>
      <c r="CQ77" s="16">
        <f>IFERROR(CO77*CP77, 0)</f>
        <v/>
      </c>
      <c r="CR77" s="14" t="n"/>
      <c r="CS77" s="15" t="n"/>
      <c r="CT77" s="16">
        <f>IFERROR(CR77*CS77, 0)</f>
        <v/>
      </c>
      <c r="CU77" s="17">
        <f>IFERROR(SUM(F77,I77,L77,O77,R77,U77,X77,AA77,AD77,AG77,AJ77,AM77,AP77,AS77,AV77,AY77,BB77,BE77,BH77,BK77,BN77,BQ77,BT77,BW77,BZ77,CC77,CF77,CI77,CL77,CO77,CR77), 0)</f>
        <v/>
      </c>
      <c r="CV77" s="16">
        <f>IFERROR(AVERAGE(G77,J77,M77,P77,S77,V77,Y77,AB77,AE77,AH77,AK77,AN77,AQ77,AT77,AW77,AZ77,BC77,BF77,BI77,BL77,BO77,BR77,BU77,BX77,CA77,CD77,CG77,CJ77,CM77,CP77,CS77), 0)</f>
        <v/>
      </c>
      <c r="CW77" s="16">
        <f>CU77*CV77</f>
        <v/>
      </c>
    </row>
    <row r="78" ht="15.75" customHeight="1">
      <c r="A78" s="41" t="inlineStr">
        <is>
          <t>Salsa bbq</t>
        </is>
      </c>
      <c r="B78" s="41" t="inlineStr">
        <is>
          <t>Pqte</t>
        </is>
      </c>
      <c r="C78" s="42" t="n"/>
      <c r="D78" s="51" t="n"/>
      <c r="E78" s="78">
        <f>IFERROR(+C78*D78, 0)</f>
        <v/>
      </c>
      <c r="F78" s="14" t="n"/>
      <c r="G78" s="15" t="n"/>
      <c r="H78" s="16">
        <f>IFERROR(F78*G78, 0)</f>
        <v/>
      </c>
      <c r="I78" s="14" t="n">
        <v>1</v>
      </c>
      <c r="J78" s="15" t="n">
        <v>30700</v>
      </c>
      <c r="K78" s="16" t="n">
        <v>30700</v>
      </c>
      <c r="L78" s="14" t="n"/>
      <c r="M78" s="15" t="n"/>
      <c r="N78" s="16">
        <f>IFERROR(L78*M78, 0)</f>
        <v/>
      </c>
      <c r="O78" s="14" t="n"/>
      <c r="P78" s="15" t="n"/>
      <c r="Q78" s="16">
        <f>IFERROR(O78*P78, 0)</f>
        <v/>
      </c>
      <c r="R78" s="14" t="n"/>
      <c r="S78" s="15" t="n"/>
      <c r="T78" s="16">
        <f>IFERROR(R78*S78, 0)</f>
        <v/>
      </c>
      <c r="U78" s="14" t="n"/>
      <c r="V78" s="15" t="n"/>
      <c r="W78" s="16">
        <f>IFERROR(U78*V78, 0)</f>
        <v/>
      </c>
      <c r="X78" s="14" t="n"/>
      <c r="Y78" s="15" t="n"/>
      <c r="Z78" s="16">
        <f>IFERROR(X78*Y78, 0)</f>
        <v/>
      </c>
      <c r="AA78" s="14" t="n"/>
      <c r="AB78" s="15" t="n"/>
      <c r="AC78" s="16">
        <f>IFERROR(AA78*AB78, 0)</f>
        <v/>
      </c>
      <c r="AD78" s="14" t="n"/>
      <c r="AE78" s="15" t="n"/>
      <c r="AF78" s="16">
        <f>IFERROR(AD78*AE78, 0)</f>
        <v/>
      </c>
      <c r="AG78" s="14" t="n"/>
      <c r="AH78" s="15" t="n"/>
      <c r="AI78" s="16">
        <f>IFERROR(AG78*AH78, 0)</f>
        <v/>
      </c>
      <c r="AJ78" s="14" t="n"/>
      <c r="AK78" s="15" t="n"/>
      <c r="AL78" s="16">
        <f>IFERROR(AJ78*AK78, 0)</f>
        <v/>
      </c>
      <c r="AM78" s="14" t="n"/>
      <c r="AN78" s="15" t="n"/>
      <c r="AO78" s="16">
        <f>IFERROR(AM78*AN78, 0)</f>
        <v/>
      </c>
      <c r="AP78" s="14" t="n"/>
      <c r="AQ78" s="15" t="n"/>
      <c r="AR78" s="16">
        <f>IFERROR(AP78*AQ78, 0)</f>
        <v/>
      </c>
      <c r="AS78" s="14" t="n"/>
      <c r="AT78" s="15" t="n"/>
      <c r="AU78" s="16">
        <f>IFERROR(AS78*AT78, 0)</f>
        <v/>
      </c>
      <c r="AV78" s="14" t="n"/>
      <c r="AW78" s="15" t="n"/>
      <c r="AX78" s="16">
        <f>IFERROR(AV78*AW78, 0)</f>
        <v/>
      </c>
      <c r="AY78" s="14" t="n"/>
      <c r="AZ78" s="15" t="n"/>
      <c r="BA78" s="16">
        <f>IFERROR(AY78*AZ78, 0)</f>
        <v/>
      </c>
      <c r="BB78" s="14" t="n"/>
      <c r="BC78" s="15" t="n"/>
      <c r="BD78" s="16">
        <f>IFERROR(BB78*BC78, 0)</f>
        <v/>
      </c>
      <c r="BE78" s="14" t="n"/>
      <c r="BF78" s="15" t="n"/>
      <c r="BG78" s="16">
        <f>IFERROR(BE78*BF78, 0)</f>
        <v/>
      </c>
      <c r="BH78" s="14" t="n"/>
      <c r="BI78" s="15" t="n"/>
      <c r="BJ78" s="16">
        <f>IFERROR(BH78*BI78, 0)</f>
        <v/>
      </c>
      <c r="BK78" s="14" t="n"/>
      <c r="BL78" s="15" t="n"/>
      <c r="BM78" s="16">
        <f>IFERROR(BK78*BL78, 0)</f>
        <v/>
      </c>
      <c r="BN78" s="14" t="n"/>
      <c r="BO78" s="15" t="n"/>
      <c r="BP78" s="16">
        <f>IFERROR(BN78*BO78, 0)</f>
        <v/>
      </c>
      <c r="BQ78" s="14" t="n">
        <v>1</v>
      </c>
      <c r="BR78" s="15" t="n">
        <v>30700</v>
      </c>
      <c r="BS78" s="16" t="n">
        <v>30700</v>
      </c>
      <c r="BT78" s="14" t="n"/>
      <c r="BU78" s="15" t="n"/>
      <c r="BV78" s="16">
        <f>IFERROR(BT78*BU78, 0)</f>
        <v/>
      </c>
      <c r="BW78" s="14" t="n"/>
      <c r="BX78" s="15" t="n"/>
      <c r="BY78" s="16">
        <f>IFERROR(BW78*BX78, 0)</f>
        <v/>
      </c>
      <c r="BZ78" s="14" t="n"/>
      <c r="CA78" s="15" t="n"/>
      <c r="CB78" s="16">
        <f>IFERROR(BZ78*CA78, 0)</f>
        <v/>
      </c>
      <c r="CC78" s="14" t="n"/>
      <c r="CD78" s="15" t="n"/>
      <c r="CE78" s="16">
        <f>IFERROR(CC78*CD78, 0)</f>
        <v/>
      </c>
      <c r="CF78" s="14" t="n"/>
      <c r="CG78" s="15" t="n"/>
      <c r="CH78" s="16">
        <f>IFERROR(CF78*CG78, 0)</f>
        <v/>
      </c>
      <c r="CI78" s="14" t="n"/>
      <c r="CJ78" s="15" t="n"/>
      <c r="CK78" s="16">
        <f>IFERROR(CI78*CJ78, 0)</f>
        <v/>
      </c>
      <c r="CL78" s="14" t="n"/>
      <c r="CM78" s="15" t="n"/>
      <c r="CN78" s="16">
        <f>IFERROR(CL78*CM78, 0)</f>
        <v/>
      </c>
      <c r="CO78" s="14" t="n"/>
      <c r="CP78" s="15" t="n"/>
      <c r="CQ78" s="16">
        <f>IFERROR(CO78*CP78, 0)</f>
        <v/>
      </c>
      <c r="CR78" s="14" t="n"/>
      <c r="CS78" s="15" t="n"/>
      <c r="CT78" s="16">
        <f>IFERROR(CR78*CS78, 0)</f>
        <v/>
      </c>
      <c r="CU78" s="17">
        <f>IFERROR(SUM(F78,I78,L78,O78,R78,U78,X78,AA78,AD78,AG78,AJ78,AM78,AP78,AS78,AV78,AY78,BB78,BE78,BH78,BK78,BN78,BQ78,BT78,BW78,BZ78,CC78,CF78,CI78,CL78,CO78,CR78), 0)</f>
        <v/>
      </c>
      <c r="CV78" s="16">
        <f>IFERROR(AVERAGE(G78,J78,M78,P78,S78,V78,Y78,AB78,AE78,AH78,AK78,AN78,AQ78,AT78,AW78,AZ78,BC78,BF78,BI78,BL78,BO78,BR78,BU78,BX78,CA78,CD78,CG78,CJ78,CM78,CP78,CS78), 0)</f>
        <v/>
      </c>
      <c r="CW78" s="16">
        <f>CU78*CV78</f>
        <v/>
      </c>
    </row>
    <row r="79" ht="15.75" customHeight="1">
      <c r="A79" s="41" t="inlineStr">
        <is>
          <t>Set de cubiertos</t>
        </is>
      </c>
      <c r="B79" s="41" t="inlineStr">
        <is>
          <t>Pqte</t>
        </is>
      </c>
      <c r="C79" s="42" t="n"/>
      <c r="D79" s="43" t="n"/>
      <c r="E79" s="78">
        <f>IFERROR(+C79*D79, 0)</f>
        <v/>
      </c>
      <c r="F79" s="14" t="n"/>
      <c r="G79" s="15" t="n"/>
      <c r="H79" s="16">
        <f>IFERROR(F79*G79, 0)</f>
        <v/>
      </c>
      <c r="I79" s="14" t="n"/>
      <c r="J79" s="15" t="n"/>
      <c r="K79" s="16">
        <f>IFERROR(I79*J79, 0)</f>
        <v/>
      </c>
      <c r="L79" s="14" t="n"/>
      <c r="M79" s="15" t="n"/>
      <c r="N79" s="16">
        <f>IFERROR(L79*M79, 0)</f>
        <v/>
      </c>
      <c r="O79" s="14" t="n"/>
      <c r="P79" s="15" t="n"/>
      <c r="Q79" s="16">
        <f>IFERROR(O79*P79, 0)</f>
        <v/>
      </c>
      <c r="R79" s="14" t="n"/>
      <c r="S79" s="15" t="n"/>
      <c r="T79" s="16">
        <f>IFERROR(R79*S79, 0)</f>
        <v/>
      </c>
      <c r="U79" s="14" t="n"/>
      <c r="V79" s="15" t="n"/>
      <c r="W79" s="16">
        <f>IFERROR(U79*V79, 0)</f>
        <v/>
      </c>
      <c r="X79" s="14" t="n"/>
      <c r="Y79" s="15" t="n"/>
      <c r="Z79" s="16">
        <f>IFERROR(X79*Y79, 0)</f>
        <v/>
      </c>
      <c r="AA79" s="14" t="n"/>
      <c r="AB79" s="15" t="n"/>
      <c r="AC79" s="16">
        <f>IFERROR(AA79*AB79, 0)</f>
        <v/>
      </c>
      <c r="AD79" s="14" t="n"/>
      <c r="AE79" s="15" t="n"/>
      <c r="AF79" s="16">
        <f>IFERROR(AD79*AE79, 0)</f>
        <v/>
      </c>
      <c r="AG79" s="14" t="n"/>
      <c r="AH79" s="15" t="n"/>
      <c r="AI79" s="16">
        <f>IFERROR(AG79*AH79, 0)</f>
        <v/>
      </c>
      <c r="AJ79" s="14" t="n"/>
      <c r="AK79" s="15" t="n"/>
      <c r="AL79" s="16">
        <f>IFERROR(AJ79*AK79, 0)</f>
        <v/>
      </c>
      <c r="AM79" s="14" t="n"/>
      <c r="AN79" s="15" t="n"/>
      <c r="AO79" s="16">
        <f>IFERROR(AM79*AN79, 0)</f>
        <v/>
      </c>
      <c r="AP79" s="14" t="n"/>
      <c r="AQ79" s="15" t="n"/>
      <c r="AR79" s="16">
        <f>IFERROR(AP79*AQ79, 0)</f>
        <v/>
      </c>
      <c r="AS79" s="14" t="n"/>
      <c r="AT79" s="15" t="n"/>
      <c r="AU79" s="16">
        <f>IFERROR(AS79*AT79, 0)</f>
        <v/>
      </c>
      <c r="AV79" s="14" t="n"/>
      <c r="AW79" s="15" t="n"/>
      <c r="AX79" s="16">
        <f>IFERROR(AV79*AW79, 0)</f>
        <v/>
      </c>
      <c r="AY79" s="14" t="n"/>
      <c r="AZ79" s="15" t="n"/>
      <c r="BA79" s="16">
        <f>IFERROR(AY79*AZ79, 0)</f>
        <v/>
      </c>
      <c r="BB79" s="14" t="n"/>
      <c r="BC79" s="15" t="n"/>
      <c r="BD79" s="16">
        <f>IFERROR(BB79*BC79, 0)</f>
        <v/>
      </c>
      <c r="BE79" s="14" t="n"/>
      <c r="BF79" s="15" t="n"/>
      <c r="BG79" s="16">
        <f>IFERROR(BE79*BF79, 0)</f>
        <v/>
      </c>
      <c r="BH79" s="14" t="n"/>
      <c r="BI79" s="15" t="n"/>
      <c r="BJ79" s="16">
        <f>IFERROR(BH79*BI79, 0)</f>
        <v/>
      </c>
      <c r="BK79" s="14" t="n"/>
      <c r="BL79" s="15" t="n"/>
      <c r="BM79" s="16">
        <f>IFERROR(BK79*BL79, 0)</f>
        <v/>
      </c>
      <c r="BN79" s="14" t="n"/>
      <c r="BO79" s="15" t="n"/>
      <c r="BP79" s="16">
        <f>IFERROR(BN79*BO79, 0)</f>
        <v/>
      </c>
      <c r="BQ79" s="14" t="n"/>
      <c r="BR79" s="15" t="n"/>
      <c r="BS79" s="16">
        <f>IFERROR(BQ79*BR79, 0)</f>
        <v/>
      </c>
      <c r="BT79" s="14" t="n"/>
      <c r="BU79" s="15" t="n"/>
      <c r="BV79" s="16">
        <f>IFERROR(BT79*BU79, 0)</f>
        <v/>
      </c>
      <c r="BW79" s="14" t="n"/>
      <c r="BX79" s="15" t="n"/>
      <c r="BY79" s="16">
        <f>IFERROR(BW79*BX79, 0)</f>
        <v/>
      </c>
      <c r="BZ79" s="14" t="n"/>
      <c r="CA79" s="15" t="n"/>
      <c r="CB79" s="16">
        <f>IFERROR(BZ79*CA79, 0)</f>
        <v/>
      </c>
      <c r="CC79" s="14" t="n"/>
      <c r="CD79" s="15" t="n"/>
      <c r="CE79" s="16">
        <f>IFERROR(CC79*CD79, 0)</f>
        <v/>
      </c>
      <c r="CF79" s="14" t="n"/>
      <c r="CG79" s="15" t="n"/>
      <c r="CH79" s="16">
        <f>IFERROR(CF79*CG79, 0)</f>
        <v/>
      </c>
      <c r="CI79" s="14" t="n"/>
      <c r="CJ79" s="15" t="n"/>
      <c r="CK79" s="16">
        <f>IFERROR(CI79*CJ79, 0)</f>
        <v/>
      </c>
      <c r="CL79" s="14" t="n"/>
      <c r="CM79" s="15" t="n"/>
      <c r="CN79" s="16">
        <f>IFERROR(CL79*CM79, 0)</f>
        <v/>
      </c>
      <c r="CO79" s="14" t="n"/>
      <c r="CP79" s="15" t="n"/>
      <c r="CQ79" s="16">
        <f>IFERROR(CO79*CP79, 0)</f>
        <v/>
      </c>
      <c r="CR79" s="14" t="n"/>
      <c r="CS79" s="15" t="n"/>
      <c r="CT79" s="16">
        <f>IFERROR(CR79*CS79, 0)</f>
        <v/>
      </c>
      <c r="CU79" s="17">
        <f>IFERROR(SUM(F79,I79,L79,O79,R79,U79,X79,AA79,AD79,AG79,AJ79,AM79,AP79,AS79,AV79,AY79,BB79,BE79,BH79,BK79,BN79,BQ79,BT79,BW79,BZ79,CC79,CF79,CI79,CL79,CO79,CR79), 0)</f>
        <v/>
      </c>
      <c r="CV79" s="16">
        <f>IFERROR(AVERAGE(G79,J79,M79,P79,S79,V79,Y79,AB79,AE79,AH79,AK79,AN79,AQ79,AT79,AW79,AZ79,BC79,BF79,BI79,BL79,BO79,BR79,BU79,BX79,CA79,CD79,CG79,CJ79,CM79,CP79,CS79), 0)</f>
        <v/>
      </c>
      <c r="CW79" s="16">
        <f>CU79*CV79</f>
        <v/>
      </c>
    </row>
    <row r="80" ht="15.75" customHeight="1">
      <c r="A80" s="41" t="inlineStr">
        <is>
          <t>Sopera 16 onz.</t>
        </is>
      </c>
      <c r="B80" s="41" t="inlineStr">
        <is>
          <t>Pqte</t>
        </is>
      </c>
      <c r="C80" s="42" t="n"/>
      <c r="D80" s="43" t="n"/>
      <c r="E80" s="78">
        <f>IFERROR(+C80*D80, 0)</f>
        <v/>
      </c>
      <c r="F80" s="14" t="n"/>
      <c r="G80" s="15" t="n"/>
      <c r="H80" s="16">
        <f>IFERROR(F80*G80, 0)</f>
        <v/>
      </c>
      <c r="I80" s="14" t="n"/>
      <c r="J80" s="15" t="n"/>
      <c r="K80" s="16">
        <f>IFERROR(I80*J80, 0)</f>
        <v/>
      </c>
      <c r="L80" s="14" t="n"/>
      <c r="M80" s="15" t="n"/>
      <c r="N80" s="16">
        <f>IFERROR(L80*M80, 0)</f>
        <v/>
      </c>
      <c r="O80" s="14" t="n"/>
      <c r="P80" s="15" t="n"/>
      <c r="Q80" s="16">
        <f>IFERROR(O80*P80, 0)</f>
        <v/>
      </c>
      <c r="R80" s="14" t="n"/>
      <c r="S80" s="15" t="n"/>
      <c r="T80" s="16">
        <f>IFERROR(R80*S80, 0)</f>
        <v/>
      </c>
      <c r="U80" s="14" t="n"/>
      <c r="V80" s="15" t="n"/>
      <c r="W80" s="16">
        <f>IFERROR(U80*V80, 0)</f>
        <v/>
      </c>
      <c r="X80" s="14" t="n"/>
      <c r="Y80" s="15" t="n"/>
      <c r="Z80" s="16">
        <f>IFERROR(X80*Y80, 0)</f>
        <v/>
      </c>
      <c r="AA80" s="14" t="n"/>
      <c r="AB80" s="15" t="n"/>
      <c r="AC80" s="16">
        <f>IFERROR(AA80*AB80, 0)</f>
        <v/>
      </c>
      <c r="AD80" s="14" t="n"/>
      <c r="AE80" s="15" t="n"/>
      <c r="AF80" s="16">
        <f>IFERROR(AD80*AE80, 0)</f>
        <v/>
      </c>
      <c r="AG80" s="14" t="n"/>
      <c r="AH80" s="15" t="n"/>
      <c r="AI80" s="16">
        <f>IFERROR(AG80*AH80, 0)</f>
        <v/>
      </c>
      <c r="AJ80" s="14" t="n"/>
      <c r="AK80" s="15" t="n"/>
      <c r="AL80" s="16">
        <f>IFERROR(AJ80*AK80, 0)</f>
        <v/>
      </c>
      <c r="AM80" s="14" t="n"/>
      <c r="AN80" s="15" t="n"/>
      <c r="AO80" s="16">
        <f>IFERROR(AM80*AN80, 0)</f>
        <v/>
      </c>
      <c r="AP80" s="14" t="n"/>
      <c r="AQ80" s="15" t="n"/>
      <c r="AR80" s="16">
        <f>IFERROR(AP80*AQ80, 0)</f>
        <v/>
      </c>
      <c r="AS80" s="14" t="n"/>
      <c r="AT80" s="15" t="n"/>
      <c r="AU80" s="16">
        <f>IFERROR(AS80*AT80, 0)</f>
        <v/>
      </c>
      <c r="AV80" s="14" t="n"/>
      <c r="AW80" s="15" t="n"/>
      <c r="AX80" s="16">
        <f>IFERROR(AV80*AW80, 0)</f>
        <v/>
      </c>
      <c r="AY80" s="14" t="n"/>
      <c r="AZ80" s="15" t="n"/>
      <c r="BA80" s="16">
        <f>IFERROR(AY80*AZ80, 0)</f>
        <v/>
      </c>
      <c r="BB80" s="14" t="n"/>
      <c r="BC80" s="15" t="n"/>
      <c r="BD80" s="16">
        <f>IFERROR(BB80*BC80, 0)</f>
        <v/>
      </c>
      <c r="BE80" s="14" t="n"/>
      <c r="BF80" s="15" t="n"/>
      <c r="BG80" s="16">
        <f>IFERROR(BE80*BF80, 0)</f>
        <v/>
      </c>
      <c r="BH80" s="14" t="n"/>
      <c r="BI80" s="15" t="n"/>
      <c r="BJ80" s="16">
        <f>IFERROR(BH80*BI80, 0)</f>
        <v/>
      </c>
      <c r="BK80" s="14" t="n"/>
      <c r="BL80" s="15" t="n"/>
      <c r="BM80" s="16">
        <f>IFERROR(BK80*BL80, 0)</f>
        <v/>
      </c>
      <c r="BN80" s="14" t="n"/>
      <c r="BO80" s="15" t="n"/>
      <c r="BP80" s="16">
        <f>IFERROR(BN80*BO80, 0)</f>
        <v/>
      </c>
      <c r="BQ80" s="14" t="n"/>
      <c r="BR80" s="15" t="n"/>
      <c r="BS80" s="16">
        <f>IFERROR(BQ80*BR80, 0)</f>
        <v/>
      </c>
      <c r="BT80" s="14" t="n"/>
      <c r="BU80" s="15" t="n"/>
      <c r="BV80" s="16">
        <f>IFERROR(BT80*BU80, 0)</f>
        <v/>
      </c>
      <c r="BW80" s="14" t="n"/>
      <c r="BX80" s="15" t="n"/>
      <c r="BY80" s="16">
        <f>IFERROR(BW80*BX80, 0)</f>
        <v/>
      </c>
      <c r="BZ80" s="14" t="n"/>
      <c r="CA80" s="15" t="n"/>
      <c r="CB80" s="16">
        <f>IFERROR(BZ80*CA80, 0)</f>
        <v/>
      </c>
      <c r="CC80" s="14" t="n"/>
      <c r="CD80" s="15" t="n"/>
      <c r="CE80" s="16">
        <f>IFERROR(CC80*CD80, 0)</f>
        <v/>
      </c>
      <c r="CF80" s="14" t="n"/>
      <c r="CG80" s="15" t="n"/>
      <c r="CH80" s="16">
        <f>IFERROR(CF80*CG80, 0)</f>
        <v/>
      </c>
      <c r="CI80" s="14" t="n"/>
      <c r="CJ80" s="15" t="n"/>
      <c r="CK80" s="16">
        <f>IFERROR(CI80*CJ80, 0)</f>
        <v/>
      </c>
      <c r="CL80" s="14" t="n"/>
      <c r="CM80" s="15" t="n"/>
      <c r="CN80" s="16">
        <f>IFERROR(CL80*CM80, 0)</f>
        <v/>
      </c>
      <c r="CO80" s="14" t="n"/>
      <c r="CP80" s="15" t="n"/>
      <c r="CQ80" s="16">
        <f>IFERROR(CO80*CP80, 0)</f>
        <v/>
      </c>
      <c r="CR80" s="14" t="n"/>
      <c r="CS80" s="15" t="n"/>
      <c r="CT80" s="16">
        <f>IFERROR(CR80*CS80, 0)</f>
        <v/>
      </c>
      <c r="CU80" s="17">
        <f>IFERROR(SUM(F80,I80,L80,O80,R80,U80,X80,AA80,AD80,AG80,AJ80,AM80,AP80,AS80,AV80,AY80,BB80,BE80,BH80,BK80,BN80,BQ80,BT80,BW80,BZ80,CC80,CF80,CI80,CL80,CO80,CR80), 0)</f>
        <v/>
      </c>
      <c r="CV80" s="16">
        <f>IFERROR(AVERAGE(G80,J80,M80,P80,S80,V80,Y80,AB80,AE80,AH80,AK80,AN80,AQ80,AT80,AW80,AZ80,BC80,BF80,BI80,BL80,BO80,BR80,BU80,BX80,CA80,CD80,CG80,CJ80,CM80,CP80,CS80), 0)</f>
        <v/>
      </c>
      <c r="CW80" s="16">
        <f>CU80*CV80</f>
        <v/>
      </c>
    </row>
    <row r="81" ht="15.75" customHeight="1">
      <c r="A81" s="41" t="inlineStr">
        <is>
          <t>Sopero # 12</t>
        </is>
      </c>
      <c r="B81" s="41" t="inlineStr">
        <is>
          <t>Pqte</t>
        </is>
      </c>
      <c r="C81" s="42" t="n"/>
      <c r="D81" s="43" t="n"/>
      <c r="E81" s="78">
        <f>IFERROR(+C81*D81, 0)</f>
        <v/>
      </c>
      <c r="F81" s="14" t="n"/>
      <c r="G81" s="15" t="n"/>
      <c r="H81" s="16">
        <f>IFERROR(F81*G81, 0)</f>
        <v/>
      </c>
      <c r="I81" s="14" t="n"/>
      <c r="J81" s="15" t="n"/>
      <c r="K81" s="16">
        <f>IFERROR(I81*J81, 0)</f>
        <v/>
      </c>
      <c r="L81" s="14" t="n"/>
      <c r="M81" s="15" t="n"/>
      <c r="N81" s="16">
        <f>IFERROR(L81*M81, 0)</f>
        <v/>
      </c>
      <c r="O81" s="14" t="n"/>
      <c r="P81" s="15" t="n"/>
      <c r="Q81" s="16">
        <f>IFERROR(O81*P81, 0)</f>
        <v/>
      </c>
      <c r="R81" s="14" t="n"/>
      <c r="S81" s="15" t="n"/>
      <c r="T81" s="16">
        <f>IFERROR(R81*S81, 0)</f>
        <v/>
      </c>
      <c r="U81" s="14" t="n"/>
      <c r="V81" s="15" t="n"/>
      <c r="W81" s="16">
        <f>IFERROR(U81*V81, 0)</f>
        <v/>
      </c>
      <c r="X81" s="14" t="n"/>
      <c r="Y81" s="15" t="n"/>
      <c r="Z81" s="16">
        <f>IFERROR(X81*Y81, 0)</f>
        <v/>
      </c>
      <c r="AA81" s="14" t="n"/>
      <c r="AB81" s="15" t="n"/>
      <c r="AC81" s="16">
        <f>IFERROR(AA81*AB81, 0)</f>
        <v/>
      </c>
      <c r="AD81" s="14" t="n"/>
      <c r="AE81" s="15" t="n"/>
      <c r="AF81" s="16">
        <f>IFERROR(AD81*AE81, 0)</f>
        <v/>
      </c>
      <c r="AG81" s="14" t="n"/>
      <c r="AH81" s="15" t="n"/>
      <c r="AI81" s="16">
        <f>IFERROR(AG81*AH81, 0)</f>
        <v/>
      </c>
      <c r="AJ81" s="14" t="n"/>
      <c r="AK81" s="15" t="n"/>
      <c r="AL81" s="16">
        <f>IFERROR(AJ81*AK81, 0)</f>
        <v/>
      </c>
      <c r="AM81" s="14" t="n"/>
      <c r="AN81" s="15" t="n"/>
      <c r="AO81" s="16">
        <f>IFERROR(AM81*AN81, 0)</f>
        <v/>
      </c>
      <c r="AP81" s="14" t="n"/>
      <c r="AQ81" s="15" t="n"/>
      <c r="AR81" s="16">
        <f>IFERROR(AP81*AQ81, 0)</f>
        <v/>
      </c>
      <c r="AS81" s="14" t="n"/>
      <c r="AT81" s="15" t="n"/>
      <c r="AU81" s="16">
        <f>IFERROR(AS81*AT81, 0)</f>
        <v/>
      </c>
      <c r="AV81" s="14" t="n"/>
      <c r="AW81" s="15" t="n"/>
      <c r="AX81" s="16">
        <f>IFERROR(AV81*AW81, 0)</f>
        <v/>
      </c>
      <c r="AY81" s="14" t="n"/>
      <c r="AZ81" s="15" t="n"/>
      <c r="BA81" s="16">
        <f>IFERROR(AY81*AZ81, 0)</f>
        <v/>
      </c>
      <c r="BB81" s="14" t="n"/>
      <c r="BC81" s="15" t="n"/>
      <c r="BD81" s="16">
        <f>IFERROR(BB81*BC81, 0)</f>
        <v/>
      </c>
      <c r="BE81" s="14" t="n"/>
      <c r="BF81" s="15" t="n"/>
      <c r="BG81" s="16">
        <f>IFERROR(BE81*BF81, 0)</f>
        <v/>
      </c>
      <c r="BH81" s="14" t="n"/>
      <c r="BI81" s="15" t="n"/>
      <c r="BJ81" s="16">
        <f>IFERROR(BH81*BI81, 0)</f>
        <v/>
      </c>
      <c r="BK81" s="14" t="n"/>
      <c r="BL81" s="15" t="n"/>
      <c r="BM81" s="16">
        <f>IFERROR(BK81*BL81, 0)</f>
        <v/>
      </c>
      <c r="BN81" s="14" t="n"/>
      <c r="BO81" s="15" t="n"/>
      <c r="BP81" s="16">
        <f>IFERROR(BN81*BO81, 0)</f>
        <v/>
      </c>
      <c r="BQ81" s="14" t="n"/>
      <c r="BR81" s="15" t="n"/>
      <c r="BS81" s="16">
        <f>IFERROR(BQ81*BR81, 0)</f>
        <v/>
      </c>
      <c r="BT81" s="14" t="n"/>
      <c r="BU81" s="15" t="n"/>
      <c r="BV81" s="16">
        <f>IFERROR(BT81*BU81, 0)</f>
        <v/>
      </c>
      <c r="BW81" s="14" t="n"/>
      <c r="BX81" s="15" t="n"/>
      <c r="BY81" s="16">
        <f>IFERROR(BW81*BX81, 0)</f>
        <v/>
      </c>
      <c r="BZ81" s="14" t="n"/>
      <c r="CA81" s="15" t="n"/>
      <c r="CB81" s="16">
        <f>IFERROR(BZ81*CA81, 0)</f>
        <v/>
      </c>
      <c r="CC81" s="14" t="n"/>
      <c r="CD81" s="15" t="n"/>
      <c r="CE81" s="16">
        <f>IFERROR(CC81*CD81, 0)</f>
        <v/>
      </c>
      <c r="CF81" s="14" t="n"/>
      <c r="CG81" s="15" t="n"/>
      <c r="CH81" s="16">
        <f>IFERROR(CF81*CG81, 0)</f>
        <v/>
      </c>
      <c r="CI81" s="14" t="n"/>
      <c r="CJ81" s="15" t="n"/>
      <c r="CK81" s="16">
        <f>IFERROR(CI81*CJ81, 0)</f>
        <v/>
      </c>
      <c r="CL81" s="14" t="n"/>
      <c r="CM81" s="15" t="n"/>
      <c r="CN81" s="16">
        <f>IFERROR(CL81*CM81, 0)</f>
        <v/>
      </c>
      <c r="CO81" s="14" t="n"/>
      <c r="CP81" s="15" t="n"/>
      <c r="CQ81" s="16">
        <f>IFERROR(CO81*CP81, 0)</f>
        <v/>
      </c>
      <c r="CR81" s="14" t="n"/>
      <c r="CS81" s="15" t="n"/>
      <c r="CT81" s="16">
        <f>IFERROR(CR81*CS81, 0)</f>
        <v/>
      </c>
      <c r="CU81" s="17">
        <f>IFERROR(SUM(F81,I81,L81,O81,R81,U81,X81,AA81,AD81,AG81,AJ81,AM81,AP81,AS81,AV81,AY81,BB81,BE81,BH81,BK81,BN81,BQ81,BT81,BW81,BZ81,CC81,CF81,CI81,CL81,CO81,CR81), 0)</f>
        <v/>
      </c>
      <c r="CV81" s="16">
        <f>IFERROR(AVERAGE(G81,J81,M81,P81,S81,V81,Y81,AB81,AE81,AH81,AK81,AN81,AQ81,AT81,AW81,AZ81,BC81,BF81,BI81,BL81,BO81,BR81,BU81,BX81,CA81,CD81,CG81,CJ81,CM81,CP81,CS81), 0)</f>
        <v/>
      </c>
      <c r="CW81" s="16">
        <f>CU81*CV81</f>
        <v/>
      </c>
    </row>
    <row r="82" ht="15.75" customHeight="1">
      <c r="A82" s="41" t="inlineStr">
        <is>
          <t>Sopero # 8</t>
        </is>
      </c>
      <c r="B82" s="41" t="inlineStr">
        <is>
          <t>Pqte</t>
        </is>
      </c>
      <c r="C82" s="42" t="n"/>
      <c r="D82" s="43" t="n"/>
      <c r="E82" s="78">
        <f>IFERROR(+C82*D82, 0)</f>
        <v/>
      </c>
      <c r="F82" s="14" t="n"/>
      <c r="G82" s="15" t="n"/>
      <c r="H82" s="16">
        <f>IFERROR(F82*G82, 0)</f>
        <v/>
      </c>
      <c r="I82" s="14" t="n"/>
      <c r="J82" s="15" t="n"/>
      <c r="K82" s="16">
        <f>IFERROR(I82*J82, 0)</f>
        <v/>
      </c>
      <c r="L82" s="14" t="n"/>
      <c r="M82" s="15" t="n"/>
      <c r="N82" s="16">
        <f>IFERROR(L82*M82, 0)</f>
        <v/>
      </c>
      <c r="O82" s="14" t="n"/>
      <c r="P82" s="15" t="n"/>
      <c r="Q82" s="16">
        <f>IFERROR(O82*P82, 0)</f>
        <v/>
      </c>
      <c r="R82" s="14" t="n"/>
      <c r="S82" s="15" t="n"/>
      <c r="T82" s="16">
        <f>IFERROR(R82*S82, 0)</f>
        <v/>
      </c>
      <c r="U82" s="14" t="n"/>
      <c r="V82" s="15" t="n"/>
      <c r="W82" s="16">
        <f>IFERROR(U82*V82, 0)</f>
        <v/>
      </c>
      <c r="X82" s="14" t="n"/>
      <c r="Y82" s="15" t="n"/>
      <c r="Z82" s="16">
        <f>IFERROR(X82*Y82, 0)</f>
        <v/>
      </c>
      <c r="AA82" s="14" t="n"/>
      <c r="AB82" s="15" t="n"/>
      <c r="AC82" s="16">
        <f>IFERROR(AA82*AB82, 0)</f>
        <v/>
      </c>
      <c r="AD82" s="14" t="n"/>
      <c r="AE82" s="15" t="n"/>
      <c r="AF82" s="16">
        <f>IFERROR(AD82*AE82, 0)</f>
        <v/>
      </c>
      <c r="AG82" s="14" t="n"/>
      <c r="AH82" s="15" t="n"/>
      <c r="AI82" s="16">
        <f>IFERROR(AG82*AH82, 0)</f>
        <v/>
      </c>
      <c r="AJ82" s="14" t="n"/>
      <c r="AK82" s="15" t="n"/>
      <c r="AL82" s="16">
        <f>IFERROR(AJ82*AK82, 0)</f>
        <v/>
      </c>
      <c r="AM82" s="14" t="n"/>
      <c r="AN82" s="15" t="n"/>
      <c r="AO82" s="16">
        <f>IFERROR(AM82*AN82, 0)</f>
        <v/>
      </c>
      <c r="AP82" s="14" t="n"/>
      <c r="AQ82" s="15" t="n"/>
      <c r="AR82" s="16">
        <f>IFERROR(AP82*AQ82, 0)</f>
        <v/>
      </c>
      <c r="AS82" s="14" t="n"/>
      <c r="AT82" s="15" t="n"/>
      <c r="AU82" s="16">
        <f>IFERROR(AS82*AT82, 0)</f>
        <v/>
      </c>
      <c r="AV82" s="14" t="n"/>
      <c r="AW82" s="15" t="n"/>
      <c r="AX82" s="16">
        <f>IFERROR(AV82*AW82, 0)</f>
        <v/>
      </c>
      <c r="AY82" s="14" t="n"/>
      <c r="AZ82" s="15" t="n"/>
      <c r="BA82" s="16">
        <f>IFERROR(AY82*AZ82, 0)</f>
        <v/>
      </c>
      <c r="BB82" s="14" t="n"/>
      <c r="BC82" s="15" t="n"/>
      <c r="BD82" s="16">
        <f>IFERROR(BB82*BC82, 0)</f>
        <v/>
      </c>
      <c r="BE82" s="14" t="n"/>
      <c r="BF82" s="15" t="n"/>
      <c r="BG82" s="16">
        <f>IFERROR(BE82*BF82, 0)</f>
        <v/>
      </c>
      <c r="BH82" s="14" t="n"/>
      <c r="BI82" s="15" t="n"/>
      <c r="BJ82" s="16">
        <f>IFERROR(BH82*BI82, 0)</f>
        <v/>
      </c>
      <c r="BK82" s="14" t="n"/>
      <c r="BL82" s="15" t="n"/>
      <c r="BM82" s="16">
        <f>IFERROR(BK82*BL82, 0)</f>
        <v/>
      </c>
      <c r="BN82" s="14" t="n"/>
      <c r="BO82" s="15" t="n"/>
      <c r="BP82" s="16">
        <f>IFERROR(BN82*BO82, 0)</f>
        <v/>
      </c>
      <c r="BQ82" s="14" t="n"/>
      <c r="BR82" s="15" t="n"/>
      <c r="BS82" s="16">
        <f>IFERROR(BQ82*BR82, 0)</f>
        <v/>
      </c>
      <c r="BT82" s="14" t="n"/>
      <c r="BU82" s="15" t="n"/>
      <c r="BV82" s="16">
        <f>IFERROR(BT82*BU82, 0)</f>
        <v/>
      </c>
      <c r="BW82" s="14" t="n"/>
      <c r="BX82" s="15" t="n"/>
      <c r="BY82" s="16">
        <f>IFERROR(BW82*BX82, 0)</f>
        <v/>
      </c>
      <c r="BZ82" s="14" t="n"/>
      <c r="CA82" s="15" t="n"/>
      <c r="CB82" s="16">
        <f>IFERROR(BZ82*CA82, 0)</f>
        <v/>
      </c>
      <c r="CC82" s="14" t="n"/>
      <c r="CD82" s="15" t="n"/>
      <c r="CE82" s="16">
        <f>IFERROR(CC82*CD82, 0)</f>
        <v/>
      </c>
      <c r="CF82" s="14" t="n"/>
      <c r="CG82" s="15" t="n"/>
      <c r="CH82" s="16">
        <f>IFERROR(CF82*CG82, 0)</f>
        <v/>
      </c>
      <c r="CI82" s="14" t="n"/>
      <c r="CJ82" s="15" t="n"/>
      <c r="CK82" s="16">
        <f>IFERROR(CI82*CJ82, 0)</f>
        <v/>
      </c>
      <c r="CL82" s="14" t="n"/>
      <c r="CM82" s="15" t="n"/>
      <c r="CN82" s="16">
        <f>IFERROR(CL82*CM82, 0)</f>
        <v/>
      </c>
      <c r="CO82" s="14" t="n"/>
      <c r="CP82" s="15" t="n"/>
      <c r="CQ82" s="16">
        <f>IFERROR(CO82*CP82, 0)</f>
        <v/>
      </c>
      <c r="CR82" s="14" t="n"/>
      <c r="CS82" s="15" t="n"/>
      <c r="CT82" s="16">
        <f>IFERROR(CR82*CS82, 0)</f>
        <v/>
      </c>
      <c r="CU82" s="17">
        <f>IFERROR(SUM(F82,I82,L82,O82,R82,U82,X82,AA82,AD82,AG82,AJ82,AM82,AP82,AS82,AV82,AY82,BB82,BE82,BH82,BK82,BN82,BQ82,BT82,BW82,BZ82,CC82,CF82,CI82,CL82,CO82,CR82), 0)</f>
        <v/>
      </c>
      <c r="CV82" s="16">
        <f>IFERROR(AVERAGE(G82,J82,M82,P82,S82,V82,Y82,AB82,AE82,AH82,AK82,AN82,AQ82,AT82,AW82,AZ82,BC82,BF82,BI82,BL82,BO82,BR82,BU82,BX82,CA82,CD82,CG82,CJ82,CM82,CP82,CS82), 0)</f>
        <v/>
      </c>
      <c r="CW82" s="16">
        <f>CU82*CV82</f>
        <v/>
      </c>
    </row>
    <row r="83" ht="15.75" customHeight="1">
      <c r="A83" s="41" t="inlineStr">
        <is>
          <t>Tapa 2 onz</t>
        </is>
      </c>
      <c r="B83" s="41" t="inlineStr">
        <is>
          <t>Pqte</t>
        </is>
      </c>
      <c r="C83" s="42" t="n"/>
      <c r="D83" s="43" t="n"/>
      <c r="E83" s="78">
        <f>IFERROR(+C83*D83, 0)</f>
        <v/>
      </c>
      <c r="F83" s="14" t="n"/>
      <c r="G83" s="15" t="n"/>
      <c r="H83" s="16">
        <f>IFERROR(F83*G83, 0)</f>
        <v/>
      </c>
      <c r="I83" s="14" t="n"/>
      <c r="J83" s="15" t="n"/>
      <c r="K83" s="16">
        <f>IFERROR(I83*J83, 0)</f>
        <v/>
      </c>
      <c r="L83" s="14" t="n"/>
      <c r="M83" s="15" t="n"/>
      <c r="N83" s="16">
        <f>IFERROR(L83*M83, 0)</f>
        <v/>
      </c>
      <c r="O83" s="14" t="n"/>
      <c r="P83" s="15" t="n"/>
      <c r="Q83" s="16">
        <f>IFERROR(O83*P83, 0)</f>
        <v/>
      </c>
      <c r="R83" s="14" t="n"/>
      <c r="S83" s="15" t="n"/>
      <c r="T83" s="16">
        <f>IFERROR(R83*S83, 0)</f>
        <v/>
      </c>
      <c r="U83" s="14" t="n"/>
      <c r="V83" s="15" t="n"/>
      <c r="W83" s="16">
        <f>IFERROR(U83*V83, 0)</f>
        <v/>
      </c>
      <c r="X83" s="14" t="n"/>
      <c r="Y83" s="15" t="n"/>
      <c r="Z83" s="16">
        <f>IFERROR(X83*Y83, 0)</f>
        <v/>
      </c>
      <c r="AA83" s="14" t="n"/>
      <c r="AB83" s="15" t="n"/>
      <c r="AC83" s="16">
        <f>IFERROR(AA83*AB83, 0)</f>
        <v/>
      </c>
      <c r="AD83" s="14" t="n"/>
      <c r="AE83" s="15" t="n"/>
      <c r="AF83" s="16">
        <f>IFERROR(AD83*AE83, 0)</f>
        <v/>
      </c>
      <c r="AG83" s="14" t="n"/>
      <c r="AH83" s="15" t="n"/>
      <c r="AI83" s="16">
        <f>IFERROR(AG83*AH83, 0)</f>
        <v/>
      </c>
      <c r="AJ83" s="14" t="n"/>
      <c r="AK83" s="15" t="n"/>
      <c r="AL83" s="16">
        <f>IFERROR(AJ83*AK83, 0)</f>
        <v/>
      </c>
      <c r="AM83" s="14" t="n"/>
      <c r="AN83" s="15" t="n"/>
      <c r="AO83" s="16">
        <f>IFERROR(AM83*AN83, 0)</f>
        <v/>
      </c>
      <c r="AP83" s="14" t="n"/>
      <c r="AQ83" s="15" t="n"/>
      <c r="AR83" s="16">
        <f>IFERROR(AP83*AQ83, 0)</f>
        <v/>
      </c>
      <c r="AS83" s="14" t="n"/>
      <c r="AT83" s="15" t="n"/>
      <c r="AU83" s="16">
        <f>IFERROR(AS83*AT83, 0)</f>
        <v/>
      </c>
      <c r="AV83" s="14" t="n"/>
      <c r="AW83" s="15" t="n"/>
      <c r="AX83" s="16">
        <f>IFERROR(AV83*AW83, 0)</f>
        <v/>
      </c>
      <c r="AY83" s="14" t="n"/>
      <c r="AZ83" s="15" t="n"/>
      <c r="BA83" s="16">
        <f>IFERROR(AY83*AZ83, 0)</f>
        <v/>
      </c>
      <c r="BB83" s="14" t="n"/>
      <c r="BC83" s="15" t="n"/>
      <c r="BD83" s="16">
        <f>IFERROR(BB83*BC83, 0)</f>
        <v/>
      </c>
      <c r="BE83" s="14" t="n"/>
      <c r="BF83" s="15" t="n"/>
      <c r="BG83" s="16">
        <f>IFERROR(BE83*BF83, 0)</f>
        <v/>
      </c>
      <c r="BH83" s="14" t="n"/>
      <c r="BI83" s="15" t="n"/>
      <c r="BJ83" s="16">
        <f>IFERROR(BH83*BI83, 0)</f>
        <v/>
      </c>
      <c r="BK83" s="14" t="n"/>
      <c r="BL83" s="15" t="n"/>
      <c r="BM83" s="16">
        <f>IFERROR(BK83*BL83, 0)</f>
        <v/>
      </c>
      <c r="BN83" s="14" t="n"/>
      <c r="BO83" s="15" t="n"/>
      <c r="BP83" s="16">
        <f>IFERROR(BN83*BO83, 0)</f>
        <v/>
      </c>
      <c r="BQ83" s="14" t="n"/>
      <c r="BR83" s="15" t="n"/>
      <c r="BS83" s="16">
        <f>IFERROR(BQ83*BR83, 0)</f>
        <v/>
      </c>
      <c r="BT83" s="14" t="n"/>
      <c r="BU83" s="15" t="n"/>
      <c r="BV83" s="16">
        <f>IFERROR(BT83*BU83, 0)</f>
        <v/>
      </c>
      <c r="BW83" s="14" t="n"/>
      <c r="BX83" s="15" t="n"/>
      <c r="BY83" s="16">
        <f>IFERROR(BW83*BX83, 0)</f>
        <v/>
      </c>
      <c r="BZ83" s="14" t="n"/>
      <c r="CA83" s="15" t="n"/>
      <c r="CB83" s="16">
        <f>IFERROR(BZ83*CA83, 0)</f>
        <v/>
      </c>
      <c r="CC83" s="14" t="n"/>
      <c r="CD83" s="15" t="n"/>
      <c r="CE83" s="16">
        <f>IFERROR(CC83*CD83, 0)</f>
        <v/>
      </c>
      <c r="CF83" s="14" t="n"/>
      <c r="CG83" s="15" t="n"/>
      <c r="CH83" s="16">
        <f>IFERROR(CF83*CG83, 0)</f>
        <v/>
      </c>
      <c r="CI83" s="14" t="n"/>
      <c r="CJ83" s="15" t="n"/>
      <c r="CK83" s="16">
        <f>IFERROR(CI83*CJ83, 0)</f>
        <v/>
      </c>
      <c r="CL83" s="14" t="n"/>
      <c r="CM83" s="15" t="n"/>
      <c r="CN83" s="16">
        <f>IFERROR(CL83*CM83, 0)</f>
        <v/>
      </c>
      <c r="CO83" s="14" t="n"/>
      <c r="CP83" s="15" t="n"/>
      <c r="CQ83" s="16">
        <f>IFERROR(CO83*CP83, 0)</f>
        <v/>
      </c>
      <c r="CR83" s="14" t="n"/>
      <c r="CS83" s="15" t="n"/>
      <c r="CT83" s="16">
        <f>IFERROR(CR83*CS83, 0)</f>
        <v/>
      </c>
      <c r="CU83" s="17">
        <f>IFERROR(SUM(F83,I83,L83,O83,R83,U83,X83,AA83,AD83,AG83,AJ83,AM83,AP83,AS83,AV83,AY83,BB83,BE83,BH83,BK83,BN83,BQ83,BT83,BW83,BZ83,CC83,CF83,CI83,CL83,CO83,CR83), 0)</f>
        <v/>
      </c>
      <c r="CV83" s="16">
        <f>IFERROR(AVERAGE(G83,J83,M83,P83,S83,V83,Y83,AB83,AE83,AH83,AK83,AN83,AQ83,AT83,AW83,AZ83,BC83,BF83,BI83,BL83,BO83,BR83,BU83,BX83,CA83,CD83,CG83,CJ83,CM83,CP83,CS83), 0)</f>
        <v/>
      </c>
      <c r="CW83" s="16">
        <f>CU83*CV83</f>
        <v/>
      </c>
    </row>
    <row r="84" ht="15.75" customHeight="1">
      <c r="A84" s="41" t="inlineStr">
        <is>
          <t>Tapa boca</t>
        </is>
      </c>
      <c r="B84" s="41" t="inlineStr">
        <is>
          <t>Caja</t>
        </is>
      </c>
      <c r="C84" s="42" t="n"/>
      <c r="D84" s="43" t="n"/>
      <c r="E84" s="78">
        <f>IFERROR(+C84*D84, 0)</f>
        <v/>
      </c>
      <c r="F84" s="14" t="n"/>
      <c r="G84" s="15" t="n"/>
      <c r="H84" s="16">
        <f>IFERROR(F84*G84, 0)</f>
        <v/>
      </c>
      <c r="I84" s="14" t="n"/>
      <c r="J84" s="15" t="n"/>
      <c r="K84" s="16">
        <f>IFERROR(I84*J84, 0)</f>
        <v/>
      </c>
      <c r="L84" s="14" t="n"/>
      <c r="M84" s="15" t="n"/>
      <c r="N84" s="16">
        <f>IFERROR(L84*M84, 0)</f>
        <v/>
      </c>
      <c r="O84" s="14" t="n"/>
      <c r="P84" s="15" t="n"/>
      <c r="Q84" s="16">
        <f>IFERROR(O84*P84, 0)</f>
        <v/>
      </c>
      <c r="R84" s="14" t="n"/>
      <c r="S84" s="15" t="n"/>
      <c r="T84" s="16">
        <f>IFERROR(R84*S84, 0)</f>
        <v/>
      </c>
      <c r="U84" s="14" t="n"/>
      <c r="V84" s="15" t="n"/>
      <c r="W84" s="16">
        <f>IFERROR(U84*V84, 0)</f>
        <v/>
      </c>
      <c r="X84" s="14" t="n"/>
      <c r="Y84" s="15" t="n"/>
      <c r="Z84" s="16">
        <f>IFERROR(X84*Y84, 0)</f>
        <v/>
      </c>
      <c r="AA84" s="14" t="n"/>
      <c r="AB84" s="15" t="n"/>
      <c r="AC84" s="16">
        <f>IFERROR(AA84*AB84, 0)</f>
        <v/>
      </c>
      <c r="AD84" s="14" t="n"/>
      <c r="AE84" s="15" t="n"/>
      <c r="AF84" s="16">
        <f>IFERROR(AD84*AE84, 0)</f>
        <v/>
      </c>
      <c r="AG84" s="14" t="n"/>
      <c r="AH84" s="15" t="n"/>
      <c r="AI84" s="16">
        <f>IFERROR(AG84*AH84, 0)</f>
        <v/>
      </c>
      <c r="AJ84" s="14" t="n"/>
      <c r="AK84" s="15" t="n"/>
      <c r="AL84" s="16">
        <f>IFERROR(AJ84*AK84, 0)</f>
        <v/>
      </c>
      <c r="AM84" s="14" t="n"/>
      <c r="AN84" s="15" t="n"/>
      <c r="AO84" s="16">
        <f>IFERROR(AM84*AN84, 0)</f>
        <v/>
      </c>
      <c r="AP84" s="14" t="n"/>
      <c r="AQ84" s="15" t="n"/>
      <c r="AR84" s="16">
        <f>IFERROR(AP84*AQ84, 0)</f>
        <v/>
      </c>
      <c r="AS84" s="14" t="n"/>
      <c r="AT84" s="15" t="n"/>
      <c r="AU84" s="16">
        <f>IFERROR(AS84*AT84, 0)</f>
        <v/>
      </c>
      <c r="AV84" s="14" t="n"/>
      <c r="AW84" s="15" t="n"/>
      <c r="AX84" s="16">
        <f>IFERROR(AV84*AW84, 0)</f>
        <v/>
      </c>
      <c r="AY84" s="14" t="n"/>
      <c r="AZ84" s="15" t="n"/>
      <c r="BA84" s="16">
        <f>IFERROR(AY84*AZ84, 0)</f>
        <v/>
      </c>
      <c r="BB84" s="14" t="n"/>
      <c r="BC84" s="15" t="n"/>
      <c r="BD84" s="16">
        <f>IFERROR(BB84*BC84, 0)</f>
        <v/>
      </c>
      <c r="BE84" s="14" t="n"/>
      <c r="BF84" s="15" t="n"/>
      <c r="BG84" s="16">
        <f>IFERROR(BE84*BF84, 0)</f>
        <v/>
      </c>
      <c r="BH84" s="14" t="n"/>
      <c r="BI84" s="15" t="n"/>
      <c r="BJ84" s="16">
        <f>IFERROR(BH84*BI84, 0)</f>
        <v/>
      </c>
      <c r="BK84" s="14" t="n"/>
      <c r="BL84" s="15" t="n"/>
      <c r="BM84" s="16">
        <f>IFERROR(BK84*BL84, 0)</f>
        <v/>
      </c>
      <c r="BN84" s="14" t="n"/>
      <c r="BO84" s="15" t="n"/>
      <c r="BP84" s="16">
        <f>IFERROR(BN84*BO84, 0)</f>
        <v/>
      </c>
      <c r="BQ84" s="14" t="n">
        <v>1</v>
      </c>
      <c r="BR84" s="15" t="n">
        <v>8200</v>
      </c>
      <c r="BS84" s="16" t="n">
        <v>8200</v>
      </c>
      <c r="BT84" s="14" t="n"/>
      <c r="BU84" s="15" t="n"/>
      <c r="BV84" s="16">
        <f>IFERROR(BT84*BU84, 0)</f>
        <v/>
      </c>
      <c r="BW84" s="14" t="n"/>
      <c r="BX84" s="15" t="n"/>
      <c r="BY84" s="16">
        <f>IFERROR(BW84*BX84, 0)</f>
        <v/>
      </c>
      <c r="BZ84" s="14" t="n"/>
      <c r="CA84" s="15" t="n"/>
      <c r="CB84" s="16">
        <f>IFERROR(BZ84*CA84, 0)</f>
        <v/>
      </c>
      <c r="CC84" s="14" t="n"/>
      <c r="CD84" s="15" t="n"/>
      <c r="CE84" s="16">
        <f>IFERROR(CC84*CD84, 0)</f>
        <v/>
      </c>
      <c r="CF84" s="14" t="n"/>
      <c r="CG84" s="15" t="n"/>
      <c r="CH84" s="16">
        <f>IFERROR(CF84*CG84, 0)</f>
        <v/>
      </c>
      <c r="CI84" s="14" t="n"/>
      <c r="CJ84" s="15" t="n"/>
      <c r="CK84" s="16">
        <f>IFERROR(CI84*CJ84, 0)</f>
        <v/>
      </c>
      <c r="CL84" s="14" t="n"/>
      <c r="CM84" s="15" t="n"/>
      <c r="CN84" s="16">
        <f>IFERROR(CL84*CM84, 0)</f>
        <v/>
      </c>
      <c r="CO84" s="14" t="n"/>
      <c r="CP84" s="15" t="n"/>
      <c r="CQ84" s="16">
        <f>IFERROR(CO84*CP84, 0)</f>
        <v/>
      </c>
      <c r="CR84" s="14" t="n"/>
      <c r="CS84" s="15" t="n"/>
      <c r="CT84" s="16">
        <f>IFERROR(CR84*CS84, 0)</f>
        <v/>
      </c>
      <c r="CU84" s="17">
        <f>IFERROR(SUM(F84,I84,L84,O84,R84,U84,X84,AA84,AD84,AG84,AJ84,AM84,AP84,AS84,AV84,AY84,BB84,BE84,BH84,BK84,BN84,BQ84,BT84,BW84,BZ84,CC84,CF84,CI84,CL84,CO84,CR84), 0)</f>
        <v/>
      </c>
      <c r="CV84" s="16">
        <f>IFERROR(AVERAGE(G84,J84,M84,P84,S84,V84,Y84,AB84,AE84,AH84,AK84,AN84,AQ84,AT84,AW84,AZ84,BC84,BF84,BI84,BL84,BO84,BR84,BU84,BX84,CA84,CD84,CG84,CJ84,CM84,CP84,CS84), 0)</f>
        <v/>
      </c>
      <c r="CW84" s="16">
        <f>CU84*CV84</f>
        <v/>
      </c>
    </row>
    <row r="85" ht="15.75" customHeight="1">
      <c r="A85" s="41" t="inlineStr">
        <is>
          <t>Salsa mayoneza differ 1 kl</t>
        </is>
      </c>
      <c r="B85" s="41" t="inlineStr">
        <is>
          <t>Und</t>
        </is>
      </c>
      <c r="C85" s="42" t="n"/>
      <c r="D85" s="43" t="n"/>
      <c r="E85" s="78">
        <f>IFERROR(+C85*D85, 0)</f>
        <v/>
      </c>
      <c r="F85" s="14" t="n"/>
      <c r="G85" s="15" t="n"/>
      <c r="H85" s="16">
        <f>IFERROR(F85*G85, 0)</f>
        <v/>
      </c>
      <c r="I85" s="14" t="n"/>
      <c r="J85" s="15" t="n"/>
      <c r="K85" s="16">
        <f>IFERROR(I85*J85, 0)</f>
        <v/>
      </c>
      <c r="L85" s="14" t="n"/>
      <c r="M85" s="15" t="n"/>
      <c r="N85" s="16">
        <f>IFERROR(L85*M85, 0)</f>
        <v/>
      </c>
      <c r="O85" s="14" t="n"/>
      <c r="P85" s="15" t="n"/>
      <c r="Q85" s="16">
        <f>IFERROR(O85*P85, 0)</f>
        <v/>
      </c>
      <c r="R85" s="14" t="n"/>
      <c r="S85" s="15" t="n"/>
      <c r="T85" s="16">
        <f>IFERROR(R85*S85, 0)</f>
        <v/>
      </c>
      <c r="U85" s="14" t="n"/>
      <c r="V85" s="15" t="n"/>
      <c r="W85" s="16">
        <f>IFERROR(U85*V85, 0)</f>
        <v/>
      </c>
      <c r="X85" s="14" t="n"/>
      <c r="Y85" s="15" t="n"/>
      <c r="Z85" s="16">
        <f>IFERROR(X85*Y85, 0)</f>
        <v/>
      </c>
      <c r="AA85" s="14" t="n"/>
      <c r="AB85" s="15" t="n"/>
      <c r="AC85" s="16">
        <f>IFERROR(AA85*AB85, 0)</f>
        <v/>
      </c>
      <c r="AD85" s="14" t="n"/>
      <c r="AE85" s="15" t="n"/>
      <c r="AF85" s="16">
        <f>IFERROR(AD85*AE85, 0)</f>
        <v/>
      </c>
      <c r="AG85" s="14" t="n"/>
      <c r="AH85" s="15" t="n"/>
      <c r="AI85" s="16">
        <f>IFERROR(AG85*AH85, 0)</f>
        <v/>
      </c>
      <c r="AJ85" s="14" t="n"/>
      <c r="AK85" s="15" t="n"/>
      <c r="AL85" s="16">
        <f>IFERROR(AJ85*AK85, 0)</f>
        <v/>
      </c>
      <c r="AM85" s="14" t="n"/>
      <c r="AN85" s="15" t="n"/>
      <c r="AO85" s="16">
        <f>IFERROR(AM85*AN85, 0)</f>
        <v/>
      </c>
      <c r="AP85" s="14" t="n"/>
      <c r="AQ85" s="15" t="n"/>
      <c r="AR85" s="16">
        <f>IFERROR(AP85*AQ85, 0)</f>
        <v/>
      </c>
      <c r="AS85" s="14" t="n"/>
      <c r="AT85" s="15" t="n"/>
      <c r="AU85" s="16">
        <f>IFERROR(AS85*AT85, 0)</f>
        <v/>
      </c>
      <c r="AV85" s="14" t="n"/>
      <c r="AW85" s="15" t="n"/>
      <c r="AX85" s="16">
        <f>IFERROR(AV85*AW85, 0)</f>
        <v/>
      </c>
      <c r="AY85" s="14" t="n"/>
      <c r="AZ85" s="15" t="n"/>
      <c r="BA85" s="16">
        <f>IFERROR(AY85*AZ85, 0)</f>
        <v/>
      </c>
      <c r="BB85" s="14" t="n"/>
      <c r="BC85" s="15" t="n"/>
      <c r="BD85" s="16">
        <f>IFERROR(BB85*BC85, 0)</f>
        <v/>
      </c>
      <c r="BE85" s="14" t="n">
        <v>4</v>
      </c>
      <c r="BF85" s="15" t="n">
        <v>9950</v>
      </c>
      <c r="BG85" s="16" t="n">
        <v>39800</v>
      </c>
      <c r="BH85" s="14" t="n"/>
      <c r="BI85" s="15" t="n"/>
      <c r="BJ85" s="16">
        <f>IFERROR(BH85*BI85, 0)</f>
        <v/>
      </c>
      <c r="BK85" s="14" t="n"/>
      <c r="BL85" s="15" t="n"/>
      <c r="BM85" s="16">
        <f>IFERROR(BK85*BL85, 0)</f>
        <v/>
      </c>
      <c r="BN85" s="14" t="n"/>
      <c r="BO85" s="15" t="n"/>
      <c r="BP85" s="16">
        <f>IFERROR(BN85*BO85, 0)</f>
        <v/>
      </c>
      <c r="BQ85" s="14" t="n"/>
      <c r="BR85" s="15" t="n"/>
      <c r="BS85" s="16">
        <f>IFERROR(BQ85*BR85, 0)</f>
        <v/>
      </c>
      <c r="BT85" s="14" t="n"/>
      <c r="BU85" s="15" t="n"/>
      <c r="BV85" s="16">
        <f>IFERROR(BT85*BU85, 0)</f>
        <v/>
      </c>
      <c r="BW85" s="14" t="n"/>
      <c r="BX85" s="15" t="n"/>
      <c r="BY85" s="16">
        <f>IFERROR(BW85*BX85, 0)</f>
        <v/>
      </c>
      <c r="BZ85" s="14" t="n"/>
      <c r="CA85" s="15" t="n"/>
      <c r="CB85" s="16">
        <f>IFERROR(BZ85*CA85, 0)</f>
        <v/>
      </c>
      <c r="CC85" s="14" t="n"/>
      <c r="CD85" s="15" t="n"/>
      <c r="CE85" s="16">
        <f>IFERROR(CC85*CD85, 0)</f>
        <v/>
      </c>
      <c r="CF85" s="14" t="n"/>
      <c r="CG85" s="15" t="n"/>
      <c r="CH85" s="16">
        <f>IFERROR(CF85*CG85, 0)</f>
        <v/>
      </c>
      <c r="CI85" s="14" t="n"/>
      <c r="CJ85" s="15" t="n"/>
      <c r="CK85" s="16">
        <f>IFERROR(CI85*CJ85, 0)</f>
        <v/>
      </c>
      <c r="CL85" s="14" t="n"/>
      <c r="CM85" s="15" t="n"/>
      <c r="CN85" s="16">
        <f>IFERROR(CL85*CM85, 0)</f>
        <v/>
      </c>
      <c r="CO85" s="14" t="n"/>
      <c r="CP85" s="15" t="n"/>
      <c r="CQ85" s="16">
        <f>IFERROR(CO85*CP85, 0)</f>
        <v/>
      </c>
      <c r="CR85" s="14" t="n"/>
      <c r="CS85" s="15" t="n"/>
      <c r="CT85" s="16">
        <f>IFERROR(CR85*CS85, 0)</f>
        <v/>
      </c>
      <c r="CU85" s="17">
        <f>IFERROR(SUM(F85,I85,L85,O85,R85,U85,X85,AA85,AD85,AG85,AJ85,AM85,AP85,AS85,AV85,AY85,BB85,BE85,BH85,BK85,BN85,BQ85,BT85,BW85,BZ85,CC85,CF85,CI85,CL85,CO85,CR85), 0)</f>
        <v/>
      </c>
      <c r="CV85" s="16">
        <f>IFERROR(AVERAGE(G85,J85,M85,P85,S85,V85,Y85,AB85,AE85,AH85,AK85,AN85,AQ85,AT85,AW85,AZ85,BC85,BF85,BI85,BL85,BO85,BR85,BU85,BX85,CA85,CD85,CG85,CJ85,CM85,CP85,CS85), 0)</f>
        <v/>
      </c>
      <c r="CW85" s="16">
        <f>CU85*CV85</f>
        <v/>
      </c>
    </row>
    <row r="86" ht="15.75" customHeight="1">
      <c r="A86" s="41" t="inlineStr">
        <is>
          <t>Salsa mostaza differ x 400</t>
        </is>
      </c>
      <c r="B86" s="41" t="inlineStr">
        <is>
          <t>Und</t>
        </is>
      </c>
      <c r="C86" s="42" t="n"/>
      <c r="D86" s="43" t="n"/>
      <c r="E86" s="78">
        <f>IFERROR(+C86*D86, 0)</f>
        <v/>
      </c>
      <c r="F86" s="14" t="n"/>
      <c r="G86" s="15" t="n"/>
      <c r="H86" s="16">
        <f>IFERROR(F86*G86, 0)</f>
        <v/>
      </c>
      <c r="I86" s="14" t="n"/>
      <c r="J86" s="15" t="n"/>
      <c r="K86" s="16">
        <f>IFERROR(I86*J86, 0)</f>
        <v/>
      </c>
      <c r="L86" s="14" t="n"/>
      <c r="M86" s="15" t="n"/>
      <c r="N86" s="16">
        <f>IFERROR(L86*M86, 0)</f>
        <v/>
      </c>
      <c r="O86" s="14" t="n"/>
      <c r="P86" s="15" t="n"/>
      <c r="Q86" s="16">
        <f>IFERROR(O86*P86, 0)</f>
        <v/>
      </c>
      <c r="R86" s="14" t="n"/>
      <c r="S86" s="15" t="n"/>
      <c r="T86" s="16">
        <f>IFERROR(R86*S86, 0)</f>
        <v/>
      </c>
      <c r="U86" s="14" t="n"/>
      <c r="V86" s="15" t="n"/>
      <c r="W86" s="16">
        <f>IFERROR(U86*V86, 0)</f>
        <v/>
      </c>
      <c r="X86" s="14" t="n"/>
      <c r="Y86" s="15" t="n"/>
      <c r="Z86" s="16">
        <f>IFERROR(X86*Y86, 0)</f>
        <v/>
      </c>
      <c r="AA86" s="14" t="n"/>
      <c r="AB86" s="15" t="n"/>
      <c r="AC86" s="16">
        <f>IFERROR(AA86*AB86, 0)</f>
        <v/>
      </c>
      <c r="AD86" s="14" t="n"/>
      <c r="AE86" s="15" t="n"/>
      <c r="AF86" s="16">
        <f>IFERROR(AD86*AE86, 0)</f>
        <v/>
      </c>
      <c r="AG86" s="14" t="n"/>
      <c r="AH86" s="15" t="n"/>
      <c r="AI86" s="16">
        <f>IFERROR(AG86*AH86, 0)</f>
        <v/>
      </c>
      <c r="AJ86" s="14" t="n"/>
      <c r="AK86" s="15" t="n"/>
      <c r="AL86" s="16">
        <f>IFERROR(AJ86*AK86, 0)</f>
        <v/>
      </c>
      <c r="AM86" s="14" t="n"/>
      <c r="AN86" s="15" t="n"/>
      <c r="AO86" s="16">
        <f>IFERROR(AM86*AN86, 0)</f>
        <v/>
      </c>
      <c r="AP86" s="14" t="n"/>
      <c r="AQ86" s="15" t="n"/>
      <c r="AR86" s="16">
        <f>IFERROR(AP86*AQ86, 0)</f>
        <v/>
      </c>
      <c r="AS86" s="14" t="n"/>
      <c r="AT86" s="15" t="n"/>
      <c r="AU86" s="16">
        <f>IFERROR(AS86*AT86, 0)</f>
        <v/>
      </c>
      <c r="AV86" s="14" t="n"/>
      <c r="AW86" s="15" t="n"/>
      <c r="AX86" s="16">
        <f>IFERROR(AV86*AW86, 0)</f>
        <v/>
      </c>
      <c r="AY86" s="14" t="n"/>
      <c r="AZ86" s="15" t="n"/>
      <c r="BA86" s="16">
        <f>IFERROR(AY86*AZ86, 0)</f>
        <v/>
      </c>
      <c r="BB86" s="14" t="n"/>
      <c r="BC86" s="15" t="n"/>
      <c r="BD86" s="16">
        <f>IFERROR(BB86*BC86, 0)</f>
        <v/>
      </c>
      <c r="BE86" s="14" t="n">
        <v>4</v>
      </c>
      <c r="BF86" s="15" t="n">
        <v>5000</v>
      </c>
      <c r="BG86" s="16" t="n">
        <v>20000</v>
      </c>
      <c r="BH86" s="14" t="n"/>
      <c r="BI86" s="15" t="n"/>
      <c r="BJ86" s="16">
        <f>IFERROR(BH86*BI86, 0)</f>
        <v/>
      </c>
      <c r="BK86" s="14" t="n"/>
      <c r="BL86" s="15" t="n"/>
      <c r="BM86" s="16">
        <f>IFERROR(BK86*BL86, 0)</f>
        <v/>
      </c>
      <c r="BN86" s="14" t="n"/>
      <c r="BO86" s="15" t="n"/>
      <c r="BP86" s="16">
        <f>IFERROR(BN86*BO86, 0)</f>
        <v/>
      </c>
      <c r="BQ86" s="14" t="n"/>
      <c r="BR86" s="15" t="n"/>
      <c r="BS86" s="16">
        <f>IFERROR(BQ86*BR86, 0)</f>
        <v/>
      </c>
      <c r="BT86" s="14" t="n"/>
      <c r="BU86" s="15" t="n"/>
      <c r="BV86" s="16">
        <f>IFERROR(BT86*BU86, 0)</f>
        <v/>
      </c>
      <c r="BW86" s="14" t="n"/>
      <c r="BX86" s="15" t="n"/>
      <c r="BY86" s="16">
        <f>IFERROR(BW86*BX86, 0)</f>
        <v/>
      </c>
      <c r="BZ86" s="14" t="n"/>
      <c r="CA86" s="15" t="n"/>
      <c r="CB86" s="16">
        <f>IFERROR(BZ86*CA86, 0)</f>
        <v/>
      </c>
      <c r="CC86" s="14" t="n"/>
      <c r="CD86" s="15" t="n"/>
      <c r="CE86" s="16">
        <f>IFERROR(CC86*CD86, 0)</f>
        <v/>
      </c>
      <c r="CF86" s="14" t="n"/>
      <c r="CG86" s="15" t="n"/>
      <c r="CH86" s="16">
        <f>IFERROR(CF86*CG86, 0)</f>
        <v/>
      </c>
      <c r="CI86" s="14" t="n"/>
      <c r="CJ86" s="15" t="n"/>
      <c r="CK86" s="16">
        <f>IFERROR(CI86*CJ86, 0)</f>
        <v/>
      </c>
      <c r="CL86" s="14" t="n"/>
      <c r="CM86" s="15" t="n"/>
      <c r="CN86" s="16">
        <f>IFERROR(CL86*CM86, 0)</f>
        <v/>
      </c>
      <c r="CO86" s="14" t="n"/>
      <c r="CP86" s="15" t="n"/>
      <c r="CQ86" s="16">
        <f>IFERROR(CO86*CP86, 0)</f>
        <v/>
      </c>
      <c r="CR86" s="14" t="n"/>
      <c r="CS86" s="15" t="n"/>
      <c r="CT86" s="16">
        <f>IFERROR(CR86*CS86, 0)</f>
        <v/>
      </c>
      <c r="CU86" s="17">
        <f>IFERROR(SUM(F86,I86,L86,O86,R86,U86,X86,AA86,AD86,AG86,AJ86,AM86,AP86,AS86,AV86,AY86,BB86,BE86,BH86,BK86,BN86,BQ86,BT86,BW86,BZ86,CC86,CF86,CI86,CL86,CO86,CR86), 0)</f>
        <v/>
      </c>
      <c r="CV86" s="16">
        <f>IFERROR(AVERAGE(G86,J86,M86,P86,S86,V86,Y86,AB86,AE86,AH86,AK86,AN86,AQ86,AT86,AW86,AZ86,BC86,BF86,BI86,BL86,BO86,BR86,BU86,BX86,CA86,CD86,CG86,CJ86,CM86,CP86,CS86), 0)</f>
        <v/>
      </c>
      <c r="CW86" s="16">
        <f>CU86*CV86</f>
        <v/>
      </c>
    </row>
    <row r="87" ht="15.75" customHeight="1">
      <c r="A87" s="41" t="inlineStr">
        <is>
          <t>Salsa tomate sobre zafran x 120</t>
        </is>
      </c>
      <c r="B87" s="41" t="inlineStr">
        <is>
          <t>Und</t>
        </is>
      </c>
      <c r="C87" s="42" t="n"/>
      <c r="D87" s="43" t="n"/>
      <c r="E87" s="78">
        <f>IFERROR(+C87*D87, 0)</f>
        <v/>
      </c>
      <c r="F87" s="14" t="n"/>
      <c r="G87" s="15" t="n"/>
      <c r="H87" s="16">
        <f>IFERROR(F87*G87, 0)</f>
        <v/>
      </c>
      <c r="I87" s="14" t="n"/>
      <c r="J87" s="15" t="n"/>
      <c r="K87" s="16">
        <f>IFERROR(I87*J87, 0)</f>
        <v/>
      </c>
      <c r="L87" s="14" t="n"/>
      <c r="M87" s="15" t="n"/>
      <c r="N87" s="16">
        <f>IFERROR(L87*M87, 0)</f>
        <v/>
      </c>
      <c r="O87" s="14" t="n"/>
      <c r="P87" s="15" t="n"/>
      <c r="Q87" s="16">
        <f>IFERROR(O87*P87, 0)</f>
        <v/>
      </c>
      <c r="R87" s="14" t="n"/>
      <c r="S87" s="15" t="n"/>
      <c r="T87" s="16">
        <f>IFERROR(R87*S87, 0)</f>
        <v/>
      </c>
      <c r="U87" s="14" t="n"/>
      <c r="V87" s="15" t="n"/>
      <c r="W87" s="16">
        <f>IFERROR(U87*V87, 0)</f>
        <v/>
      </c>
      <c r="X87" s="14" t="n">
        <v>3</v>
      </c>
      <c r="Y87" s="15" t="n">
        <v>20950</v>
      </c>
      <c r="Z87" s="16" t="n">
        <v>62850</v>
      </c>
      <c r="AA87" s="14" t="n"/>
      <c r="AB87" s="15" t="n"/>
      <c r="AC87" s="16">
        <f>IFERROR(AA87*AB87, 0)</f>
        <v/>
      </c>
      <c r="AD87" s="14" t="n"/>
      <c r="AE87" s="15" t="n"/>
      <c r="AF87" s="16">
        <f>IFERROR(AD87*AE87, 0)</f>
        <v/>
      </c>
      <c r="AG87" s="14" t="n"/>
      <c r="AH87" s="15" t="n"/>
      <c r="AI87" s="16">
        <f>IFERROR(AG87*AH87, 0)</f>
        <v/>
      </c>
      <c r="AJ87" s="14" t="n"/>
      <c r="AK87" s="15" t="n"/>
      <c r="AL87" s="16">
        <f>IFERROR(AJ87*AK87, 0)</f>
        <v/>
      </c>
      <c r="AM87" s="14" t="n"/>
      <c r="AN87" s="15" t="n"/>
      <c r="AO87" s="16">
        <f>IFERROR(AM87*AN87, 0)</f>
        <v/>
      </c>
      <c r="AP87" s="14" t="n"/>
      <c r="AQ87" s="15" t="n"/>
      <c r="AR87" s="16">
        <f>IFERROR(AP87*AQ87, 0)</f>
        <v/>
      </c>
      <c r="AS87" s="14" t="n"/>
      <c r="AT87" s="15" t="n"/>
      <c r="AU87" s="16">
        <f>IFERROR(AS87*AT87, 0)</f>
        <v/>
      </c>
      <c r="AV87" s="14" t="n"/>
      <c r="AW87" s="15" t="n"/>
      <c r="AX87" s="16">
        <f>IFERROR(AV87*AW87, 0)</f>
        <v/>
      </c>
      <c r="AY87" s="14" t="n"/>
      <c r="AZ87" s="15" t="n"/>
      <c r="BA87" s="16">
        <f>IFERROR(AY87*AZ87, 0)</f>
        <v/>
      </c>
      <c r="BB87" s="14" t="n"/>
      <c r="BC87" s="15" t="n"/>
      <c r="BD87" s="16">
        <f>IFERROR(BB87*BC87, 0)</f>
        <v/>
      </c>
      <c r="BE87" s="14" t="n">
        <v>3</v>
      </c>
      <c r="BF87" s="15" t="n">
        <v>20950</v>
      </c>
      <c r="BG87" s="16" t="n">
        <v>62850</v>
      </c>
      <c r="BH87" s="14" t="n"/>
      <c r="BI87" s="15" t="n"/>
      <c r="BJ87" s="16">
        <f>IFERROR(BH87*BI87, 0)</f>
        <v/>
      </c>
      <c r="BK87" s="14" t="n"/>
      <c r="BL87" s="15" t="n"/>
      <c r="BM87" s="16">
        <f>IFERROR(BK87*BL87, 0)</f>
        <v/>
      </c>
      <c r="BN87" s="14" t="n"/>
      <c r="BO87" s="15" t="n"/>
      <c r="BP87" s="16">
        <f>IFERROR(BN87*BO87, 0)</f>
        <v/>
      </c>
      <c r="BQ87" s="14" t="n">
        <v>5</v>
      </c>
      <c r="BR87" s="15" t="n">
        <v>20950</v>
      </c>
      <c r="BS87" s="16" t="n">
        <v>104750</v>
      </c>
      <c r="BT87" s="14" t="n"/>
      <c r="BU87" s="15" t="n"/>
      <c r="BV87" s="16">
        <f>IFERROR(BT87*BU87, 0)</f>
        <v/>
      </c>
      <c r="BW87" s="14" t="n"/>
      <c r="BX87" s="15" t="n"/>
      <c r="BY87" s="16">
        <f>IFERROR(BW87*BX87, 0)</f>
        <v/>
      </c>
      <c r="BZ87" s="14" t="n"/>
      <c r="CA87" s="15" t="n"/>
      <c r="CB87" s="16">
        <f>IFERROR(BZ87*CA87, 0)</f>
        <v/>
      </c>
      <c r="CC87" s="14" t="n"/>
      <c r="CD87" s="15" t="n"/>
      <c r="CE87" s="16">
        <f>IFERROR(CC87*CD87, 0)</f>
        <v/>
      </c>
      <c r="CF87" s="14" t="n"/>
      <c r="CG87" s="15" t="n"/>
      <c r="CH87" s="16">
        <f>IFERROR(CF87*CG87, 0)</f>
        <v/>
      </c>
      <c r="CI87" s="14" t="n"/>
      <c r="CJ87" s="15" t="n"/>
      <c r="CK87" s="16">
        <f>IFERROR(CI87*CJ87, 0)</f>
        <v/>
      </c>
      <c r="CL87" s="14" t="n"/>
      <c r="CM87" s="15" t="n"/>
      <c r="CN87" s="16">
        <f>IFERROR(CL87*CM87, 0)</f>
        <v/>
      </c>
      <c r="CO87" s="14" t="n"/>
      <c r="CP87" s="15" t="n"/>
      <c r="CQ87" s="16">
        <f>IFERROR(CO87*CP87, 0)</f>
        <v/>
      </c>
      <c r="CR87" s="14" t="n"/>
      <c r="CS87" s="15" t="n"/>
      <c r="CT87" s="16">
        <f>IFERROR(CR87*CS87, 0)</f>
        <v/>
      </c>
      <c r="CU87" s="17">
        <f>IFERROR(SUM(F87,I87,L87,O87,R87,U87,X87,AA87,AD87,AG87,AJ87,AM87,AP87,AS87,AV87,AY87,BB87,BE87,BH87,BK87,BN87,BQ87,BT87,BW87,BZ87,CC87,CF87,CI87,CL87,CO87,CR87), 0)</f>
        <v/>
      </c>
      <c r="CV87" s="16">
        <f>IFERROR(AVERAGE(G87,J87,M87,P87,S87,V87,Y87,AB87,AE87,AH87,AK87,AN87,AQ87,AT87,AW87,AZ87,BC87,BF87,BI87,BL87,BO87,BR87,BU87,BX87,CA87,CD87,CG87,CJ87,CM87,CP87,CS87), 0)</f>
        <v/>
      </c>
      <c r="CW87" s="16">
        <f>CU87*CV87</f>
        <v/>
      </c>
    </row>
    <row r="88" ht="15.75" customHeight="1">
      <c r="A88" s="41" t="inlineStr">
        <is>
          <t>Tapa vaso tami x 126</t>
        </is>
      </c>
      <c r="B88" s="41" t="inlineStr">
        <is>
          <t>Pqte</t>
        </is>
      </c>
      <c r="C88" s="42" t="n"/>
      <c r="D88" s="43" t="n"/>
      <c r="E88" s="78">
        <f>IFERROR(+C88*D88, 0)</f>
        <v/>
      </c>
      <c r="F88" s="14" t="n"/>
      <c r="G88" s="15" t="n"/>
      <c r="H88" s="16">
        <f>IFERROR(F88*G88, 0)</f>
        <v/>
      </c>
      <c r="I88" s="14" t="n"/>
      <c r="J88" s="15" t="n"/>
      <c r="K88" s="16">
        <f>IFERROR(I88*J88, 0)</f>
        <v/>
      </c>
      <c r="L88" s="14" t="n"/>
      <c r="M88" s="15" t="n"/>
      <c r="N88" s="16">
        <f>IFERROR(L88*M88, 0)</f>
        <v/>
      </c>
      <c r="O88" s="14" t="n"/>
      <c r="P88" s="15" t="n"/>
      <c r="Q88" s="16">
        <f>IFERROR(O88*P88, 0)</f>
        <v/>
      </c>
      <c r="R88" s="14" t="n"/>
      <c r="S88" s="15" t="n"/>
      <c r="T88" s="16">
        <f>IFERROR(R88*S88, 0)</f>
        <v/>
      </c>
      <c r="U88" s="14" t="n"/>
      <c r="V88" s="15" t="n"/>
      <c r="W88" s="16">
        <f>IFERROR(U88*V88, 0)</f>
        <v/>
      </c>
      <c r="X88" s="14" t="n"/>
      <c r="Y88" s="15" t="n"/>
      <c r="Z88" s="16">
        <f>IFERROR(X88*Y88, 0)</f>
        <v/>
      </c>
      <c r="AA88" s="14" t="n"/>
      <c r="AB88" s="15" t="n"/>
      <c r="AC88" s="16">
        <f>IFERROR(AA88*AB88, 0)</f>
        <v/>
      </c>
      <c r="AD88" s="14" t="n"/>
      <c r="AE88" s="15" t="n"/>
      <c r="AF88" s="16">
        <f>IFERROR(AD88*AE88, 0)</f>
        <v/>
      </c>
      <c r="AG88" s="14" t="n"/>
      <c r="AH88" s="15" t="n"/>
      <c r="AI88" s="16">
        <f>IFERROR(AG88*AH88, 0)</f>
        <v/>
      </c>
      <c r="AJ88" s="14" t="n"/>
      <c r="AK88" s="15" t="n"/>
      <c r="AL88" s="16">
        <f>IFERROR(AJ88*AK88, 0)</f>
        <v/>
      </c>
      <c r="AM88" s="14" t="n"/>
      <c r="AN88" s="15" t="n"/>
      <c r="AO88" s="16">
        <f>IFERROR(AM88*AN88, 0)</f>
        <v/>
      </c>
      <c r="AP88" s="14" t="n"/>
      <c r="AQ88" s="15" t="n"/>
      <c r="AR88" s="16">
        <f>IFERROR(AP88*AQ88, 0)</f>
        <v/>
      </c>
      <c r="AS88" s="14" t="n"/>
      <c r="AT88" s="15" t="n"/>
      <c r="AU88" s="16">
        <f>IFERROR(AS88*AT88, 0)</f>
        <v/>
      </c>
      <c r="AV88" s="14" t="n"/>
      <c r="AW88" s="15" t="n"/>
      <c r="AX88" s="16">
        <f>IFERROR(AV88*AW88, 0)</f>
        <v/>
      </c>
      <c r="AY88" s="14" t="n"/>
      <c r="AZ88" s="15" t="n"/>
      <c r="BA88" s="16">
        <f>IFERROR(AY88*AZ88, 0)</f>
        <v/>
      </c>
      <c r="BB88" s="14" t="n"/>
      <c r="BC88" s="15" t="n"/>
      <c r="BD88" s="16">
        <f>IFERROR(BB88*BC88, 0)</f>
        <v/>
      </c>
      <c r="BE88" s="14" t="n"/>
      <c r="BF88" s="15" t="n"/>
      <c r="BG88" s="16">
        <f>IFERROR(BE88*BF88, 0)</f>
        <v/>
      </c>
      <c r="BH88" s="14" t="n"/>
      <c r="BI88" s="15" t="n"/>
      <c r="BJ88" s="16">
        <f>IFERROR(BH88*BI88, 0)</f>
        <v/>
      </c>
      <c r="BK88" s="14" t="n"/>
      <c r="BL88" s="15" t="n"/>
      <c r="BM88" s="16">
        <f>IFERROR(BK88*BL88, 0)</f>
        <v/>
      </c>
      <c r="BN88" s="14" t="n"/>
      <c r="BO88" s="15" t="n"/>
      <c r="BP88" s="16">
        <f>IFERROR(BN88*BO88, 0)</f>
        <v/>
      </c>
      <c r="BQ88" s="14" t="n"/>
      <c r="BR88" s="15" t="n"/>
      <c r="BS88" s="16">
        <f>IFERROR(BQ88*BR88, 0)</f>
        <v/>
      </c>
      <c r="BT88" s="14" t="n"/>
      <c r="BU88" s="15" t="n"/>
      <c r="BV88" s="16">
        <f>IFERROR(BT88*BU88, 0)</f>
        <v/>
      </c>
      <c r="BW88" s="14" t="n"/>
      <c r="BX88" s="15" t="n"/>
      <c r="BY88" s="16">
        <f>IFERROR(BW88*BX88, 0)</f>
        <v/>
      </c>
      <c r="BZ88" s="14" t="n"/>
      <c r="CA88" s="15" t="n"/>
      <c r="CB88" s="16">
        <f>IFERROR(BZ88*CA88, 0)</f>
        <v/>
      </c>
      <c r="CC88" s="14" t="n"/>
      <c r="CD88" s="15" t="n"/>
      <c r="CE88" s="16">
        <f>IFERROR(CC88*CD88, 0)</f>
        <v/>
      </c>
      <c r="CF88" s="14" t="n"/>
      <c r="CG88" s="15" t="n"/>
      <c r="CH88" s="16">
        <f>IFERROR(CF88*CG88, 0)</f>
        <v/>
      </c>
      <c r="CI88" s="14" t="n"/>
      <c r="CJ88" s="15" t="n"/>
      <c r="CK88" s="16">
        <f>IFERROR(CI88*CJ88, 0)</f>
        <v/>
      </c>
      <c r="CL88" s="14" t="n"/>
      <c r="CM88" s="15" t="n"/>
      <c r="CN88" s="16">
        <f>IFERROR(CL88*CM88, 0)</f>
        <v/>
      </c>
      <c r="CO88" s="14" t="n"/>
      <c r="CP88" s="15" t="n"/>
      <c r="CQ88" s="16">
        <f>IFERROR(CO88*CP88, 0)</f>
        <v/>
      </c>
      <c r="CR88" s="14" t="n"/>
      <c r="CS88" s="15" t="n"/>
      <c r="CT88" s="16">
        <f>IFERROR(CR88*CS88, 0)</f>
        <v/>
      </c>
      <c r="CU88" s="17">
        <f>IFERROR(SUM(F88,I88,L88,O88,R88,U88,X88,AA88,AD88,AG88,AJ88,AM88,AP88,AS88,AV88,AY88,BB88,BE88,BH88,BK88,BN88,BQ88,BT88,BW88,BZ88,CC88,CF88,CI88,CL88,CO88,CR88), 0)</f>
        <v/>
      </c>
      <c r="CV88" s="16">
        <f>IFERROR(AVERAGE(G88,J88,M88,P88,S88,V88,Y88,AB88,AE88,AH88,AK88,AN88,AQ88,AT88,AW88,AZ88,BC88,BF88,BI88,BL88,BO88,BR88,BU88,BX88,CA88,CD88,CG88,CJ88,CM88,CP88,CS88), 0)</f>
        <v/>
      </c>
      <c r="CW88" s="16">
        <f>CU88*CV88</f>
        <v/>
      </c>
    </row>
    <row r="89" ht="15.75" customHeight="1">
      <c r="A89" s="41" t="inlineStr">
        <is>
          <t>Servilletas</t>
        </is>
      </c>
      <c r="B89" s="41" t="inlineStr">
        <is>
          <t>Pqte</t>
        </is>
      </c>
      <c r="C89" s="42" t="n"/>
      <c r="D89" s="43" t="n"/>
      <c r="E89" s="78">
        <f>IFERROR(+C89*D89, 0)</f>
        <v/>
      </c>
      <c r="F89" s="14" t="n"/>
      <c r="G89" s="15" t="n"/>
      <c r="H89" s="16">
        <f>IFERROR(F89*G89, 0)</f>
        <v/>
      </c>
      <c r="I89" s="14" t="n">
        <v>60</v>
      </c>
      <c r="J89" s="15" t="n">
        <v>2000</v>
      </c>
      <c r="K89" s="16" t="n">
        <v>120000</v>
      </c>
      <c r="L89" s="14" t="n"/>
      <c r="M89" s="15" t="n"/>
      <c r="N89" s="16">
        <f>IFERROR(L89*M89, 0)</f>
        <v/>
      </c>
      <c r="O89" s="14" t="n"/>
      <c r="P89" s="15" t="n"/>
      <c r="Q89" s="16">
        <f>IFERROR(O89*P89, 0)</f>
        <v/>
      </c>
      <c r="R89" s="14" t="n"/>
      <c r="S89" s="15" t="n"/>
      <c r="T89" s="16">
        <f>IFERROR(R89*S89, 0)</f>
        <v/>
      </c>
      <c r="U89" s="14" t="n"/>
      <c r="V89" s="15" t="n"/>
      <c r="W89" s="16">
        <f>IFERROR(U89*V89, 0)</f>
        <v/>
      </c>
      <c r="X89" s="14" t="n"/>
      <c r="Y89" s="15" t="n"/>
      <c r="Z89" s="16">
        <f>IFERROR(X89*Y89, 0)</f>
        <v/>
      </c>
      <c r="AA89" s="14" t="n"/>
      <c r="AB89" s="15" t="n"/>
      <c r="AC89" s="16">
        <f>IFERROR(AA89*AB89, 0)</f>
        <v/>
      </c>
      <c r="AD89" s="14" t="n"/>
      <c r="AE89" s="15" t="n"/>
      <c r="AF89" s="16">
        <f>IFERROR(AD89*AE89, 0)</f>
        <v/>
      </c>
      <c r="AG89" s="14" t="n">
        <v>60</v>
      </c>
      <c r="AH89" s="15" t="n">
        <v>2000</v>
      </c>
      <c r="AI89" s="16" t="n">
        <v>120000</v>
      </c>
      <c r="AJ89" s="14" t="n"/>
      <c r="AK89" s="15" t="n"/>
      <c r="AL89" s="16">
        <f>IFERROR(AJ89*AK89, 0)</f>
        <v/>
      </c>
      <c r="AM89" s="14" t="n"/>
      <c r="AN89" s="15" t="n"/>
      <c r="AO89" s="16">
        <f>IFERROR(AM89*AN89, 0)</f>
        <v/>
      </c>
      <c r="AP89" s="14" t="n"/>
      <c r="AQ89" s="15" t="n"/>
      <c r="AR89" s="16">
        <f>IFERROR(AP89*AQ89, 0)</f>
        <v/>
      </c>
      <c r="AS89" s="14" t="n"/>
      <c r="AT89" s="15" t="n"/>
      <c r="AU89" s="16">
        <f>IFERROR(AS89*AT89, 0)</f>
        <v/>
      </c>
      <c r="AV89" s="14" t="n"/>
      <c r="AW89" s="15" t="n"/>
      <c r="AX89" s="16">
        <f>IFERROR(AV89*AW89, 0)</f>
        <v/>
      </c>
      <c r="AY89" s="14" t="n"/>
      <c r="AZ89" s="15" t="n"/>
      <c r="BA89" s="16">
        <f>IFERROR(AY89*AZ89, 0)</f>
        <v/>
      </c>
      <c r="BB89" s="14" t="n"/>
      <c r="BC89" s="15" t="n"/>
      <c r="BD89" s="16">
        <f>IFERROR(BB89*BC89, 0)</f>
        <v/>
      </c>
      <c r="BE89" s="14" t="n">
        <v>60</v>
      </c>
      <c r="BF89" s="15" t="n">
        <v>2000</v>
      </c>
      <c r="BG89" s="16" t="n">
        <v>120000</v>
      </c>
      <c r="BH89" s="14" t="n"/>
      <c r="BI89" s="15" t="n"/>
      <c r="BJ89" s="16">
        <f>IFERROR(BH89*BI89, 0)</f>
        <v/>
      </c>
      <c r="BK89" s="14" t="n"/>
      <c r="BL89" s="15" t="n"/>
      <c r="BM89" s="16">
        <f>IFERROR(BK89*BL89, 0)</f>
        <v/>
      </c>
      <c r="BN89" s="14" t="n"/>
      <c r="BO89" s="15" t="n"/>
      <c r="BP89" s="16">
        <f>IFERROR(BN89*BO89, 0)</f>
        <v/>
      </c>
      <c r="BQ89" s="14" t="n"/>
      <c r="BR89" s="15" t="n"/>
      <c r="BS89" s="16">
        <f>IFERROR(BQ89*BR89, 0)</f>
        <v/>
      </c>
      <c r="BT89" s="14" t="n"/>
      <c r="BU89" s="15" t="n"/>
      <c r="BV89" s="16">
        <f>IFERROR(BT89*BU89, 0)</f>
        <v/>
      </c>
      <c r="BW89" s="14" t="n"/>
      <c r="BX89" s="15" t="n"/>
      <c r="BY89" s="16">
        <f>IFERROR(BW89*BX89, 0)</f>
        <v/>
      </c>
      <c r="BZ89" s="14" t="n"/>
      <c r="CA89" s="15" t="n"/>
      <c r="CB89" s="16">
        <f>IFERROR(BZ89*CA89, 0)</f>
        <v/>
      </c>
      <c r="CC89" s="14" t="n"/>
      <c r="CD89" s="15" t="n"/>
      <c r="CE89" s="16">
        <f>IFERROR(CC89*CD89, 0)</f>
        <v/>
      </c>
      <c r="CF89" s="14" t="n"/>
      <c r="CG89" s="15" t="n"/>
      <c r="CH89" s="16">
        <f>IFERROR(CF89*CG89, 0)</f>
        <v/>
      </c>
      <c r="CI89" s="14" t="n"/>
      <c r="CJ89" s="15" t="n"/>
      <c r="CK89" s="16">
        <f>IFERROR(CI89*CJ89, 0)</f>
        <v/>
      </c>
      <c r="CL89" s="14" t="n"/>
      <c r="CM89" s="15" t="n"/>
      <c r="CN89" s="16">
        <f>IFERROR(CL89*CM89, 0)</f>
        <v/>
      </c>
      <c r="CO89" s="14" t="n"/>
      <c r="CP89" s="15" t="n"/>
      <c r="CQ89" s="16">
        <f>IFERROR(CO89*CP89, 0)</f>
        <v/>
      </c>
      <c r="CR89" s="14" t="n"/>
      <c r="CS89" s="15" t="n"/>
      <c r="CT89" s="16">
        <f>IFERROR(CR89*CS89, 0)</f>
        <v/>
      </c>
      <c r="CU89" s="17">
        <f>IFERROR(SUM(F89,I89,L89,O89,R89,U89,X89,AA89,AD89,AG89,AJ89,AM89,AP89,AS89,AV89,AY89,BB89,BE89,BH89,BK89,BN89,BQ89,BT89,BW89,BZ89,CC89,CF89,CI89,CL89,CO89,CR89), 0)</f>
        <v/>
      </c>
      <c r="CV89" s="16">
        <f>IFERROR(AVERAGE(G89,J89,M89,P89,S89,V89,Y89,AB89,AE89,AH89,AK89,AN89,AQ89,AT89,AW89,AZ89,BC89,BF89,BI89,BL89,BO89,BR89,BU89,BX89,CA89,CD89,CG89,CJ89,CM89,CP89,CS89), 0)</f>
        <v/>
      </c>
      <c r="CW89" s="16">
        <f>CU89*CV89</f>
        <v/>
      </c>
    </row>
    <row r="90" ht="15.75" customHeight="1">
      <c r="A90" s="41" t="inlineStr">
        <is>
          <t>Toalla z 24pqx150</t>
        </is>
      </c>
      <c r="B90" s="41" t="inlineStr">
        <is>
          <t>Pqte</t>
        </is>
      </c>
      <c r="C90" s="42" t="n"/>
      <c r="D90" s="43" t="n"/>
      <c r="E90" s="78">
        <f>IFERROR(+C90*D90, 0)</f>
        <v/>
      </c>
      <c r="F90" s="14" t="n"/>
      <c r="G90" s="15" t="n"/>
      <c r="H90" s="16">
        <f>IFERROR(F90*G90, 0)</f>
        <v/>
      </c>
      <c r="I90" s="14" t="n"/>
      <c r="J90" s="15" t="n"/>
      <c r="K90" s="16">
        <f>IFERROR(I90*J90, 0)</f>
        <v/>
      </c>
      <c r="L90" s="14" t="n"/>
      <c r="M90" s="15" t="n"/>
      <c r="N90" s="16">
        <f>IFERROR(L90*M90, 0)</f>
        <v/>
      </c>
      <c r="O90" s="14" t="n"/>
      <c r="P90" s="15" t="n"/>
      <c r="Q90" s="16">
        <f>IFERROR(O90*P90, 0)</f>
        <v/>
      </c>
      <c r="R90" s="14" t="n"/>
      <c r="S90" s="15" t="n"/>
      <c r="T90" s="16">
        <f>IFERROR(R90*S90, 0)</f>
        <v/>
      </c>
      <c r="U90" s="14" t="n"/>
      <c r="V90" s="15" t="n"/>
      <c r="W90" s="16">
        <f>IFERROR(U90*V90, 0)</f>
        <v/>
      </c>
      <c r="X90" s="14" t="n"/>
      <c r="Y90" s="15" t="n"/>
      <c r="Z90" s="16">
        <f>IFERROR(X90*Y90, 0)</f>
        <v/>
      </c>
      <c r="AA90" s="14" t="n"/>
      <c r="AB90" s="15" t="n"/>
      <c r="AC90" s="16">
        <f>IFERROR(AA90*AB90, 0)</f>
        <v/>
      </c>
      <c r="AD90" s="14" t="n"/>
      <c r="AE90" s="15" t="n"/>
      <c r="AF90" s="16">
        <f>IFERROR(AD90*AE90, 0)</f>
        <v/>
      </c>
      <c r="AG90" s="14" t="n"/>
      <c r="AH90" s="15" t="n"/>
      <c r="AI90" s="16">
        <f>IFERROR(AG90*AH90, 0)</f>
        <v/>
      </c>
      <c r="AJ90" s="14" t="n"/>
      <c r="AK90" s="15" t="n"/>
      <c r="AL90" s="16">
        <f>IFERROR(AJ90*AK90, 0)</f>
        <v/>
      </c>
      <c r="AM90" s="14" t="n"/>
      <c r="AN90" s="15" t="n"/>
      <c r="AO90" s="16">
        <f>IFERROR(AM90*AN90, 0)</f>
        <v/>
      </c>
      <c r="AP90" s="14" t="n"/>
      <c r="AQ90" s="15" t="n"/>
      <c r="AR90" s="16">
        <f>IFERROR(AP90*AQ90, 0)</f>
        <v/>
      </c>
      <c r="AS90" s="14" t="n"/>
      <c r="AT90" s="15" t="n"/>
      <c r="AU90" s="16">
        <f>IFERROR(AS90*AT90, 0)</f>
        <v/>
      </c>
      <c r="AV90" s="14" t="n"/>
      <c r="AW90" s="15" t="n"/>
      <c r="AX90" s="16">
        <f>IFERROR(AV90*AW90, 0)</f>
        <v/>
      </c>
      <c r="AY90" s="14" t="n"/>
      <c r="AZ90" s="15" t="n"/>
      <c r="BA90" s="16">
        <f>IFERROR(AY90*AZ90, 0)</f>
        <v/>
      </c>
      <c r="BB90" s="14" t="n"/>
      <c r="BC90" s="15" t="n"/>
      <c r="BD90" s="16">
        <f>IFERROR(BB90*BC90, 0)</f>
        <v/>
      </c>
      <c r="BE90" s="14" t="n"/>
      <c r="BF90" s="15" t="n"/>
      <c r="BG90" s="16">
        <f>IFERROR(BE90*BF90, 0)</f>
        <v/>
      </c>
      <c r="BH90" s="14" t="n"/>
      <c r="BI90" s="15" t="n"/>
      <c r="BJ90" s="16">
        <f>IFERROR(BH90*BI90, 0)</f>
        <v/>
      </c>
      <c r="BK90" s="14" t="n"/>
      <c r="BL90" s="15" t="n"/>
      <c r="BM90" s="16">
        <f>IFERROR(BK90*BL90, 0)</f>
        <v/>
      </c>
      <c r="BN90" s="14" t="n"/>
      <c r="BO90" s="15" t="n"/>
      <c r="BP90" s="16">
        <f>IFERROR(BN90*BO90, 0)</f>
        <v/>
      </c>
      <c r="BQ90" s="14" t="n"/>
      <c r="BR90" s="15" t="n"/>
      <c r="BS90" s="16">
        <f>IFERROR(BQ90*BR90, 0)</f>
        <v/>
      </c>
      <c r="BT90" s="14" t="n"/>
      <c r="BU90" s="15" t="n"/>
      <c r="BV90" s="16">
        <f>IFERROR(BT90*BU90, 0)</f>
        <v/>
      </c>
      <c r="BW90" s="14" t="n"/>
      <c r="BX90" s="15" t="n"/>
      <c r="BY90" s="16">
        <f>IFERROR(BW90*BX90, 0)</f>
        <v/>
      </c>
      <c r="BZ90" s="14" t="n"/>
      <c r="CA90" s="15" t="n"/>
      <c r="CB90" s="16">
        <f>IFERROR(BZ90*CA90, 0)</f>
        <v/>
      </c>
      <c r="CC90" s="14" t="n"/>
      <c r="CD90" s="15" t="n"/>
      <c r="CE90" s="16">
        <f>IFERROR(CC90*CD90, 0)</f>
        <v/>
      </c>
      <c r="CF90" s="14" t="n"/>
      <c r="CG90" s="15" t="n"/>
      <c r="CH90" s="16">
        <f>IFERROR(CF90*CG90, 0)</f>
        <v/>
      </c>
      <c r="CI90" s="14" t="n"/>
      <c r="CJ90" s="15" t="n"/>
      <c r="CK90" s="16">
        <f>IFERROR(CI90*CJ90, 0)</f>
        <v/>
      </c>
      <c r="CL90" s="14" t="n"/>
      <c r="CM90" s="15" t="n"/>
      <c r="CN90" s="16">
        <f>IFERROR(CL90*CM90, 0)</f>
        <v/>
      </c>
      <c r="CO90" s="14" t="n"/>
      <c r="CP90" s="15" t="n"/>
      <c r="CQ90" s="16">
        <f>IFERROR(CO90*CP90, 0)</f>
        <v/>
      </c>
      <c r="CR90" s="14" t="n"/>
      <c r="CS90" s="15" t="n"/>
      <c r="CT90" s="16">
        <f>IFERROR(CR90*CS90, 0)</f>
        <v/>
      </c>
      <c r="CU90" s="17">
        <f>IFERROR(SUM(F90,I90,L90,O90,R90,U90,X90,AA90,AD90,AG90,AJ90,AM90,AP90,AS90,AV90,AY90,BB90,BE90,BH90,BK90,BN90,BQ90,BT90,BW90,BZ90,CC90,CF90,CI90,CL90,CO90,CR90), 0)</f>
        <v/>
      </c>
      <c r="CV90" s="16">
        <f>IFERROR(AVERAGE(G90,J90,M90,P90,S90,V90,Y90,AB90,AE90,AH90,AK90,AN90,AQ90,AT90,AW90,AZ90,BC90,BF90,BI90,BL90,BO90,BR90,BU90,BX90,CA90,CD90,CG90,CJ90,CM90,CP90,CS90), 0)</f>
        <v/>
      </c>
      <c r="CW90" s="16">
        <f>CU90*CV90</f>
        <v/>
      </c>
    </row>
    <row r="91" ht="15.75" customHeight="1">
      <c r="A91" s="41" t="inlineStr">
        <is>
          <t>Tomate sobre</t>
        </is>
      </c>
      <c r="B91" s="41" t="inlineStr">
        <is>
          <t>Pqte</t>
        </is>
      </c>
      <c r="C91" s="42" t="n"/>
      <c r="D91" s="43" t="n"/>
      <c r="E91" s="78">
        <f>IFERROR(+C91*D91, 0)</f>
        <v/>
      </c>
      <c r="F91" s="14" t="n"/>
      <c r="G91" s="15" t="n"/>
      <c r="H91" s="16">
        <f>IFERROR(F91*G91, 0)</f>
        <v/>
      </c>
      <c r="I91" s="14" t="n"/>
      <c r="J91" s="15" t="n"/>
      <c r="K91" s="16">
        <f>IFERROR(I91*J91, 0)</f>
        <v/>
      </c>
      <c r="L91" s="14" t="n"/>
      <c r="M91" s="15" t="n"/>
      <c r="N91" s="16">
        <f>IFERROR(L91*M91, 0)</f>
        <v/>
      </c>
      <c r="O91" s="14" t="n"/>
      <c r="P91" s="15" t="n"/>
      <c r="Q91" s="16">
        <f>IFERROR(O91*P91, 0)</f>
        <v/>
      </c>
      <c r="R91" s="14" t="n"/>
      <c r="S91" s="15" t="n"/>
      <c r="T91" s="16">
        <f>IFERROR(R91*S91, 0)</f>
        <v/>
      </c>
      <c r="U91" s="14" t="n"/>
      <c r="V91" s="15" t="n"/>
      <c r="W91" s="16">
        <f>IFERROR(U91*V91, 0)</f>
        <v/>
      </c>
      <c r="X91" s="14" t="n"/>
      <c r="Y91" s="15" t="n"/>
      <c r="Z91" s="16">
        <f>IFERROR(X91*Y91, 0)</f>
        <v/>
      </c>
      <c r="AA91" s="14" t="n"/>
      <c r="AB91" s="15" t="n"/>
      <c r="AC91" s="16">
        <f>IFERROR(AA91*AB91, 0)</f>
        <v/>
      </c>
      <c r="AD91" s="14" t="n"/>
      <c r="AE91" s="15" t="n"/>
      <c r="AF91" s="16">
        <f>IFERROR(AD91*AE91, 0)</f>
        <v/>
      </c>
      <c r="AG91" s="14" t="n"/>
      <c r="AH91" s="15" t="n"/>
      <c r="AI91" s="16">
        <f>IFERROR(AG91*AH91, 0)</f>
        <v/>
      </c>
      <c r="AJ91" s="14" t="n"/>
      <c r="AK91" s="15" t="n"/>
      <c r="AL91" s="16">
        <f>IFERROR(AJ91*AK91, 0)</f>
        <v/>
      </c>
      <c r="AM91" s="14" t="n"/>
      <c r="AN91" s="15" t="n"/>
      <c r="AO91" s="16">
        <f>IFERROR(AM91*AN91, 0)</f>
        <v/>
      </c>
      <c r="AP91" s="14" t="n"/>
      <c r="AQ91" s="15" t="n"/>
      <c r="AR91" s="16">
        <f>IFERROR(AP91*AQ91, 0)</f>
        <v/>
      </c>
      <c r="AS91" s="14" t="n"/>
      <c r="AT91" s="15" t="n"/>
      <c r="AU91" s="16">
        <f>IFERROR(AS91*AT91, 0)</f>
        <v/>
      </c>
      <c r="AV91" s="14" t="n"/>
      <c r="AW91" s="15" t="n"/>
      <c r="AX91" s="16">
        <f>IFERROR(AV91*AW91, 0)</f>
        <v/>
      </c>
      <c r="AY91" s="14" t="n"/>
      <c r="AZ91" s="15" t="n"/>
      <c r="BA91" s="16">
        <f>IFERROR(AY91*AZ91, 0)</f>
        <v/>
      </c>
      <c r="BB91" s="14" t="n"/>
      <c r="BC91" s="15" t="n"/>
      <c r="BD91" s="16">
        <f>IFERROR(BB91*BC91, 0)</f>
        <v/>
      </c>
      <c r="BE91" s="14" t="n"/>
      <c r="BF91" s="15" t="n"/>
      <c r="BG91" s="16">
        <f>IFERROR(BE91*BF91, 0)</f>
        <v/>
      </c>
      <c r="BH91" s="14" t="n"/>
      <c r="BI91" s="15" t="n"/>
      <c r="BJ91" s="16">
        <f>IFERROR(BH91*BI91, 0)</f>
        <v/>
      </c>
      <c r="BK91" s="14" t="n"/>
      <c r="BL91" s="15" t="n"/>
      <c r="BM91" s="16">
        <f>IFERROR(BK91*BL91, 0)</f>
        <v/>
      </c>
      <c r="BN91" s="14" t="n"/>
      <c r="BO91" s="15" t="n"/>
      <c r="BP91" s="16">
        <f>IFERROR(BN91*BO91, 0)</f>
        <v/>
      </c>
      <c r="BQ91" s="14" t="n"/>
      <c r="BR91" s="15" t="n"/>
      <c r="BS91" s="16">
        <f>IFERROR(BQ91*BR91, 0)</f>
        <v/>
      </c>
      <c r="BT91" s="14" t="n"/>
      <c r="BU91" s="15" t="n"/>
      <c r="BV91" s="16">
        <f>IFERROR(BT91*BU91, 0)</f>
        <v/>
      </c>
      <c r="BW91" s="14" t="n"/>
      <c r="BX91" s="15" t="n"/>
      <c r="BY91" s="16">
        <f>IFERROR(BW91*BX91, 0)</f>
        <v/>
      </c>
      <c r="BZ91" s="14" t="n"/>
      <c r="CA91" s="15" t="n"/>
      <c r="CB91" s="16">
        <f>IFERROR(BZ91*CA91, 0)</f>
        <v/>
      </c>
      <c r="CC91" s="14" t="n"/>
      <c r="CD91" s="15" t="n"/>
      <c r="CE91" s="16">
        <f>IFERROR(CC91*CD91, 0)</f>
        <v/>
      </c>
      <c r="CF91" s="14" t="n"/>
      <c r="CG91" s="15" t="n"/>
      <c r="CH91" s="16">
        <f>IFERROR(CF91*CG91, 0)</f>
        <v/>
      </c>
      <c r="CI91" s="14" t="n"/>
      <c r="CJ91" s="15" t="n"/>
      <c r="CK91" s="16">
        <f>IFERROR(CI91*CJ91, 0)</f>
        <v/>
      </c>
      <c r="CL91" s="14" t="n"/>
      <c r="CM91" s="15" t="n"/>
      <c r="CN91" s="16">
        <f>IFERROR(CL91*CM91, 0)</f>
        <v/>
      </c>
      <c r="CO91" s="14" t="n"/>
      <c r="CP91" s="15" t="n"/>
      <c r="CQ91" s="16">
        <f>IFERROR(CO91*CP91, 0)</f>
        <v/>
      </c>
      <c r="CR91" s="14" t="n"/>
      <c r="CS91" s="15" t="n"/>
      <c r="CT91" s="16">
        <f>IFERROR(CR91*CS91, 0)</f>
        <v/>
      </c>
      <c r="CU91" s="17">
        <f>IFERROR(SUM(F91,I91,L91,O91,R91,U91,X91,AA91,AD91,AG91,AJ91,AM91,AP91,AS91,AV91,AY91,BB91,BE91,BH91,BK91,BN91,BQ91,BT91,BW91,BZ91,CC91,CF91,CI91,CL91,CO91,CR91), 0)</f>
        <v/>
      </c>
      <c r="CV91" s="16">
        <f>IFERROR(AVERAGE(G91,J91,M91,P91,S91,V91,Y91,AB91,AE91,AH91,AK91,AN91,AQ91,AT91,AW91,AZ91,BC91,BF91,BI91,BL91,BO91,BR91,BU91,BX91,CA91,CD91,CG91,CJ91,CM91,CP91,CS91), 0)</f>
        <v/>
      </c>
      <c r="CW91" s="16">
        <f>CU91*CV91</f>
        <v/>
      </c>
    </row>
    <row r="92" ht="15.75" customHeight="1">
      <c r="A92" s="41" t="inlineStr">
        <is>
          <t>Trapero industrial</t>
        </is>
      </c>
      <c r="B92" s="41" t="inlineStr">
        <is>
          <t>Und</t>
        </is>
      </c>
      <c r="C92" s="42" t="n"/>
      <c r="D92" s="43" t="n"/>
      <c r="E92" s="78">
        <f>IFERROR(+C92*D92, 0)</f>
        <v/>
      </c>
      <c r="F92" s="14" t="n"/>
      <c r="G92" s="15" t="n"/>
      <c r="H92" s="16">
        <f>IFERROR(F92*G92, 0)</f>
        <v/>
      </c>
      <c r="I92" s="14" t="n"/>
      <c r="J92" s="15" t="n"/>
      <c r="K92" s="16">
        <f>IFERROR(I92*J92, 0)</f>
        <v/>
      </c>
      <c r="L92" s="14" t="n"/>
      <c r="M92" s="15" t="n"/>
      <c r="N92" s="16">
        <f>IFERROR(L92*M92, 0)</f>
        <v/>
      </c>
      <c r="O92" s="14" t="n"/>
      <c r="P92" s="15" t="n"/>
      <c r="Q92" s="16">
        <f>IFERROR(O92*P92, 0)</f>
        <v/>
      </c>
      <c r="R92" s="14" t="n"/>
      <c r="S92" s="15" t="n"/>
      <c r="T92" s="16">
        <f>IFERROR(R92*S92, 0)</f>
        <v/>
      </c>
      <c r="U92" s="14" t="n"/>
      <c r="V92" s="15" t="n"/>
      <c r="W92" s="16">
        <f>IFERROR(U92*V92, 0)</f>
        <v/>
      </c>
      <c r="X92" s="14" t="n"/>
      <c r="Y92" s="15" t="n"/>
      <c r="Z92" s="16">
        <f>IFERROR(X92*Y92, 0)</f>
        <v/>
      </c>
      <c r="AA92" s="14" t="n"/>
      <c r="AB92" s="15" t="n"/>
      <c r="AC92" s="16">
        <f>IFERROR(AA92*AB92, 0)</f>
        <v/>
      </c>
      <c r="AD92" s="14" t="n"/>
      <c r="AE92" s="15" t="n"/>
      <c r="AF92" s="16">
        <f>IFERROR(AD92*AE92, 0)</f>
        <v/>
      </c>
      <c r="AG92" s="14" t="n"/>
      <c r="AH92" s="15" t="n"/>
      <c r="AI92" s="16">
        <f>IFERROR(AG92*AH92, 0)</f>
        <v/>
      </c>
      <c r="AJ92" s="14" t="n"/>
      <c r="AK92" s="15" t="n"/>
      <c r="AL92" s="16">
        <f>IFERROR(AJ92*AK92, 0)</f>
        <v/>
      </c>
      <c r="AM92" s="14" t="n"/>
      <c r="AN92" s="15" t="n"/>
      <c r="AO92" s="16">
        <f>IFERROR(AM92*AN92, 0)</f>
        <v/>
      </c>
      <c r="AP92" s="14" t="n"/>
      <c r="AQ92" s="15" t="n"/>
      <c r="AR92" s="16">
        <f>IFERROR(AP92*AQ92, 0)</f>
        <v/>
      </c>
      <c r="AS92" s="14" t="n"/>
      <c r="AT92" s="15" t="n"/>
      <c r="AU92" s="16">
        <f>IFERROR(AS92*AT92, 0)</f>
        <v/>
      </c>
      <c r="AV92" s="14" t="n"/>
      <c r="AW92" s="15" t="n"/>
      <c r="AX92" s="16">
        <f>IFERROR(AV92*AW92, 0)</f>
        <v/>
      </c>
      <c r="AY92" s="14" t="n"/>
      <c r="AZ92" s="15" t="n"/>
      <c r="BA92" s="16">
        <f>IFERROR(AY92*AZ92, 0)</f>
        <v/>
      </c>
      <c r="BB92" s="14" t="n"/>
      <c r="BC92" s="15" t="n"/>
      <c r="BD92" s="16">
        <f>IFERROR(BB92*BC92, 0)</f>
        <v/>
      </c>
      <c r="BE92" s="14" t="n"/>
      <c r="BF92" s="15" t="n"/>
      <c r="BG92" s="16">
        <f>IFERROR(BE92*BF92, 0)</f>
        <v/>
      </c>
      <c r="BH92" s="14" t="n"/>
      <c r="BI92" s="15" t="n"/>
      <c r="BJ92" s="16">
        <f>IFERROR(BH92*BI92, 0)</f>
        <v/>
      </c>
      <c r="BK92" s="14" t="n"/>
      <c r="BL92" s="15" t="n"/>
      <c r="BM92" s="16">
        <f>IFERROR(BK92*BL92, 0)</f>
        <v/>
      </c>
      <c r="BN92" s="14" t="n"/>
      <c r="BO92" s="15" t="n"/>
      <c r="BP92" s="16">
        <f>IFERROR(BN92*BO92, 0)</f>
        <v/>
      </c>
      <c r="BQ92" s="14" t="n"/>
      <c r="BR92" s="15" t="n"/>
      <c r="BS92" s="16">
        <f>IFERROR(BQ92*BR92, 0)</f>
        <v/>
      </c>
      <c r="BT92" s="14" t="n"/>
      <c r="BU92" s="15" t="n"/>
      <c r="BV92" s="16">
        <f>IFERROR(BT92*BU92, 0)</f>
        <v/>
      </c>
      <c r="BW92" s="14" t="n"/>
      <c r="BX92" s="15" t="n"/>
      <c r="BY92" s="16">
        <f>IFERROR(BW92*BX92, 0)</f>
        <v/>
      </c>
      <c r="BZ92" s="14" t="n"/>
      <c r="CA92" s="15" t="n"/>
      <c r="CB92" s="16">
        <f>IFERROR(BZ92*CA92, 0)</f>
        <v/>
      </c>
      <c r="CC92" s="14" t="n"/>
      <c r="CD92" s="15" t="n"/>
      <c r="CE92" s="16">
        <f>IFERROR(CC92*CD92, 0)</f>
        <v/>
      </c>
      <c r="CF92" s="14" t="n"/>
      <c r="CG92" s="15" t="n"/>
      <c r="CH92" s="16">
        <f>IFERROR(CF92*CG92, 0)</f>
        <v/>
      </c>
      <c r="CI92" s="14" t="n"/>
      <c r="CJ92" s="15" t="n"/>
      <c r="CK92" s="16">
        <f>IFERROR(CI92*CJ92, 0)</f>
        <v/>
      </c>
      <c r="CL92" s="14" t="n"/>
      <c r="CM92" s="15" t="n"/>
      <c r="CN92" s="16">
        <f>IFERROR(CL92*CM92, 0)</f>
        <v/>
      </c>
      <c r="CO92" s="14" t="n"/>
      <c r="CP92" s="15" t="n"/>
      <c r="CQ92" s="16">
        <f>IFERROR(CO92*CP92, 0)</f>
        <v/>
      </c>
      <c r="CR92" s="14" t="n"/>
      <c r="CS92" s="15" t="n"/>
      <c r="CT92" s="16">
        <f>IFERROR(CR92*CS92, 0)</f>
        <v/>
      </c>
      <c r="CU92" s="17">
        <f>IFERROR(SUM(F92,I92,L92,O92,R92,U92,X92,AA92,AD92,AG92,AJ92,AM92,AP92,AS92,AV92,AY92,BB92,BE92,BH92,BK92,BN92,BQ92,BT92,BW92,BZ92,CC92,CF92,CI92,CL92,CO92,CR92), 0)</f>
        <v/>
      </c>
      <c r="CV92" s="16">
        <f>IFERROR(AVERAGE(G92,J92,M92,P92,S92,V92,Y92,AB92,AE92,AH92,AK92,AN92,AQ92,AT92,AW92,AZ92,BC92,BF92,BI92,BL92,BO92,BR92,BU92,BX92,CA92,CD92,CG92,CJ92,CM92,CP92,CS92), 0)</f>
        <v/>
      </c>
      <c r="CW92" s="16">
        <f>CU92*CV92</f>
        <v/>
      </c>
    </row>
    <row r="93" ht="15.75" customHeight="1">
      <c r="A93" s="41" t="inlineStr">
        <is>
          <t>Trio de cubiertos</t>
        </is>
      </c>
      <c r="B93" s="41" t="inlineStr">
        <is>
          <t>Und</t>
        </is>
      </c>
      <c r="C93" s="42" t="n"/>
      <c r="D93" s="43" t="n"/>
      <c r="E93" s="78">
        <f>IFERROR(+C93*D93, 0)</f>
        <v/>
      </c>
      <c r="F93" s="14" t="n"/>
      <c r="G93" s="15" t="n"/>
      <c r="H93" s="16">
        <f>IFERROR(F93*G93, 0)</f>
        <v/>
      </c>
      <c r="I93" s="14" t="n"/>
      <c r="J93" s="15" t="n"/>
      <c r="K93" s="16">
        <f>IFERROR(I93*J93, 0)</f>
        <v/>
      </c>
      <c r="L93" s="14" t="n"/>
      <c r="M93" s="15" t="n"/>
      <c r="N93" s="16">
        <f>IFERROR(L93*M93, 0)</f>
        <v/>
      </c>
      <c r="O93" s="14" t="n"/>
      <c r="P93" s="15" t="n"/>
      <c r="Q93" s="16">
        <f>IFERROR(O93*P93, 0)</f>
        <v/>
      </c>
      <c r="R93" s="14" t="n"/>
      <c r="S93" s="15" t="n"/>
      <c r="T93" s="16">
        <f>IFERROR(R93*S93, 0)</f>
        <v/>
      </c>
      <c r="U93" s="14" t="n"/>
      <c r="V93" s="15" t="n"/>
      <c r="W93" s="16">
        <f>IFERROR(U93*V93, 0)</f>
        <v/>
      </c>
      <c r="X93" s="14" t="n"/>
      <c r="Y93" s="15" t="n"/>
      <c r="Z93" s="16">
        <f>IFERROR(X93*Y93, 0)</f>
        <v/>
      </c>
      <c r="AA93" s="14" t="n"/>
      <c r="AB93" s="15" t="n"/>
      <c r="AC93" s="16">
        <f>IFERROR(AA93*AB93, 0)</f>
        <v/>
      </c>
      <c r="AD93" s="14" t="n"/>
      <c r="AE93" s="15" t="n"/>
      <c r="AF93" s="16">
        <f>IFERROR(AD93*AE93, 0)</f>
        <v/>
      </c>
      <c r="AG93" s="14" t="n"/>
      <c r="AH93" s="15" t="n"/>
      <c r="AI93" s="16">
        <f>IFERROR(AG93*AH93, 0)</f>
        <v/>
      </c>
      <c r="AJ93" s="14" t="n"/>
      <c r="AK93" s="15" t="n"/>
      <c r="AL93" s="16">
        <f>IFERROR(AJ93*AK93, 0)</f>
        <v/>
      </c>
      <c r="AM93" s="14" t="n"/>
      <c r="AN93" s="15" t="n"/>
      <c r="AO93" s="16">
        <f>IFERROR(AM93*AN93, 0)</f>
        <v/>
      </c>
      <c r="AP93" s="14" t="n"/>
      <c r="AQ93" s="15" t="n"/>
      <c r="AR93" s="16">
        <f>IFERROR(AP93*AQ93, 0)</f>
        <v/>
      </c>
      <c r="AS93" s="14" t="n"/>
      <c r="AT93" s="15" t="n"/>
      <c r="AU93" s="16">
        <f>IFERROR(AS93*AT93, 0)</f>
        <v/>
      </c>
      <c r="AV93" s="14" t="n"/>
      <c r="AW93" s="15" t="n"/>
      <c r="AX93" s="16">
        <f>IFERROR(AV93*AW93, 0)</f>
        <v/>
      </c>
      <c r="AY93" s="14" t="n"/>
      <c r="AZ93" s="15" t="n"/>
      <c r="BA93" s="16">
        <f>IFERROR(AY93*AZ93, 0)</f>
        <v/>
      </c>
      <c r="BB93" s="14" t="n"/>
      <c r="BC93" s="15" t="n"/>
      <c r="BD93" s="16">
        <f>IFERROR(BB93*BC93, 0)</f>
        <v/>
      </c>
      <c r="BE93" s="14" t="n"/>
      <c r="BF93" s="15" t="n"/>
      <c r="BG93" s="16">
        <f>IFERROR(BE93*BF93, 0)</f>
        <v/>
      </c>
      <c r="BH93" s="14" t="n"/>
      <c r="BI93" s="15" t="n"/>
      <c r="BJ93" s="16">
        <f>IFERROR(BH93*BI93, 0)</f>
        <v/>
      </c>
      <c r="BK93" s="14" t="n"/>
      <c r="BL93" s="15" t="n"/>
      <c r="BM93" s="16">
        <f>IFERROR(BK93*BL93, 0)</f>
        <v/>
      </c>
      <c r="BN93" s="14" t="n"/>
      <c r="BO93" s="15" t="n"/>
      <c r="BP93" s="16">
        <f>IFERROR(BN93*BO93, 0)</f>
        <v/>
      </c>
      <c r="BQ93" s="14" t="n"/>
      <c r="BR93" s="15" t="n"/>
      <c r="BS93" s="16">
        <f>IFERROR(BQ93*BR93, 0)</f>
        <v/>
      </c>
      <c r="BT93" s="14" t="n"/>
      <c r="BU93" s="15" t="n"/>
      <c r="BV93" s="16">
        <f>IFERROR(BT93*BU93, 0)</f>
        <v/>
      </c>
      <c r="BW93" s="14" t="n"/>
      <c r="BX93" s="15" t="n"/>
      <c r="BY93" s="16">
        <f>IFERROR(BW93*BX93, 0)</f>
        <v/>
      </c>
      <c r="BZ93" s="14" t="n"/>
      <c r="CA93" s="15" t="n"/>
      <c r="CB93" s="16">
        <f>IFERROR(BZ93*CA93, 0)</f>
        <v/>
      </c>
      <c r="CC93" s="14" t="n"/>
      <c r="CD93" s="15" t="n"/>
      <c r="CE93" s="16">
        <f>IFERROR(CC93*CD93, 0)</f>
        <v/>
      </c>
      <c r="CF93" s="14" t="n"/>
      <c r="CG93" s="15" t="n"/>
      <c r="CH93" s="16">
        <f>IFERROR(CF93*CG93, 0)</f>
        <v/>
      </c>
      <c r="CI93" s="14" t="n"/>
      <c r="CJ93" s="15" t="n"/>
      <c r="CK93" s="16">
        <f>IFERROR(CI93*CJ93, 0)</f>
        <v/>
      </c>
      <c r="CL93" s="14" t="n"/>
      <c r="CM93" s="15" t="n"/>
      <c r="CN93" s="16">
        <f>IFERROR(CL93*CM93, 0)</f>
        <v/>
      </c>
      <c r="CO93" s="14" t="n"/>
      <c r="CP93" s="15" t="n"/>
      <c r="CQ93" s="16">
        <f>IFERROR(CO93*CP93, 0)</f>
        <v/>
      </c>
      <c r="CR93" s="14" t="n"/>
      <c r="CS93" s="15" t="n"/>
      <c r="CT93" s="16">
        <f>IFERROR(CR93*CS93, 0)</f>
        <v/>
      </c>
      <c r="CU93" s="17">
        <f>IFERROR(SUM(F93,I93,L93,O93,R93,U93,X93,AA93,AD93,AG93,AJ93,AM93,AP93,AS93,AV93,AY93,BB93,BE93,BH93,BK93,BN93,BQ93,BT93,BW93,BZ93,CC93,CF93,CI93,CL93,CO93,CR93), 0)</f>
        <v/>
      </c>
      <c r="CV93" s="16">
        <f>IFERROR(AVERAGE(G93,J93,M93,P93,S93,V93,Y93,AB93,AE93,AH93,AK93,AN93,AQ93,AT93,AW93,AZ93,BC93,BF93,BI93,BL93,BO93,BR93,BU93,BX93,CA93,CD93,CG93,CJ93,CM93,CP93,CS93), 0)</f>
        <v/>
      </c>
      <c r="CW93" s="16">
        <f>CU93*CV93</f>
        <v/>
      </c>
    </row>
    <row r="94" ht="15.75" customHeight="1">
      <c r="A94" s="41" t="inlineStr">
        <is>
          <t>Vaso 3.5 tansl</t>
        </is>
      </c>
      <c r="B94" s="41" t="inlineStr">
        <is>
          <t>Pqte</t>
        </is>
      </c>
      <c r="C94" s="42" t="n"/>
      <c r="D94" s="43" t="n"/>
      <c r="E94" s="78">
        <f>IFERROR(+C94*D94, 0)</f>
        <v/>
      </c>
      <c r="F94" s="14" t="n"/>
      <c r="G94" s="15" t="n"/>
      <c r="H94" s="16">
        <f>IFERROR(F94*G94, 0)</f>
        <v/>
      </c>
      <c r="I94" s="14" t="n"/>
      <c r="J94" s="15" t="n"/>
      <c r="K94" s="16">
        <f>IFERROR(I94*J94, 0)</f>
        <v/>
      </c>
      <c r="L94" s="14" t="n"/>
      <c r="M94" s="15" t="n"/>
      <c r="N94" s="16">
        <f>IFERROR(L94*M94, 0)</f>
        <v/>
      </c>
      <c r="O94" s="14" t="n"/>
      <c r="P94" s="15" t="n"/>
      <c r="Q94" s="16">
        <f>IFERROR(O94*P94, 0)</f>
        <v/>
      </c>
      <c r="R94" s="14" t="n"/>
      <c r="S94" s="15" t="n"/>
      <c r="T94" s="16">
        <f>IFERROR(R94*S94, 0)</f>
        <v/>
      </c>
      <c r="U94" s="14" t="n"/>
      <c r="V94" s="15" t="n"/>
      <c r="W94" s="16">
        <f>IFERROR(U94*V94, 0)</f>
        <v/>
      </c>
      <c r="X94" s="14" t="n"/>
      <c r="Y94" s="15" t="n"/>
      <c r="Z94" s="16">
        <f>IFERROR(X94*Y94, 0)</f>
        <v/>
      </c>
      <c r="AA94" s="14" t="n"/>
      <c r="AB94" s="15" t="n"/>
      <c r="AC94" s="16">
        <f>IFERROR(AA94*AB94, 0)</f>
        <v/>
      </c>
      <c r="AD94" s="14" t="n"/>
      <c r="AE94" s="15" t="n"/>
      <c r="AF94" s="16">
        <f>IFERROR(AD94*AE94, 0)</f>
        <v/>
      </c>
      <c r="AG94" s="14" t="n"/>
      <c r="AH94" s="15" t="n"/>
      <c r="AI94" s="16">
        <f>IFERROR(AG94*AH94, 0)</f>
        <v/>
      </c>
      <c r="AJ94" s="14" t="n"/>
      <c r="AK94" s="15" t="n"/>
      <c r="AL94" s="16">
        <f>IFERROR(AJ94*AK94, 0)</f>
        <v/>
      </c>
      <c r="AM94" s="14" t="n"/>
      <c r="AN94" s="15" t="n"/>
      <c r="AO94" s="16">
        <f>IFERROR(AM94*AN94, 0)</f>
        <v/>
      </c>
      <c r="AP94" s="14" t="n"/>
      <c r="AQ94" s="15" t="n"/>
      <c r="AR94" s="16">
        <f>IFERROR(AP94*AQ94, 0)</f>
        <v/>
      </c>
      <c r="AS94" s="14" t="n"/>
      <c r="AT94" s="15" t="n"/>
      <c r="AU94" s="16">
        <f>IFERROR(AS94*AT94, 0)</f>
        <v/>
      </c>
      <c r="AV94" s="14" t="n"/>
      <c r="AW94" s="15" t="n"/>
      <c r="AX94" s="16">
        <f>IFERROR(AV94*AW94, 0)</f>
        <v/>
      </c>
      <c r="AY94" s="14" t="n"/>
      <c r="AZ94" s="15" t="n"/>
      <c r="BA94" s="16">
        <f>IFERROR(AY94*AZ94, 0)</f>
        <v/>
      </c>
      <c r="BB94" s="14" t="n"/>
      <c r="BC94" s="15" t="n"/>
      <c r="BD94" s="16">
        <f>IFERROR(BB94*BC94, 0)</f>
        <v/>
      </c>
      <c r="BE94" s="14" t="n"/>
      <c r="BF94" s="15" t="n"/>
      <c r="BG94" s="16">
        <f>IFERROR(BE94*BF94, 0)</f>
        <v/>
      </c>
      <c r="BH94" s="14" t="n"/>
      <c r="BI94" s="15" t="n"/>
      <c r="BJ94" s="16">
        <f>IFERROR(BH94*BI94, 0)</f>
        <v/>
      </c>
      <c r="BK94" s="14" t="n"/>
      <c r="BL94" s="15" t="n"/>
      <c r="BM94" s="16">
        <f>IFERROR(BK94*BL94, 0)</f>
        <v/>
      </c>
      <c r="BN94" s="14" t="n"/>
      <c r="BO94" s="15" t="n"/>
      <c r="BP94" s="16">
        <f>IFERROR(BN94*BO94, 0)</f>
        <v/>
      </c>
      <c r="BQ94" s="14" t="n"/>
      <c r="BR94" s="15" t="n"/>
      <c r="BS94" s="16">
        <f>IFERROR(BQ94*BR94, 0)</f>
        <v/>
      </c>
      <c r="BT94" s="14" t="n"/>
      <c r="BU94" s="15" t="n"/>
      <c r="BV94" s="16">
        <f>IFERROR(BT94*BU94, 0)</f>
        <v/>
      </c>
      <c r="BW94" s="14" t="n"/>
      <c r="BX94" s="15" t="n"/>
      <c r="BY94" s="16">
        <f>IFERROR(BW94*BX94, 0)</f>
        <v/>
      </c>
      <c r="BZ94" s="14" t="n"/>
      <c r="CA94" s="15" t="n"/>
      <c r="CB94" s="16">
        <f>IFERROR(BZ94*CA94, 0)</f>
        <v/>
      </c>
      <c r="CC94" s="14" t="n"/>
      <c r="CD94" s="15" t="n"/>
      <c r="CE94" s="16">
        <f>IFERROR(CC94*CD94, 0)</f>
        <v/>
      </c>
      <c r="CF94" s="14" t="n"/>
      <c r="CG94" s="15" t="n"/>
      <c r="CH94" s="16">
        <f>IFERROR(CF94*CG94, 0)</f>
        <v/>
      </c>
      <c r="CI94" s="14" t="n"/>
      <c r="CJ94" s="15" t="n"/>
      <c r="CK94" s="16">
        <f>IFERROR(CI94*CJ94, 0)</f>
        <v/>
      </c>
      <c r="CL94" s="14" t="n"/>
      <c r="CM94" s="15" t="n"/>
      <c r="CN94" s="16">
        <f>IFERROR(CL94*CM94, 0)</f>
        <v/>
      </c>
      <c r="CO94" s="14" t="n"/>
      <c r="CP94" s="15" t="n"/>
      <c r="CQ94" s="16">
        <f>IFERROR(CO94*CP94, 0)</f>
        <v/>
      </c>
      <c r="CR94" s="14" t="n"/>
      <c r="CS94" s="15" t="n"/>
      <c r="CT94" s="16">
        <f>IFERROR(CR94*CS94, 0)</f>
        <v/>
      </c>
      <c r="CU94" s="17">
        <f>IFERROR(SUM(F94,I94,L94,O94,R94,U94,X94,AA94,AD94,AG94,AJ94,AM94,AP94,AS94,AV94,AY94,BB94,BE94,BH94,BK94,BN94,BQ94,BT94,BW94,BZ94,CC94,CF94,CI94,CL94,CO94,CR94), 0)</f>
        <v/>
      </c>
      <c r="CV94" s="16">
        <f>IFERROR(AVERAGE(G94,J94,M94,P94,S94,V94,Y94,AB94,AE94,AH94,AK94,AN94,AQ94,AT94,AW94,AZ94,BC94,BF94,BI94,BL94,BO94,BR94,BU94,BX94,CA94,CD94,CG94,CJ94,CM94,CP94,CS94), 0)</f>
        <v/>
      </c>
      <c r="CW94" s="16">
        <f>CU94*CV94</f>
        <v/>
      </c>
    </row>
    <row r="95" ht="15.75" customHeight="1">
      <c r="A95" s="41" t="inlineStr">
        <is>
          <t>Tapa copa 1/2</t>
        </is>
      </c>
      <c r="B95" s="41" t="inlineStr">
        <is>
          <t>Pqte</t>
        </is>
      </c>
      <c r="C95" s="42" t="n"/>
      <c r="D95" s="43" t="n"/>
      <c r="E95" s="78">
        <f>IFERROR(+C95*D95, 0)</f>
        <v/>
      </c>
      <c r="F95" s="14" t="n"/>
      <c r="G95" s="15" t="n"/>
      <c r="H95" s="16">
        <f>IFERROR(F95*G95, 0)</f>
        <v/>
      </c>
      <c r="I95" s="14" t="n"/>
      <c r="J95" s="15" t="n"/>
      <c r="K95" s="16">
        <f>IFERROR(I95*J95, 0)</f>
        <v/>
      </c>
      <c r="L95" s="14" t="n"/>
      <c r="M95" s="15" t="n"/>
      <c r="N95" s="16">
        <f>IFERROR(L95*M95, 0)</f>
        <v/>
      </c>
      <c r="O95" s="14" t="n"/>
      <c r="P95" s="15" t="n"/>
      <c r="Q95" s="16">
        <f>IFERROR(O95*P95, 0)</f>
        <v/>
      </c>
      <c r="R95" s="14" t="n"/>
      <c r="S95" s="15" t="n"/>
      <c r="T95" s="16">
        <f>IFERROR(R95*S95, 0)</f>
        <v/>
      </c>
      <c r="U95" s="14" t="n"/>
      <c r="V95" s="15" t="n"/>
      <c r="W95" s="16">
        <f>IFERROR(U95*V95, 0)</f>
        <v/>
      </c>
      <c r="X95" s="14" t="n"/>
      <c r="Y95" s="15" t="n"/>
      <c r="Z95" s="16">
        <f>IFERROR(X95*Y95, 0)</f>
        <v/>
      </c>
      <c r="AA95" s="14" t="n"/>
      <c r="AB95" s="15" t="n"/>
      <c r="AC95" s="16">
        <f>IFERROR(AA95*AB95, 0)</f>
        <v/>
      </c>
      <c r="AD95" s="14" t="n"/>
      <c r="AE95" s="15" t="n"/>
      <c r="AF95" s="16">
        <f>IFERROR(AD95*AE95, 0)</f>
        <v/>
      </c>
      <c r="AG95" s="14" t="n"/>
      <c r="AH95" s="15" t="n"/>
      <c r="AI95" s="16">
        <f>IFERROR(AG95*AH95, 0)</f>
        <v/>
      </c>
      <c r="AJ95" s="14" t="n"/>
      <c r="AK95" s="15" t="n"/>
      <c r="AL95" s="16">
        <f>IFERROR(AJ95*AK95, 0)</f>
        <v/>
      </c>
      <c r="AM95" s="14" t="n"/>
      <c r="AN95" s="15" t="n"/>
      <c r="AO95" s="16">
        <f>IFERROR(AM95*AN95, 0)</f>
        <v/>
      </c>
      <c r="AP95" s="14" t="n"/>
      <c r="AQ95" s="15" t="n"/>
      <c r="AR95" s="16">
        <f>IFERROR(AP95*AQ95, 0)</f>
        <v/>
      </c>
      <c r="AS95" s="14" t="n"/>
      <c r="AT95" s="15" t="n"/>
      <c r="AU95" s="16">
        <f>IFERROR(AS95*AT95, 0)</f>
        <v/>
      </c>
      <c r="AV95" s="14" t="n"/>
      <c r="AW95" s="15" t="n"/>
      <c r="AX95" s="16">
        <f>IFERROR(AV95*AW95, 0)</f>
        <v/>
      </c>
      <c r="AY95" s="14" t="n"/>
      <c r="AZ95" s="15" t="n"/>
      <c r="BA95" s="16">
        <f>IFERROR(AY95*AZ95, 0)</f>
        <v/>
      </c>
      <c r="BB95" s="14" t="n"/>
      <c r="BC95" s="15" t="n"/>
      <c r="BD95" s="16">
        <f>IFERROR(BB95*BC95, 0)</f>
        <v/>
      </c>
      <c r="BE95" s="14" t="n"/>
      <c r="BF95" s="15" t="n"/>
      <c r="BG95" s="16">
        <f>IFERROR(BE95*BF95, 0)</f>
        <v/>
      </c>
      <c r="BH95" s="14" t="n"/>
      <c r="BI95" s="15" t="n"/>
      <c r="BJ95" s="16">
        <f>IFERROR(BH95*BI95, 0)</f>
        <v/>
      </c>
      <c r="BK95" s="14" t="n"/>
      <c r="BL95" s="15" t="n"/>
      <c r="BM95" s="16">
        <f>IFERROR(BK95*BL95, 0)</f>
        <v/>
      </c>
      <c r="BN95" s="14" t="n"/>
      <c r="BO95" s="15" t="n"/>
      <c r="BP95" s="16">
        <f>IFERROR(BN95*BO95, 0)</f>
        <v/>
      </c>
      <c r="BQ95" s="14" t="n"/>
      <c r="BR95" s="15" t="n"/>
      <c r="BS95" s="16">
        <f>IFERROR(BQ95*BR95, 0)</f>
        <v/>
      </c>
      <c r="BT95" s="14" t="n"/>
      <c r="BU95" s="15" t="n"/>
      <c r="BV95" s="16">
        <f>IFERROR(BT95*BU95, 0)</f>
        <v/>
      </c>
      <c r="BW95" s="14" t="n"/>
      <c r="BX95" s="15" t="n"/>
      <c r="BY95" s="16">
        <f>IFERROR(BW95*BX95, 0)</f>
        <v/>
      </c>
      <c r="BZ95" s="14" t="n"/>
      <c r="CA95" s="15" t="n"/>
      <c r="CB95" s="16">
        <f>IFERROR(BZ95*CA95, 0)</f>
        <v/>
      </c>
      <c r="CC95" s="14" t="n"/>
      <c r="CD95" s="15" t="n"/>
      <c r="CE95" s="16">
        <f>IFERROR(CC95*CD95, 0)</f>
        <v/>
      </c>
      <c r="CF95" s="14" t="n"/>
      <c r="CG95" s="15" t="n"/>
      <c r="CH95" s="16">
        <f>IFERROR(CF95*CG95, 0)</f>
        <v/>
      </c>
      <c r="CI95" s="14" t="n"/>
      <c r="CJ95" s="15" t="n"/>
      <c r="CK95" s="16">
        <f>IFERROR(CI95*CJ95, 0)</f>
        <v/>
      </c>
      <c r="CL95" s="14" t="n"/>
      <c r="CM95" s="15" t="n"/>
      <c r="CN95" s="16">
        <f>IFERROR(CL95*CM95, 0)</f>
        <v/>
      </c>
      <c r="CO95" s="14" t="n"/>
      <c r="CP95" s="15" t="n"/>
      <c r="CQ95" s="16">
        <f>IFERROR(CO95*CP95, 0)</f>
        <v/>
      </c>
      <c r="CR95" s="14" t="n"/>
      <c r="CS95" s="15" t="n"/>
      <c r="CT95" s="16">
        <f>IFERROR(CR95*CS95, 0)</f>
        <v/>
      </c>
      <c r="CU95" s="17">
        <f>IFERROR(SUM(F95,I95,L95,O95,R95,U95,X95,AA95,AD95,AG95,AJ95,AM95,AP95,AS95,AV95,AY95,BB95,BE95,BH95,BK95,BN95,BQ95,BT95,BW95,BZ95,CC95,CF95,CI95,CL95,CO95,CR95), 0)</f>
        <v/>
      </c>
      <c r="CV95" s="16">
        <f>IFERROR(AVERAGE(G95,J95,M95,P95,S95,V95,Y95,AB95,AE95,AH95,AK95,AN95,AQ95,AT95,AW95,AZ95,BC95,BF95,BI95,BL95,BO95,BR95,BU95,BX95,CA95,CD95,CG95,CJ95,CM95,CP95,CS95), 0)</f>
        <v/>
      </c>
      <c r="CW95" s="16">
        <f>CU95*CV95</f>
        <v/>
      </c>
    </row>
    <row r="96" ht="15.75" customHeight="1">
      <c r="A96" s="41" t="inlineStr">
        <is>
          <t>Vaso cartón 7 onz.</t>
        </is>
      </c>
      <c r="B96" s="41" t="inlineStr">
        <is>
          <t>Pqte</t>
        </is>
      </c>
      <c r="C96" s="42" t="n"/>
      <c r="D96" s="43" t="n"/>
      <c r="E96" s="78">
        <f>IFERROR(+C96*D96, 0)</f>
        <v/>
      </c>
      <c r="F96" s="14" t="n"/>
      <c r="G96" s="15" t="n"/>
      <c r="H96" s="16">
        <f>IFERROR(F96*G96, 0)</f>
        <v/>
      </c>
      <c r="I96" s="14" t="n">
        <v>50</v>
      </c>
      <c r="J96" s="15" t="n">
        <v>4600</v>
      </c>
      <c r="K96" s="16" t="n">
        <v>230000</v>
      </c>
      <c r="L96" s="14" t="n"/>
      <c r="M96" s="15" t="n"/>
      <c r="N96" s="16">
        <f>IFERROR(L96*M96, 0)</f>
        <v/>
      </c>
      <c r="O96" s="14" t="n"/>
      <c r="P96" s="15" t="n"/>
      <c r="Q96" s="16">
        <f>IFERROR(O96*P96, 0)</f>
        <v/>
      </c>
      <c r="R96" s="14" t="n"/>
      <c r="S96" s="15" t="n"/>
      <c r="T96" s="16">
        <f>IFERROR(R96*S96, 0)</f>
        <v/>
      </c>
      <c r="U96" s="14" t="n"/>
      <c r="V96" s="15" t="n"/>
      <c r="W96" s="16">
        <f>IFERROR(U96*V96, 0)</f>
        <v/>
      </c>
      <c r="X96" s="14" t="n">
        <v>33</v>
      </c>
      <c r="Y96" s="15" t="n">
        <v>4250</v>
      </c>
      <c r="Z96" s="16" t="n">
        <v>145500</v>
      </c>
      <c r="AA96" s="14" t="n"/>
      <c r="AB96" s="15" t="n"/>
      <c r="AC96" s="16">
        <f>IFERROR(AA96*AB96, 0)</f>
        <v/>
      </c>
      <c r="AD96" s="14" t="n"/>
      <c r="AE96" s="15" t="n"/>
      <c r="AF96" s="16">
        <f>IFERROR(AD96*AE96, 0)</f>
        <v/>
      </c>
      <c r="AG96" s="14" t="n"/>
      <c r="AH96" s="15" t="n"/>
      <c r="AI96" s="16">
        <f>IFERROR(AG96*AH96, 0)</f>
        <v/>
      </c>
      <c r="AJ96" s="14" t="n"/>
      <c r="AK96" s="15" t="n"/>
      <c r="AL96" s="16">
        <f>IFERROR(AJ96*AK96, 0)</f>
        <v/>
      </c>
      <c r="AM96" s="14" t="n"/>
      <c r="AN96" s="15" t="n"/>
      <c r="AO96" s="16">
        <f>IFERROR(AM96*AN96, 0)</f>
        <v/>
      </c>
      <c r="AP96" s="14" t="n"/>
      <c r="AQ96" s="15" t="n"/>
      <c r="AR96" s="16">
        <f>IFERROR(AP96*AQ96, 0)</f>
        <v/>
      </c>
      <c r="AS96" s="14" t="n"/>
      <c r="AT96" s="15" t="n"/>
      <c r="AU96" s="16">
        <f>IFERROR(AS96*AT96, 0)</f>
        <v/>
      </c>
      <c r="AV96" s="14" t="n"/>
      <c r="AW96" s="15" t="n"/>
      <c r="AX96" s="16">
        <f>IFERROR(AV96*AW96, 0)</f>
        <v/>
      </c>
      <c r="AY96" s="14" t="n"/>
      <c r="AZ96" s="15" t="n"/>
      <c r="BA96" s="16">
        <f>IFERROR(AY96*AZ96, 0)</f>
        <v/>
      </c>
      <c r="BB96" s="14" t="n"/>
      <c r="BC96" s="15" t="n"/>
      <c r="BD96" s="16">
        <f>IFERROR(BB96*BC96, 0)</f>
        <v/>
      </c>
      <c r="BE96" s="14" t="n"/>
      <c r="BF96" s="15" t="n"/>
      <c r="BG96" s="16">
        <f>IFERROR(BE96*BF96, 0)</f>
        <v/>
      </c>
      <c r="BH96" s="14" t="n"/>
      <c r="BI96" s="15" t="n"/>
      <c r="BJ96" s="16">
        <f>IFERROR(BH96*BI96, 0)</f>
        <v/>
      </c>
      <c r="BK96" s="14" t="n"/>
      <c r="BL96" s="15" t="n"/>
      <c r="BM96" s="16">
        <f>IFERROR(BK96*BL96, 0)</f>
        <v/>
      </c>
      <c r="BN96" s="14" t="n"/>
      <c r="BO96" s="15" t="n"/>
      <c r="BP96" s="16">
        <f>IFERROR(BN96*BO96, 0)</f>
        <v/>
      </c>
      <c r="BQ96" s="14" t="n"/>
      <c r="BR96" s="15" t="n"/>
      <c r="BS96" s="16">
        <f>IFERROR(BQ96*BR96, 0)</f>
        <v/>
      </c>
      <c r="BT96" s="14" t="n"/>
      <c r="BU96" s="15" t="n"/>
      <c r="BV96" s="16">
        <f>IFERROR(BT96*BU96, 0)</f>
        <v/>
      </c>
      <c r="BW96" s="14" t="n"/>
      <c r="BX96" s="15" t="n"/>
      <c r="BY96" s="16">
        <f>IFERROR(BW96*BX96, 0)</f>
        <v/>
      </c>
      <c r="BZ96" s="14" t="n"/>
      <c r="CA96" s="15" t="n"/>
      <c r="CB96" s="16">
        <f>IFERROR(BZ96*CA96, 0)</f>
        <v/>
      </c>
      <c r="CC96" s="14" t="n"/>
      <c r="CD96" s="15" t="n"/>
      <c r="CE96" s="16">
        <f>IFERROR(CC96*CD96, 0)</f>
        <v/>
      </c>
      <c r="CF96" s="14" t="n"/>
      <c r="CG96" s="15" t="n"/>
      <c r="CH96" s="16">
        <f>IFERROR(CF96*CG96, 0)</f>
        <v/>
      </c>
      <c r="CI96" s="14" t="n"/>
      <c r="CJ96" s="15" t="n"/>
      <c r="CK96" s="16">
        <f>IFERROR(CI96*CJ96, 0)</f>
        <v/>
      </c>
      <c r="CL96" s="14" t="n"/>
      <c r="CM96" s="15" t="n"/>
      <c r="CN96" s="16">
        <f>IFERROR(CL96*CM96, 0)</f>
        <v/>
      </c>
      <c r="CO96" s="14" t="n"/>
      <c r="CP96" s="15" t="n"/>
      <c r="CQ96" s="16">
        <f>IFERROR(CO96*CP96, 0)</f>
        <v/>
      </c>
      <c r="CR96" s="14" t="n"/>
      <c r="CS96" s="15" t="n"/>
      <c r="CT96" s="16">
        <f>IFERROR(CR96*CS96, 0)</f>
        <v/>
      </c>
      <c r="CU96" s="17">
        <f>IFERROR(SUM(F96,I96,L96,O96,R96,U96,X96,AA96,AD96,AG96,AJ96,AM96,AP96,AS96,AV96,AY96,BB96,BE96,BH96,BK96,BN96,BQ96,BT96,BW96,BZ96,CC96,CF96,CI96,CL96,CO96,CR96), 0)</f>
        <v/>
      </c>
      <c r="CV96" s="16">
        <f>IFERROR(AVERAGE(G96,J96,M96,P96,S96,V96,Y96,AB96,AE96,AH96,AK96,AN96,AQ96,AT96,AW96,AZ96,BC96,BF96,BI96,BL96,BO96,BR96,BU96,BX96,CA96,CD96,CG96,CJ96,CM96,CP96,CS96), 0)</f>
        <v/>
      </c>
      <c r="CW96" s="16">
        <f>CU96*CV96</f>
        <v/>
      </c>
    </row>
    <row r="97" ht="15.75" customHeight="1">
      <c r="A97" s="41" t="inlineStr">
        <is>
          <t>Tapa vaso 12 onz. tami</t>
        </is>
      </c>
      <c r="B97" s="41" t="inlineStr">
        <is>
          <t>Pqte</t>
        </is>
      </c>
      <c r="C97" s="42" t="n"/>
      <c r="D97" s="43" t="n"/>
      <c r="E97" s="78">
        <f>IFERROR(+C97*D97, 0)</f>
        <v/>
      </c>
      <c r="F97" s="14" t="n"/>
      <c r="G97" s="15" t="n"/>
      <c r="H97" s="16">
        <f>IFERROR(F97*G97, 0)</f>
        <v/>
      </c>
      <c r="I97" s="14" t="n"/>
      <c r="J97" s="15" t="n"/>
      <c r="K97" s="16">
        <f>IFERROR(I97*J97, 0)</f>
        <v/>
      </c>
      <c r="L97" s="14" t="n"/>
      <c r="M97" s="15" t="n"/>
      <c r="N97" s="16">
        <f>IFERROR(L97*M97, 0)</f>
        <v/>
      </c>
      <c r="O97" s="14" t="n"/>
      <c r="P97" s="15" t="n"/>
      <c r="Q97" s="16">
        <f>IFERROR(O97*P97, 0)</f>
        <v/>
      </c>
      <c r="R97" s="14" t="n"/>
      <c r="S97" s="15" t="n"/>
      <c r="T97" s="16">
        <f>IFERROR(R97*S97, 0)</f>
        <v/>
      </c>
      <c r="U97" s="14" t="n"/>
      <c r="V97" s="15" t="n"/>
      <c r="W97" s="16">
        <f>IFERROR(U97*V97, 0)</f>
        <v/>
      </c>
      <c r="X97" s="14" t="n">
        <v>3</v>
      </c>
      <c r="Y97" s="15" t="n">
        <v>5450</v>
      </c>
      <c r="Z97" s="16" t="n">
        <v>16350</v>
      </c>
      <c r="AA97" s="14" t="n"/>
      <c r="AB97" s="15" t="n"/>
      <c r="AC97" s="16">
        <f>IFERROR(AA97*AB97, 0)</f>
        <v/>
      </c>
      <c r="AD97" s="14" t="n"/>
      <c r="AE97" s="15" t="n"/>
      <c r="AF97" s="16">
        <f>IFERROR(AD97*AE97, 0)</f>
        <v/>
      </c>
      <c r="AG97" s="14" t="n">
        <v>3</v>
      </c>
      <c r="AH97" s="15" t="n">
        <v>5450</v>
      </c>
      <c r="AI97" s="16" t="n">
        <v>16350</v>
      </c>
      <c r="AJ97" s="14" t="n"/>
      <c r="AK97" s="15" t="n"/>
      <c r="AL97" s="16">
        <f>IFERROR(AJ97*AK97, 0)</f>
        <v/>
      </c>
      <c r="AM97" s="14" t="n"/>
      <c r="AN97" s="15" t="n"/>
      <c r="AO97" s="16">
        <f>IFERROR(AM97*AN97, 0)</f>
        <v/>
      </c>
      <c r="AP97" s="14" t="n"/>
      <c r="AQ97" s="15" t="n"/>
      <c r="AR97" s="16">
        <f>IFERROR(AP97*AQ97, 0)</f>
        <v/>
      </c>
      <c r="AS97" s="14" t="n"/>
      <c r="AT97" s="15" t="n"/>
      <c r="AU97" s="16">
        <f>IFERROR(AS97*AT97, 0)</f>
        <v/>
      </c>
      <c r="AV97" s="14" t="n"/>
      <c r="AW97" s="15" t="n"/>
      <c r="AX97" s="16">
        <f>IFERROR(AV97*AW97, 0)</f>
        <v/>
      </c>
      <c r="AY97" s="14" t="n"/>
      <c r="AZ97" s="15" t="n"/>
      <c r="BA97" s="16">
        <f>IFERROR(AY97*AZ97, 0)</f>
        <v/>
      </c>
      <c r="BB97" s="14" t="n"/>
      <c r="BC97" s="15" t="n"/>
      <c r="BD97" s="16">
        <f>IFERROR(BB97*BC97, 0)</f>
        <v/>
      </c>
      <c r="BE97" s="14" t="n">
        <v>5</v>
      </c>
      <c r="BF97" s="15" t="n">
        <v>5450</v>
      </c>
      <c r="BG97" s="16" t="n">
        <v>27250</v>
      </c>
      <c r="BH97" s="14" t="n"/>
      <c r="BI97" s="15" t="n"/>
      <c r="BJ97" s="16">
        <f>IFERROR(BH97*BI97, 0)</f>
        <v/>
      </c>
      <c r="BK97" s="14" t="n"/>
      <c r="BL97" s="15" t="n"/>
      <c r="BM97" s="16">
        <f>IFERROR(BK97*BL97, 0)</f>
        <v/>
      </c>
      <c r="BN97" s="14" t="n"/>
      <c r="BO97" s="15" t="n"/>
      <c r="BP97" s="16">
        <f>IFERROR(BN97*BO97, 0)</f>
        <v/>
      </c>
      <c r="BQ97" s="14" t="n"/>
      <c r="BR97" s="15" t="n"/>
      <c r="BS97" s="16">
        <f>IFERROR(BQ97*BR97, 0)</f>
        <v/>
      </c>
      <c r="BT97" s="14" t="n"/>
      <c r="BU97" s="15" t="n"/>
      <c r="BV97" s="16">
        <f>IFERROR(BT97*BU97, 0)</f>
        <v/>
      </c>
      <c r="BW97" s="14" t="n"/>
      <c r="BX97" s="15" t="n"/>
      <c r="BY97" s="16">
        <f>IFERROR(BW97*BX97, 0)</f>
        <v/>
      </c>
      <c r="BZ97" s="14" t="n"/>
      <c r="CA97" s="15" t="n"/>
      <c r="CB97" s="16">
        <f>IFERROR(BZ97*CA97, 0)</f>
        <v/>
      </c>
      <c r="CC97" s="14" t="n"/>
      <c r="CD97" s="15" t="n"/>
      <c r="CE97" s="16">
        <f>IFERROR(CC97*CD97, 0)</f>
        <v/>
      </c>
      <c r="CF97" s="14" t="n"/>
      <c r="CG97" s="15" t="n"/>
      <c r="CH97" s="16">
        <f>IFERROR(CF97*CG97, 0)</f>
        <v/>
      </c>
      <c r="CI97" s="14" t="n"/>
      <c r="CJ97" s="15" t="n"/>
      <c r="CK97" s="16">
        <f>IFERROR(CI97*CJ97, 0)</f>
        <v/>
      </c>
      <c r="CL97" s="14" t="n"/>
      <c r="CM97" s="15" t="n"/>
      <c r="CN97" s="16">
        <f>IFERROR(CL97*CM97, 0)</f>
        <v/>
      </c>
      <c r="CO97" s="14" t="n"/>
      <c r="CP97" s="15" t="n"/>
      <c r="CQ97" s="16">
        <f>IFERROR(CO97*CP97, 0)</f>
        <v/>
      </c>
      <c r="CR97" s="14" t="n"/>
      <c r="CS97" s="15" t="n"/>
      <c r="CT97" s="16">
        <f>IFERROR(CR97*CS97, 0)</f>
        <v/>
      </c>
      <c r="CU97" s="17">
        <f>IFERROR(SUM(F97,I97,L97,O97,R97,U97,X97,AA97,AD97,AG97,AJ97,AM97,AP97,AS97,AV97,AY97,BB97,BE97,BH97,BK97,BN97,BQ97,BT97,BW97,BZ97,CC97,CF97,CI97,CL97,CO97,CR97), 0)</f>
        <v/>
      </c>
      <c r="CV97" s="16">
        <f>IFERROR(AVERAGE(G97,J97,M97,P97,S97,V97,Y97,AB97,AE97,AH97,AK97,AN97,AQ97,AT97,AW97,AZ97,BC97,BF97,BI97,BL97,BO97,BR97,BU97,BX97,CA97,CD97,CG97,CJ97,CM97,CP97,CS97), 0)</f>
        <v/>
      </c>
      <c r="CW97" s="16">
        <f>CU97*CV97</f>
        <v/>
      </c>
    </row>
    <row r="98" ht="15.75" customHeight="1">
      <c r="A98" s="41" t="inlineStr">
        <is>
          <t>Vasote 3.5 tansl x 50 x 60</t>
        </is>
      </c>
      <c r="B98" s="41" t="inlineStr">
        <is>
          <t>Pqte</t>
        </is>
      </c>
      <c r="C98" s="42" t="n"/>
      <c r="D98" s="43" t="n"/>
      <c r="E98" s="78">
        <f>IFERROR(+C98*D98, 0)</f>
        <v/>
      </c>
      <c r="F98" s="14" t="n"/>
      <c r="G98" s="15" t="n"/>
      <c r="H98" s="16">
        <f>IFERROR(F98*G98, 0)</f>
        <v/>
      </c>
      <c r="I98" s="14" t="n">
        <v>3</v>
      </c>
      <c r="J98" s="15" t="n">
        <v>2750</v>
      </c>
      <c r="K98" s="16" t="n">
        <v>8250</v>
      </c>
      <c r="L98" s="14" t="n"/>
      <c r="M98" s="15" t="n"/>
      <c r="N98" s="16">
        <f>IFERROR(L98*M98, 0)</f>
        <v/>
      </c>
      <c r="O98" s="14" t="n"/>
      <c r="P98" s="15" t="n"/>
      <c r="Q98" s="16">
        <f>IFERROR(O98*P98, 0)</f>
        <v/>
      </c>
      <c r="R98" s="14" t="n"/>
      <c r="S98" s="15" t="n"/>
      <c r="T98" s="16">
        <f>IFERROR(R98*S98, 0)</f>
        <v/>
      </c>
      <c r="U98" s="14" t="n"/>
      <c r="V98" s="15" t="n"/>
      <c r="W98" s="16">
        <f>IFERROR(U98*V98, 0)</f>
        <v/>
      </c>
      <c r="X98" s="14" t="n">
        <v>4</v>
      </c>
      <c r="Y98" s="15" t="n">
        <v>2750</v>
      </c>
      <c r="Z98" s="16" t="n">
        <v>11000</v>
      </c>
      <c r="AA98" s="14" t="n"/>
      <c r="AB98" s="15" t="n"/>
      <c r="AC98" s="16">
        <f>IFERROR(AA98*AB98, 0)</f>
        <v/>
      </c>
      <c r="AD98" s="14" t="n"/>
      <c r="AE98" s="15" t="n"/>
      <c r="AF98" s="16">
        <f>IFERROR(AD98*AE98, 0)</f>
        <v/>
      </c>
      <c r="AG98" s="14" t="n">
        <v>3</v>
      </c>
      <c r="AH98" s="15" t="n">
        <v>2750</v>
      </c>
      <c r="AI98" s="16" t="n">
        <v>8250</v>
      </c>
      <c r="AJ98" s="14" t="n"/>
      <c r="AK98" s="15" t="n"/>
      <c r="AL98" s="16">
        <f>IFERROR(AJ98*AK98, 0)</f>
        <v/>
      </c>
      <c r="AM98" s="14" t="n"/>
      <c r="AN98" s="15" t="n"/>
      <c r="AO98" s="16">
        <f>IFERROR(AM98*AN98, 0)</f>
        <v/>
      </c>
      <c r="AP98" s="14" t="n"/>
      <c r="AQ98" s="15" t="n"/>
      <c r="AR98" s="16">
        <f>IFERROR(AP98*AQ98, 0)</f>
        <v/>
      </c>
      <c r="AS98" s="14" t="n"/>
      <c r="AT98" s="15" t="n"/>
      <c r="AU98" s="16">
        <f>IFERROR(AS98*AT98, 0)</f>
        <v/>
      </c>
      <c r="AV98" s="14" t="n"/>
      <c r="AW98" s="15" t="n"/>
      <c r="AX98" s="16">
        <f>IFERROR(AV98*AW98, 0)</f>
        <v/>
      </c>
      <c r="AY98" s="14" t="n"/>
      <c r="AZ98" s="15" t="n"/>
      <c r="BA98" s="16">
        <f>IFERROR(AY98*AZ98, 0)</f>
        <v/>
      </c>
      <c r="BB98" s="14" t="n"/>
      <c r="BC98" s="15" t="n"/>
      <c r="BD98" s="16">
        <f>IFERROR(BB98*BC98, 0)</f>
        <v/>
      </c>
      <c r="BE98" s="14" t="n">
        <v>3</v>
      </c>
      <c r="BF98" s="15" t="n">
        <v>2750</v>
      </c>
      <c r="BG98" s="16" t="n">
        <v>8250</v>
      </c>
      <c r="BH98" s="14" t="n"/>
      <c r="BI98" s="15" t="n"/>
      <c r="BJ98" s="16">
        <f>IFERROR(BH98*BI98, 0)</f>
        <v/>
      </c>
      <c r="BK98" s="14" t="n"/>
      <c r="BL98" s="15" t="n"/>
      <c r="BM98" s="16">
        <f>IFERROR(BK98*BL98, 0)</f>
        <v/>
      </c>
      <c r="BN98" s="14" t="n"/>
      <c r="BO98" s="15" t="n"/>
      <c r="BP98" s="16">
        <f>IFERROR(BN98*BO98, 0)</f>
        <v/>
      </c>
      <c r="BQ98" s="14" t="n">
        <v>4</v>
      </c>
      <c r="BR98" s="15" t="n">
        <v>2750</v>
      </c>
      <c r="BS98" s="16" t="n">
        <v>11000</v>
      </c>
      <c r="BT98" s="14" t="n"/>
      <c r="BU98" s="15" t="n"/>
      <c r="BV98" s="16">
        <f>IFERROR(BT98*BU98, 0)</f>
        <v/>
      </c>
      <c r="BW98" s="14" t="n"/>
      <c r="BX98" s="15" t="n"/>
      <c r="BY98" s="16">
        <f>IFERROR(BW98*BX98, 0)</f>
        <v/>
      </c>
      <c r="BZ98" s="14" t="n"/>
      <c r="CA98" s="15" t="n"/>
      <c r="CB98" s="16">
        <f>IFERROR(BZ98*CA98, 0)</f>
        <v/>
      </c>
      <c r="CC98" s="14" t="n"/>
      <c r="CD98" s="15" t="n"/>
      <c r="CE98" s="16">
        <f>IFERROR(CC98*CD98, 0)</f>
        <v/>
      </c>
      <c r="CF98" s="14" t="n"/>
      <c r="CG98" s="15" t="n"/>
      <c r="CH98" s="16">
        <f>IFERROR(CF98*CG98, 0)</f>
        <v/>
      </c>
      <c r="CI98" s="14" t="n"/>
      <c r="CJ98" s="15" t="n"/>
      <c r="CK98" s="16">
        <f>IFERROR(CI98*CJ98, 0)</f>
        <v/>
      </c>
      <c r="CL98" s="14" t="n"/>
      <c r="CM98" s="15" t="n"/>
      <c r="CN98" s="16">
        <f>IFERROR(CL98*CM98, 0)</f>
        <v/>
      </c>
      <c r="CO98" s="14" t="n"/>
      <c r="CP98" s="15" t="n"/>
      <c r="CQ98" s="16">
        <f>IFERROR(CO98*CP98, 0)</f>
        <v/>
      </c>
      <c r="CR98" s="14" t="n"/>
      <c r="CS98" s="15" t="n"/>
      <c r="CT98" s="16">
        <f>IFERROR(CR98*CS98, 0)</f>
        <v/>
      </c>
      <c r="CU98" s="17">
        <f>IFERROR(SUM(F98,I98,L98,O98,R98,U98,X98,AA98,AD98,AG98,AJ98,AM98,AP98,AS98,AV98,AY98,BB98,BE98,BH98,BK98,BN98,BQ98,BT98,BW98,BZ98,CC98,CF98,CI98,CL98,CO98,CR98), 0)</f>
        <v/>
      </c>
      <c r="CV98" s="16">
        <f>IFERROR(AVERAGE(G98,J98,M98,P98,S98,V98,Y98,AB98,AE98,AH98,AK98,AN98,AQ98,AT98,AW98,AZ98,BC98,BF98,BI98,BL98,BO98,BR98,BU98,BX98,CA98,CD98,CG98,CJ98,CM98,CP98,CS98), 0)</f>
        <v/>
      </c>
      <c r="CW98" s="16">
        <f>CU98*CV98</f>
        <v/>
      </c>
    </row>
    <row r="99" ht="15.75" customHeight="1">
      <c r="A99" s="41" t="inlineStr">
        <is>
          <t>Veladoras</t>
        </is>
      </c>
      <c r="B99" s="41" t="inlineStr">
        <is>
          <t>Pqte</t>
        </is>
      </c>
      <c r="C99" s="42" t="n"/>
      <c r="D99" s="43" t="n"/>
      <c r="E99" s="78">
        <f>IFERROR(+C99*D99, 0)</f>
        <v/>
      </c>
      <c r="F99" s="14" t="n"/>
      <c r="G99" s="15" t="n"/>
      <c r="H99" s="16">
        <f>IFERROR(F99*G99, 0)</f>
        <v/>
      </c>
      <c r="I99" s="14" t="n"/>
      <c r="J99" s="15" t="n"/>
      <c r="K99" s="16">
        <f>IFERROR(I99*J99, 0)</f>
        <v/>
      </c>
      <c r="L99" s="14" t="n"/>
      <c r="M99" s="15" t="n"/>
      <c r="N99" s="16">
        <f>IFERROR(L99*M99, 0)</f>
        <v/>
      </c>
      <c r="O99" s="14" t="n"/>
      <c r="P99" s="15" t="n"/>
      <c r="Q99" s="16">
        <f>IFERROR(O99*P99, 0)</f>
        <v/>
      </c>
      <c r="R99" s="14" t="n"/>
      <c r="S99" s="15" t="n"/>
      <c r="T99" s="16">
        <f>IFERROR(R99*S99, 0)</f>
        <v/>
      </c>
      <c r="U99" s="14" t="n"/>
      <c r="V99" s="15" t="n"/>
      <c r="W99" s="16">
        <f>IFERROR(U99*V99, 0)</f>
        <v/>
      </c>
      <c r="X99" s="14" t="n"/>
      <c r="Y99" s="15" t="n"/>
      <c r="Z99" s="16">
        <f>IFERROR(X99*Y99, 0)</f>
        <v/>
      </c>
      <c r="AA99" s="14" t="n"/>
      <c r="AB99" s="15" t="n"/>
      <c r="AC99" s="16">
        <f>IFERROR(AA99*AB99, 0)</f>
        <v/>
      </c>
      <c r="AD99" s="14" t="n"/>
      <c r="AE99" s="15" t="n"/>
      <c r="AF99" s="16">
        <f>IFERROR(AD99*AE99, 0)</f>
        <v/>
      </c>
      <c r="AG99" s="14" t="n"/>
      <c r="AH99" s="15" t="n"/>
      <c r="AI99" s="16">
        <f>IFERROR(AG99*AH99, 0)</f>
        <v/>
      </c>
      <c r="AJ99" s="14" t="n"/>
      <c r="AK99" s="15" t="n"/>
      <c r="AL99" s="16">
        <f>IFERROR(AJ99*AK99, 0)</f>
        <v/>
      </c>
      <c r="AM99" s="14" t="n"/>
      <c r="AN99" s="15" t="n"/>
      <c r="AO99" s="16">
        <f>IFERROR(AM99*AN99, 0)</f>
        <v/>
      </c>
      <c r="AP99" s="14" t="n"/>
      <c r="AQ99" s="15" t="n"/>
      <c r="AR99" s="16">
        <f>IFERROR(AP99*AQ99, 0)</f>
        <v/>
      </c>
      <c r="AS99" s="14" t="n"/>
      <c r="AT99" s="15" t="n"/>
      <c r="AU99" s="16">
        <f>IFERROR(AS99*AT99, 0)</f>
        <v/>
      </c>
      <c r="AV99" s="14" t="n"/>
      <c r="AW99" s="15" t="n"/>
      <c r="AX99" s="16">
        <f>IFERROR(AV99*AW99, 0)</f>
        <v/>
      </c>
      <c r="AY99" s="14" t="n"/>
      <c r="AZ99" s="15" t="n"/>
      <c r="BA99" s="16">
        <f>IFERROR(AY99*AZ99, 0)</f>
        <v/>
      </c>
      <c r="BB99" s="14" t="n"/>
      <c r="BC99" s="15" t="n"/>
      <c r="BD99" s="16">
        <f>IFERROR(BB99*BC99, 0)</f>
        <v/>
      </c>
      <c r="BE99" s="14" t="n"/>
      <c r="BF99" s="15" t="n"/>
      <c r="BG99" s="16">
        <f>IFERROR(BE99*BF99, 0)</f>
        <v/>
      </c>
      <c r="BH99" s="14" t="n"/>
      <c r="BI99" s="15" t="n"/>
      <c r="BJ99" s="16">
        <f>IFERROR(BH99*BI99, 0)</f>
        <v/>
      </c>
      <c r="BK99" s="14" t="n"/>
      <c r="BL99" s="15" t="n"/>
      <c r="BM99" s="16">
        <f>IFERROR(BK99*BL99, 0)</f>
        <v/>
      </c>
      <c r="BN99" s="14" t="n"/>
      <c r="BO99" s="15" t="n"/>
      <c r="BP99" s="16">
        <f>IFERROR(BN99*BO99, 0)</f>
        <v/>
      </c>
      <c r="BQ99" s="14" t="n"/>
      <c r="BR99" s="15" t="n"/>
      <c r="BS99" s="16">
        <f>IFERROR(BQ99*BR99, 0)</f>
        <v/>
      </c>
      <c r="BT99" s="14" t="n"/>
      <c r="BU99" s="15" t="n"/>
      <c r="BV99" s="16">
        <f>IFERROR(BT99*BU99, 0)</f>
        <v/>
      </c>
      <c r="BW99" s="14" t="n"/>
      <c r="BX99" s="15" t="n"/>
      <c r="BY99" s="16">
        <f>IFERROR(BW99*BX99, 0)</f>
        <v/>
      </c>
      <c r="BZ99" s="14" t="n"/>
      <c r="CA99" s="15" t="n"/>
      <c r="CB99" s="16">
        <f>IFERROR(BZ99*CA99, 0)</f>
        <v/>
      </c>
      <c r="CC99" s="14" t="n"/>
      <c r="CD99" s="15" t="n"/>
      <c r="CE99" s="16">
        <f>IFERROR(CC99*CD99, 0)</f>
        <v/>
      </c>
      <c r="CF99" s="14" t="n"/>
      <c r="CG99" s="15" t="n"/>
      <c r="CH99" s="16">
        <f>IFERROR(CF99*CG99, 0)</f>
        <v/>
      </c>
      <c r="CI99" s="14" t="n"/>
      <c r="CJ99" s="15" t="n"/>
      <c r="CK99" s="16">
        <f>IFERROR(CI99*CJ99, 0)</f>
        <v/>
      </c>
      <c r="CL99" s="14" t="n"/>
      <c r="CM99" s="15" t="n"/>
      <c r="CN99" s="16">
        <f>IFERROR(CL99*CM99, 0)</f>
        <v/>
      </c>
      <c r="CO99" s="14" t="n"/>
      <c r="CP99" s="15" t="n"/>
      <c r="CQ99" s="16">
        <f>IFERROR(CO99*CP99, 0)</f>
        <v/>
      </c>
      <c r="CR99" s="14" t="n"/>
      <c r="CS99" s="15" t="n"/>
      <c r="CT99" s="16">
        <f>IFERROR(CR99*CS99, 0)</f>
        <v/>
      </c>
      <c r="CU99" s="17">
        <f>IFERROR(SUM(F99,I99,L99,O99,R99,U99,X99,AA99,AD99,AG99,AJ99,AM99,AP99,AS99,AV99,AY99,BB99,BE99,BH99,BK99,BN99,BQ99,BT99,BW99,BZ99,CC99,CF99,CI99,CL99,CO99,CR99), 0)</f>
        <v/>
      </c>
      <c r="CV99" s="16">
        <f>IFERROR(AVERAGE(G99,J99,M99,P99,S99,V99,Y99,AB99,AE99,AH99,AK99,AN99,AQ99,AT99,AW99,AZ99,BC99,BF99,BI99,BL99,BO99,BR99,BU99,BX99,CA99,CD99,CG99,CJ99,CM99,CP99,CS99), 0)</f>
        <v/>
      </c>
      <c r="CW99" s="16">
        <f>CU99*CV99</f>
        <v/>
      </c>
    </row>
    <row r="100" ht="16.5" customHeight="1">
      <c r="A100" s="41" t="inlineStr">
        <is>
          <t>Vinagre</t>
        </is>
      </c>
      <c r="B100" s="41" t="inlineStr">
        <is>
          <t>Gal</t>
        </is>
      </c>
      <c r="C100" s="42" t="n"/>
      <c r="D100" s="43" t="n"/>
      <c r="E100" s="78">
        <f>IFERROR(+C100*D100, 0)</f>
        <v/>
      </c>
      <c r="F100" s="14" t="n"/>
      <c r="G100" s="15" t="n"/>
      <c r="H100" s="16">
        <f>IFERROR(F100*G100, 0)</f>
        <v/>
      </c>
      <c r="I100" s="14" t="n"/>
      <c r="J100" s="15" t="n"/>
      <c r="K100" s="16">
        <f>IFERROR(I100*J100, 0)</f>
        <v/>
      </c>
      <c r="L100" s="14" t="n"/>
      <c r="M100" s="15" t="n"/>
      <c r="N100" s="16">
        <f>IFERROR(L100*M100, 0)</f>
        <v/>
      </c>
      <c r="O100" s="14" t="n"/>
      <c r="P100" s="15" t="n"/>
      <c r="Q100" s="16">
        <f>IFERROR(O100*P100, 0)</f>
        <v/>
      </c>
      <c r="R100" s="14" t="n"/>
      <c r="S100" s="15" t="n"/>
      <c r="T100" s="16">
        <f>IFERROR(R100*S100, 0)</f>
        <v/>
      </c>
      <c r="U100" s="14" t="n"/>
      <c r="V100" s="15" t="n"/>
      <c r="W100" s="16">
        <f>IFERROR(U100*V100, 0)</f>
        <v/>
      </c>
      <c r="X100" s="14" t="n"/>
      <c r="Y100" s="15" t="n"/>
      <c r="Z100" s="16">
        <f>IFERROR(X100*Y100, 0)</f>
        <v/>
      </c>
      <c r="AA100" s="14" t="n"/>
      <c r="AB100" s="15" t="n"/>
      <c r="AC100" s="16">
        <f>IFERROR(AA100*AB100, 0)</f>
        <v/>
      </c>
      <c r="AD100" s="14" t="n"/>
      <c r="AE100" s="15" t="n"/>
      <c r="AF100" s="16">
        <f>IFERROR(AD100*AE100, 0)</f>
        <v/>
      </c>
      <c r="AG100" s="14" t="n"/>
      <c r="AH100" s="15" t="n"/>
      <c r="AI100" s="16">
        <f>IFERROR(AG100*AH100, 0)</f>
        <v/>
      </c>
      <c r="AJ100" s="14" t="n"/>
      <c r="AK100" s="15" t="n"/>
      <c r="AL100" s="16">
        <f>IFERROR(AJ100*AK100, 0)</f>
        <v/>
      </c>
      <c r="AM100" s="14" t="n"/>
      <c r="AN100" s="15" t="n"/>
      <c r="AO100" s="16">
        <f>IFERROR(AM100*AN100, 0)</f>
        <v/>
      </c>
      <c r="AP100" s="14" t="n"/>
      <c r="AQ100" s="15" t="n"/>
      <c r="AR100" s="16">
        <f>IFERROR(AP100*AQ100, 0)</f>
        <v/>
      </c>
      <c r="AS100" s="14" t="n"/>
      <c r="AT100" s="15" t="n"/>
      <c r="AU100" s="16">
        <f>IFERROR(AS100*AT100, 0)</f>
        <v/>
      </c>
      <c r="AV100" s="14" t="n"/>
      <c r="AW100" s="15" t="n"/>
      <c r="AX100" s="16">
        <f>IFERROR(AV100*AW100, 0)</f>
        <v/>
      </c>
      <c r="AY100" s="14" t="n"/>
      <c r="AZ100" s="15" t="n"/>
      <c r="BA100" s="16">
        <f>IFERROR(AY100*AZ100, 0)</f>
        <v/>
      </c>
      <c r="BB100" s="14" t="n"/>
      <c r="BC100" s="15" t="n"/>
      <c r="BD100" s="16">
        <f>IFERROR(BB100*BC100, 0)</f>
        <v/>
      </c>
      <c r="BE100" s="14" t="n"/>
      <c r="BF100" s="15" t="n"/>
      <c r="BG100" s="16">
        <f>IFERROR(BE100*BF100, 0)</f>
        <v/>
      </c>
      <c r="BH100" s="14" t="n"/>
      <c r="BI100" s="15" t="n"/>
      <c r="BJ100" s="16">
        <f>IFERROR(BH100*BI100, 0)</f>
        <v/>
      </c>
      <c r="BK100" s="14" t="n"/>
      <c r="BL100" s="15" t="n"/>
      <c r="BM100" s="16">
        <f>IFERROR(BK100*BL100, 0)</f>
        <v/>
      </c>
      <c r="BN100" s="14" t="n"/>
      <c r="BO100" s="15" t="n"/>
      <c r="BP100" s="16">
        <f>IFERROR(BN100*BO100, 0)</f>
        <v/>
      </c>
      <c r="BQ100" s="14" t="n"/>
      <c r="BR100" s="15" t="n"/>
      <c r="BS100" s="16">
        <f>IFERROR(BQ100*BR100, 0)</f>
        <v/>
      </c>
      <c r="BT100" s="14" t="n"/>
      <c r="BU100" s="15" t="n"/>
      <c r="BV100" s="16">
        <f>IFERROR(BT100*BU100, 0)</f>
        <v/>
      </c>
      <c r="BW100" s="14" t="n"/>
      <c r="BX100" s="15" t="n"/>
      <c r="BY100" s="16">
        <f>IFERROR(BW100*BX100, 0)</f>
        <v/>
      </c>
      <c r="BZ100" s="14" t="n"/>
      <c r="CA100" s="15" t="n"/>
      <c r="CB100" s="16">
        <f>IFERROR(BZ100*CA100, 0)</f>
        <v/>
      </c>
      <c r="CC100" s="14" t="n"/>
      <c r="CD100" s="15" t="n"/>
      <c r="CE100" s="16">
        <f>IFERROR(CC100*CD100, 0)</f>
        <v/>
      </c>
      <c r="CF100" s="14" t="n"/>
      <c r="CG100" s="15" t="n"/>
      <c r="CH100" s="16">
        <f>IFERROR(CF100*CG100, 0)</f>
        <v/>
      </c>
      <c r="CI100" s="14" t="n"/>
      <c r="CJ100" s="15" t="n"/>
      <c r="CK100" s="16">
        <f>IFERROR(CI100*CJ100, 0)</f>
        <v/>
      </c>
      <c r="CL100" s="14" t="n"/>
      <c r="CM100" s="15" t="n"/>
      <c r="CN100" s="16">
        <f>IFERROR(CL100*CM100, 0)</f>
        <v/>
      </c>
      <c r="CO100" s="14" t="n"/>
      <c r="CP100" s="15" t="n"/>
      <c r="CQ100" s="16">
        <f>IFERROR(CO100*CP100, 0)</f>
        <v/>
      </c>
      <c r="CR100" s="14" t="n"/>
      <c r="CS100" s="15" t="n"/>
      <c r="CT100" s="16">
        <f>IFERROR(CR100*CS100, 0)</f>
        <v/>
      </c>
      <c r="CU100" s="17">
        <f>IFERROR(SUM(F100,I100,L100,O100,R100,U100,X100,AA100,AD100,AG100,AJ100,AM100,AP100,AS100,AV100,AY100,BB100,BE100,BH100,BK100,BN100,BQ100,BT100,BW100,BZ100,CC100,CF100,CI100,CL100,CO100,CR100), 0)</f>
        <v/>
      </c>
      <c r="CV100" s="16">
        <f>IFERROR(AVERAGE(G100,J100,M100,P100,S100,V100,Y100,AB100,AE100,AH100,AK100,AN100,AQ100,AT100,AW100,AZ100,BC100,BF100,BI100,BL100,BO100,BR100,BU100,BX100,CA100,CD100,CG100,CJ100,CM100,CP100,CS100), 0)</f>
        <v/>
      </c>
      <c r="CW100" s="16">
        <f>CU100*CV100</f>
        <v/>
      </c>
    </row>
    <row r="101" ht="16.5" customHeight="1">
      <c r="A101" s="41" t="inlineStr">
        <is>
          <t>Tapa vaso 3.5</t>
        </is>
      </c>
      <c r="B101" s="41" t="inlineStr">
        <is>
          <t>Pqte</t>
        </is>
      </c>
      <c r="C101" s="42" t="n"/>
      <c r="D101" s="43" t="n"/>
      <c r="E101" s="78">
        <f>IFERROR(+C101*D101, 0)</f>
        <v/>
      </c>
      <c r="F101" s="14" t="n"/>
      <c r="G101" s="15" t="n"/>
      <c r="H101" s="16">
        <f>IFERROR(F101*G101, 0)</f>
        <v/>
      </c>
      <c r="I101" s="14" t="n">
        <v>3</v>
      </c>
      <c r="J101" s="15" t="n">
        <v>4850</v>
      </c>
      <c r="K101" s="16" t="n">
        <v>14550</v>
      </c>
      <c r="L101" s="14" t="n"/>
      <c r="M101" s="15" t="n"/>
      <c r="N101" s="16">
        <f>IFERROR(L101*M101, 0)</f>
        <v/>
      </c>
      <c r="O101" s="14" t="n"/>
      <c r="P101" s="15" t="n"/>
      <c r="Q101" s="16">
        <f>IFERROR(O101*P101, 0)</f>
        <v/>
      </c>
      <c r="R101" s="14" t="n"/>
      <c r="S101" s="15" t="n"/>
      <c r="T101" s="16">
        <f>IFERROR(R101*S101, 0)</f>
        <v/>
      </c>
      <c r="U101" s="14" t="n"/>
      <c r="V101" s="15" t="n"/>
      <c r="W101" s="16">
        <f>IFERROR(U101*V101, 0)</f>
        <v/>
      </c>
      <c r="X101" s="14" t="n">
        <v>4</v>
      </c>
      <c r="Y101" s="15" t="n">
        <v>4850</v>
      </c>
      <c r="Z101" s="16" t="n">
        <v>19400</v>
      </c>
      <c r="AA101" s="14" t="n"/>
      <c r="AB101" s="15" t="n"/>
      <c r="AC101" s="16">
        <f>IFERROR(AA101*AB101, 0)</f>
        <v/>
      </c>
      <c r="AD101" s="14" t="n"/>
      <c r="AE101" s="15" t="n"/>
      <c r="AF101" s="16">
        <f>IFERROR(AD101*AE101, 0)</f>
        <v/>
      </c>
      <c r="AG101" s="14" t="n">
        <v>3</v>
      </c>
      <c r="AH101" s="15" t="n">
        <v>4850</v>
      </c>
      <c r="AI101" s="16" t="n">
        <v>14550</v>
      </c>
      <c r="AJ101" s="14" t="n"/>
      <c r="AK101" s="15" t="n"/>
      <c r="AL101" s="16">
        <f>IFERROR(AJ101*AK101, 0)</f>
        <v/>
      </c>
      <c r="AM101" s="14" t="n"/>
      <c r="AN101" s="15" t="n"/>
      <c r="AO101" s="16">
        <f>IFERROR(AM101*AN101, 0)</f>
        <v/>
      </c>
      <c r="AP101" s="14" t="n"/>
      <c r="AQ101" s="15" t="n"/>
      <c r="AR101" s="16">
        <f>IFERROR(AP101*AQ101, 0)</f>
        <v/>
      </c>
      <c r="AS101" s="14" t="n"/>
      <c r="AT101" s="15" t="n"/>
      <c r="AU101" s="16">
        <f>IFERROR(AS101*AT101, 0)</f>
        <v/>
      </c>
      <c r="AV101" s="14" t="n"/>
      <c r="AW101" s="15" t="n"/>
      <c r="AX101" s="16">
        <f>IFERROR(AV101*AW101, 0)</f>
        <v/>
      </c>
      <c r="AY101" s="14" t="n"/>
      <c r="AZ101" s="15" t="n"/>
      <c r="BA101" s="16">
        <f>IFERROR(AY101*AZ101, 0)</f>
        <v/>
      </c>
      <c r="BB101" s="14" t="n"/>
      <c r="BC101" s="15" t="n"/>
      <c r="BD101" s="16">
        <f>IFERROR(BB101*BC101, 0)</f>
        <v/>
      </c>
      <c r="BE101" s="14" t="n">
        <v>3</v>
      </c>
      <c r="BF101" s="15" t="n">
        <v>4850</v>
      </c>
      <c r="BG101" s="16" t="n">
        <v>14550</v>
      </c>
      <c r="BH101" s="14" t="n"/>
      <c r="BI101" s="15" t="n"/>
      <c r="BJ101" s="16">
        <f>IFERROR(BH101*BI101, 0)</f>
        <v/>
      </c>
      <c r="BK101" s="14" t="n"/>
      <c r="BL101" s="15" t="n"/>
      <c r="BM101" s="16">
        <f>IFERROR(BK101*BL101, 0)</f>
        <v/>
      </c>
      <c r="BN101" s="14" t="n"/>
      <c r="BO101" s="15" t="n"/>
      <c r="BP101" s="16">
        <f>IFERROR(BN101*BO101, 0)</f>
        <v/>
      </c>
      <c r="BQ101" s="14" t="n">
        <v>4</v>
      </c>
      <c r="BR101" s="15" t="n">
        <v>4850</v>
      </c>
      <c r="BS101" s="16" t="n">
        <v>19400</v>
      </c>
      <c r="BT101" s="14" t="n"/>
      <c r="BU101" s="15" t="n"/>
      <c r="BV101" s="16">
        <f>IFERROR(BT101*BU101, 0)</f>
        <v/>
      </c>
      <c r="BW101" s="14" t="n"/>
      <c r="BX101" s="15" t="n"/>
      <c r="BY101" s="16">
        <f>IFERROR(BW101*BX101, 0)</f>
        <v/>
      </c>
      <c r="BZ101" s="14" t="n"/>
      <c r="CA101" s="15" t="n"/>
      <c r="CB101" s="16">
        <f>IFERROR(BZ101*CA101, 0)</f>
        <v/>
      </c>
      <c r="CC101" s="14" t="n"/>
      <c r="CD101" s="15" t="n"/>
      <c r="CE101" s="16">
        <f>IFERROR(CC101*CD101, 0)</f>
        <v/>
      </c>
      <c r="CF101" s="14" t="n"/>
      <c r="CG101" s="15" t="n"/>
      <c r="CH101" s="16">
        <f>IFERROR(CF101*CG101, 0)</f>
        <v/>
      </c>
      <c r="CI101" s="14" t="n"/>
      <c r="CJ101" s="15" t="n"/>
      <c r="CK101" s="16">
        <f>IFERROR(CI101*CJ101, 0)</f>
        <v/>
      </c>
      <c r="CL101" s="14" t="n"/>
      <c r="CM101" s="15" t="n"/>
      <c r="CN101" s="16">
        <f>IFERROR(CL101*CM101, 0)</f>
        <v/>
      </c>
      <c r="CO101" s="14" t="n"/>
      <c r="CP101" s="15" t="n"/>
      <c r="CQ101" s="16">
        <f>IFERROR(CO101*CP101, 0)</f>
        <v/>
      </c>
      <c r="CR101" s="14" t="n"/>
      <c r="CS101" s="15" t="n"/>
      <c r="CT101" s="16">
        <f>IFERROR(CR101*CS101, 0)</f>
        <v/>
      </c>
      <c r="CU101" s="17">
        <f>IFERROR(SUM(F101,I101,L101,O101,R101,U101,X101,AA101,AD101,AG101,AJ101,AM101,AP101,AS101,AV101,AY101,BB101,BE101,BH101,BK101,BN101,BQ101,BT101,BW101,BZ101,CC101,CF101,CI101,CL101,CO101,CR101), 0)</f>
        <v/>
      </c>
      <c r="CV101" s="16">
        <f>IFERROR(AVERAGE(G101,J101,M101,P101,S101,V101,Y101,AB101,AE101,AH101,AK101,AN101,AQ101,AT101,AW101,AZ101,BC101,BF101,BI101,BL101,BO101,BR101,BU101,BX101,CA101,CD101,CG101,CJ101,CM101,CP101,CS101), 0)</f>
        <v/>
      </c>
      <c r="CW101" s="16">
        <f>CU101*CV101</f>
        <v/>
      </c>
    </row>
    <row r="102" ht="15.75" customHeight="1">
      <c r="A102" s="41" t="inlineStr">
        <is>
          <t>Tarrina 14 x 25 unid</t>
        </is>
      </c>
      <c r="B102" s="41" t="inlineStr">
        <is>
          <t>Pqte</t>
        </is>
      </c>
      <c r="C102" s="42" t="n"/>
      <c r="D102" s="43" t="n"/>
      <c r="E102" s="78">
        <f>IFERROR(+C102*D102, 0)</f>
        <v/>
      </c>
      <c r="F102" s="14" t="n"/>
      <c r="G102" s="15" t="n"/>
      <c r="H102" s="16">
        <f>IFERROR(F102*G102, 0)</f>
        <v/>
      </c>
      <c r="I102" s="14" t="n">
        <v>4</v>
      </c>
      <c r="J102" s="15" t="n">
        <v>17250</v>
      </c>
      <c r="K102" s="16" t="n">
        <v>69000</v>
      </c>
      <c r="L102" s="14" t="n"/>
      <c r="M102" s="15" t="n"/>
      <c r="N102" s="16">
        <f>IFERROR(L102*M102, 0)</f>
        <v/>
      </c>
      <c r="O102" s="14" t="n"/>
      <c r="P102" s="15" t="n"/>
      <c r="Q102" s="16">
        <f>IFERROR(O102*P102, 0)</f>
        <v/>
      </c>
      <c r="R102" s="14" t="n"/>
      <c r="S102" s="15" t="n"/>
      <c r="T102" s="16">
        <f>IFERROR(R102*S102, 0)</f>
        <v/>
      </c>
      <c r="U102" s="14" t="n"/>
      <c r="V102" s="15" t="n"/>
      <c r="W102" s="16">
        <f>IFERROR(U102*V102, 0)</f>
        <v/>
      </c>
      <c r="X102" s="14" t="n"/>
      <c r="Y102" s="15" t="n"/>
      <c r="Z102" s="16">
        <f>IFERROR(X102*Y102, 0)</f>
        <v/>
      </c>
      <c r="AA102" s="14" t="n"/>
      <c r="AB102" s="15" t="n"/>
      <c r="AC102" s="16">
        <f>IFERROR(AA102*AB102, 0)</f>
        <v/>
      </c>
      <c r="AD102" s="14" t="n"/>
      <c r="AE102" s="15" t="n"/>
      <c r="AF102" s="16">
        <f>IFERROR(AD102*AE102, 0)</f>
        <v/>
      </c>
      <c r="AG102" s="14" t="n">
        <v>2</v>
      </c>
      <c r="AH102" s="15" t="n">
        <v>17250</v>
      </c>
      <c r="AI102" s="16" t="n">
        <v>34500</v>
      </c>
      <c r="AJ102" s="14" t="n"/>
      <c r="AK102" s="15" t="n"/>
      <c r="AL102" s="16">
        <f>IFERROR(AJ102*AK102, 0)</f>
        <v/>
      </c>
      <c r="AM102" s="14" t="n"/>
      <c r="AN102" s="15" t="n"/>
      <c r="AO102" s="16">
        <f>IFERROR(AM102*AN102, 0)</f>
        <v/>
      </c>
      <c r="AP102" s="14" t="n"/>
      <c r="AQ102" s="15" t="n"/>
      <c r="AR102" s="16">
        <f>IFERROR(AP102*AQ102, 0)</f>
        <v/>
      </c>
      <c r="AS102" s="14" t="n"/>
      <c r="AT102" s="15" t="n"/>
      <c r="AU102" s="16">
        <f>IFERROR(AS102*AT102, 0)</f>
        <v/>
      </c>
      <c r="AV102" s="14" t="n"/>
      <c r="AW102" s="15" t="n"/>
      <c r="AX102" s="16">
        <f>IFERROR(AV102*AW102, 0)</f>
        <v/>
      </c>
      <c r="AY102" s="14" t="n"/>
      <c r="AZ102" s="15" t="n"/>
      <c r="BA102" s="16">
        <f>IFERROR(AY102*AZ102, 0)</f>
        <v/>
      </c>
      <c r="BB102" s="14" t="n"/>
      <c r="BC102" s="15" t="n"/>
      <c r="BD102" s="16">
        <f>IFERROR(BB102*BC102, 0)</f>
        <v/>
      </c>
      <c r="BE102" s="14" t="n">
        <v>3</v>
      </c>
      <c r="BF102" s="15" t="n">
        <v>17250</v>
      </c>
      <c r="BG102" s="16" t="n">
        <v>51750</v>
      </c>
      <c r="BH102" s="14" t="n"/>
      <c r="BI102" s="15" t="n"/>
      <c r="BJ102" s="16">
        <f>IFERROR(BH102*BI102, 0)</f>
        <v/>
      </c>
      <c r="BK102" s="14" t="n"/>
      <c r="BL102" s="15" t="n"/>
      <c r="BM102" s="16">
        <f>IFERROR(BK102*BL102, 0)</f>
        <v/>
      </c>
      <c r="BN102" s="14" t="n"/>
      <c r="BO102" s="15" t="n"/>
      <c r="BP102" s="16">
        <f>IFERROR(BN102*BO102, 0)</f>
        <v/>
      </c>
      <c r="BQ102" s="14" t="n">
        <v>2</v>
      </c>
      <c r="BR102" s="15" t="n">
        <v>17250</v>
      </c>
      <c r="BS102" s="16" t="n">
        <v>34500</v>
      </c>
      <c r="BT102" s="14" t="n"/>
      <c r="BU102" s="15" t="n"/>
      <c r="BV102" s="16">
        <f>IFERROR(BT102*BU102, 0)</f>
        <v/>
      </c>
      <c r="BW102" s="14" t="n"/>
      <c r="BX102" s="15" t="n"/>
      <c r="BY102" s="16">
        <f>IFERROR(BW102*BX102, 0)</f>
        <v/>
      </c>
      <c r="BZ102" s="14" t="n"/>
      <c r="CA102" s="15" t="n"/>
      <c r="CB102" s="16">
        <f>IFERROR(BZ102*CA102, 0)</f>
        <v/>
      </c>
      <c r="CC102" s="14" t="n"/>
      <c r="CD102" s="15" t="n"/>
      <c r="CE102" s="16">
        <f>IFERROR(CC102*CD102, 0)</f>
        <v/>
      </c>
      <c r="CF102" s="14" t="n"/>
      <c r="CG102" s="15" t="n"/>
      <c r="CH102" s="16">
        <f>IFERROR(CF102*CG102, 0)</f>
        <v/>
      </c>
      <c r="CI102" s="14" t="n"/>
      <c r="CJ102" s="15" t="n"/>
      <c r="CK102" s="16">
        <f>IFERROR(CI102*CJ102, 0)</f>
        <v/>
      </c>
      <c r="CL102" s="14" t="n"/>
      <c r="CM102" s="15" t="n"/>
      <c r="CN102" s="16">
        <f>IFERROR(CL102*CM102, 0)</f>
        <v/>
      </c>
      <c r="CO102" s="14" t="n"/>
      <c r="CP102" s="15" t="n"/>
      <c r="CQ102" s="16">
        <f>IFERROR(CO102*CP102, 0)</f>
        <v/>
      </c>
      <c r="CR102" s="14" t="n"/>
      <c r="CS102" s="15" t="n"/>
      <c r="CT102" s="16">
        <f>IFERROR(CR102*CS102, 0)</f>
        <v/>
      </c>
      <c r="CU102" s="17">
        <f>IFERROR(SUM(F102,I102,L102,O102,R102,U102,X102,AA102,AD102,AG102,AJ102,AM102,AP102,AS102,AV102,AY102,BB102,BE102,BH102,BK102,BN102,BQ102,BT102,BW102,BZ102,CC102,CF102,CI102,CL102,CO102,CR102), 0)</f>
        <v/>
      </c>
      <c r="CV102" s="16">
        <f>IFERROR(AVERAGE(G102,J102,M102,P102,S102,V102,Y102,AB102,AE102,AH102,AK102,AN102,AQ102,AT102,AW102,AZ102,BC102,BF102,BI102,BL102,BO102,BR102,BU102,BX102,CA102,CD102,CG102,CJ102,CM102,CP102,CS102), 0)</f>
        <v/>
      </c>
      <c r="CW102" s="16">
        <f>CU102*CV102</f>
        <v/>
      </c>
    </row>
    <row r="103" ht="15.75" customHeight="1">
      <c r="A103" s="41" t="inlineStr">
        <is>
          <t>Bolsa canaveral 100% material recicl f</t>
        </is>
      </c>
      <c r="B103" s="41" t="inlineStr">
        <is>
          <t>Pqte</t>
        </is>
      </c>
      <c r="C103" s="19" t="n"/>
      <c r="D103" s="20" t="n"/>
      <c r="E103" s="78">
        <f>IFERROR(+C103*D103, 0)</f>
        <v/>
      </c>
      <c r="F103" s="14" t="n"/>
      <c r="G103" s="15" t="n"/>
      <c r="H103" s="16">
        <f>IFERROR(F103*G103, 0)</f>
        <v/>
      </c>
      <c r="I103" s="14" t="n"/>
      <c r="J103" s="15" t="n"/>
      <c r="K103" s="16">
        <f>IFERROR(I103*J103, 0)</f>
        <v/>
      </c>
      <c r="L103" s="14" t="n"/>
      <c r="M103" s="15" t="n"/>
      <c r="N103" s="16">
        <f>IFERROR(L103*M103, 0)</f>
        <v/>
      </c>
      <c r="O103" s="14" t="n"/>
      <c r="P103" s="15" t="n"/>
      <c r="Q103" s="16">
        <f>IFERROR(O103*P103, 0)</f>
        <v/>
      </c>
      <c r="R103" s="14" t="n"/>
      <c r="S103" s="15" t="n"/>
      <c r="T103" s="16">
        <f>IFERROR(R103*S103, 0)</f>
        <v/>
      </c>
      <c r="U103" s="14" t="n"/>
      <c r="V103" s="15" t="n"/>
      <c r="W103" s="16">
        <f>IFERROR(U103*V103, 0)</f>
        <v/>
      </c>
      <c r="X103" s="14" t="n"/>
      <c r="Y103" s="15" t="n"/>
      <c r="Z103" s="16">
        <f>IFERROR(X103*Y103, 0)</f>
        <v/>
      </c>
      <c r="AA103" s="14" t="n"/>
      <c r="AB103" s="15" t="n"/>
      <c r="AC103" s="16">
        <f>IFERROR(AA103*AB103, 0)</f>
        <v/>
      </c>
      <c r="AD103" s="14" t="n"/>
      <c r="AE103" s="15" t="n"/>
      <c r="AF103" s="16">
        <f>IFERROR(AD103*AE103, 0)</f>
        <v/>
      </c>
      <c r="AG103" s="14" t="n"/>
      <c r="AH103" s="15" t="n"/>
      <c r="AI103" s="16">
        <f>IFERROR(AG103*AH103, 0)</f>
        <v/>
      </c>
      <c r="AJ103" s="14" t="n"/>
      <c r="AK103" s="15" t="n"/>
      <c r="AL103" s="16">
        <f>IFERROR(AJ103*AK103, 0)</f>
        <v/>
      </c>
      <c r="AM103" s="14" t="n"/>
      <c r="AN103" s="15" t="n"/>
      <c r="AO103" s="16">
        <f>IFERROR(AM103*AN103, 0)</f>
        <v/>
      </c>
      <c r="AP103" s="14" t="n"/>
      <c r="AQ103" s="15" t="n"/>
      <c r="AR103" s="16">
        <f>IFERROR(AP103*AQ103, 0)</f>
        <v/>
      </c>
      <c r="AS103" s="14" t="n"/>
      <c r="AT103" s="15" t="n"/>
      <c r="AU103" s="16">
        <f>IFERROR(AS103*AT103, 0)</f>
        <v/>
      </c>
      <c r="AV103" s="14" t="n"/>
      <c r="AW103" s="15" t="n"/>
      <c r="AX103" s="16">
        <f>IFERROR(AV103*AW103, 0)</f>
        <v/>
      </c>
      <c r="AY103" s="14" t="n"/>
      <c r="AZ103" s="15" t="n"/>
      <c r="BA103" s="16">
        <f>IFERROR(AY103*AZ103, 0)</f>
        <v/>
      </c>
      <c r="BB103" s="14" t="n"/>
      <c r="BC103" s="15" t="n"/>
      <c r="BD103" s="16">
        <f>IFERROR(BB103*BC103, 0)</f>
        <v/>
      </c>
      <c r="BE103" s="14" t="n"/>
      <c r="BF103" s="15" t="n"/>
      <c r="BG103" s="16">
        <f>IFERROR(BE103*BF103, 0)</f>
        <v/>
      </c>
      <c r="BH103" s="14" t="n"/>
      <c r="BI103" s="15" t="n"/>
      <c r="BJ103" s="16">
        <f>IFERROR(BH103*BI103, 0)</f>
        <v/>
      </c>
      <c r="BK103" s="14" t="n"/>
      <c r="BL103" s="15" t="n"/>
      <c r="BM103" s="16">
        <f>IFERROR(BK103*BL103, 0)</f>
        <v/>
      </c>
      <c r="BN103" s="14" t="n"/>
      <c r="BO103" s="15" t="n"/>
      <c r="BP103" s="16">
        <f>IFERROR(BN103*BO103, 0)</f>
        <v/>
      </c>
      <c r="BQ103" s="14" t="n"/>
      <c r="BR103" s="15" t="n"/>
      <c r="BS103" s="16">
        <f>IFERROR(BQ103*BR103, 0)</f>
        <v/>
      </c>
      <c r="BT103" s="14" t="n"/>
      <c r="BU103" s="15" t="n"/>
      <c r="BV103" s="16">
        <f>IFERROR(BT103*BU103, 0)</f>
        <v/>
      </c>
      <c r="BW103" s="14" t="n"/>
      <c r="BX103" s="15" t="n"/>
      <c r="BY103" s="16">
        <f>IFERROR(BW103*BX103, 0)</f>
        <v/>
      </c>
      <c r="BZ103" s="14" t="n"/>
      <c r="CA103" s="15" t="n"/>
      <c r="CB103" s="16">
        <f>IFERROR(BZ103*CA103, 0)</f>
        <v/>
      </c>
      <c r="CC103" s="14" t="n"/>
      <c r="CD103" s="15" t="n"/>
      <c r="CE103" s="16">
        <f>IFERROR(CC103*CD103, 0)</f>
        <v/>
      </c>
      <c r="CF103" s="14" t="n"/>
      <c r="CG103" s="15" t="n"/>
      <c r="CH103" s="16">
        <f>IFERROR(CF103*CG103, 0)</f>
        <v/>
      </c>
      <c r="CI103" s="14" t="n"/>
      <c r="CJ103" s="15" t="n"/>
      <c r="CK103" s="16">
        <f>IFERROR(CI103*CJ103, 0)</f>
        <v/>
      </c>
      <c r="CL103" s="14" t="n"/>
      <c r="CM103" s="15" t="n"/>
      <c r="CN103" s="16">
        <f>IFERROR(CL103*CM103, 0)</f>
        <v/>
      </c>
      <c r="CO103" s="14" t="n"/>
      <c r="CP103" s="15" t="n"/>
      <c r="CQ103" s="16">
        <f>IFERROR(CO103*CP103, 0)</f>
        <v/>
      </c>
      <c r="CR103" s="14" t="n"/>
      <c r="CS103" s="15" t="n"/>
      <c r="CT103" s="16">
        <f>IFERROR(CR103*CS103, 0)</f>
        <v/>
      </c>
      <c r="CU103" s="17">
        <f>IFERROR(SUM(F103,I103,L103,O103,R103,U103,X103,AA103,AD103,AG103,AJ103,AM103,AP103,AS103,AV103,AY103,BB103,BE103,BH103,BK103,BN103,BQ103,BT103,BW103,BZ103,CC103,CF103,CI103,CL103,CO103,CR103), 0)</f>
        <v/>
      </c>
      <c r="CV103" s="16">
        <f>IFERROR(AVERAGE(G103,J103,M103,P103,S103,V103,Y103,AB103,AE103,AH103,AK103,AN103,AQ103,AT103,AW103,AZ103,BC103,BF103,BI103,BL103,BO103,BR103,BU103,BX103,CA103,CD103,CG103,CJ103,CM103,CP103,CS103), 0)</f>
        <v/>
      </c>
      <c r="CW103" s="16">
        <f>CU103*CV103</f>
        <v/>
      </c>
    </row>
    <row r="104" ht="15.75" customHeight="1">
      <c r="A104" s="41" t="inlineStr">
        <is>
          <t>Mantenimiento preventivo de tablero electrico</t>
        </is>
      </c>
      <c r="B104" s="37" t="inlineStr">
        <is>
          <t>Pqte</t>
        </is>
      </c>
      <c r="C104" s="19" t="n"/>
      <c r="D104" s="20" t="n"/>
      <c r="E104" s="78">
        <f>IFERROR(+C104*D104, 0)</f>
        <v/>
      </c>
      <c r="F104" s="14" t="n"/>
      <c r="G104" s="15" t="n"/>
      <c r="H104" s="16">
        <f>IFERROR(F104*G104, 0)</f>
        <v/>
      </c>
      <c r="I104" s="14" t="n"/>
      <c r="J104" s="15" t="n"/>
      <c r="K104" s="16">
        <f>IFERROR(I104*J104, 0)</f>
        <v/>
      </c>
      <c r="L104" s="14" t="n"/>
      <c r="M104" s="15" t="n"/>
      <c r="N104" s="16">
        <f>IFERROR(L104*M104, 0)</f>
        <v/>
      </c>
      <c r="O104" s="14" t="n"/>
      <c r="P104" s="15" t="n"/>
      <c r="Q104" s="16">
        <f>IFERROR(O104*P104, 0)</f>
        <v/>
      </c>
      <c r="R104" s="14" t="n"/>
      <c r="S104" s="15" t="n"/>
      <c r="T104" s="16">
        <f>IFERROR(R104*S104, 0)</f>
        <v/>
      </c>
      <c r="U104" s="14" t="n"/>
      <c r="V104" s="15" t="n"/>
      <c r="W104" s="16">
        <f>IFERROR(U104*V104, 0)</f>
        <v/>
      </c>
      <c r="X104" s="14" t="n"/>
      <c r="Y104" s="15" t="n"/>
      <c r="Z104" s="16">
        <f>IFERROR(X104*Y104, 0)</f>
        <v/>
      </c>
      <c r="AA104" s="14" t="n"/>
      <c r="AB104" s="15" t="n"/>
      <c r="AC104" s="16">
        <f>IFERROR(AA104*AB104, 0)</f>
        <v/>
      </c>
      <c r="AD104" s="14" t="n"/>
      <c r="AE104" s="15" t="n"/>
      <c r="AF104" s="16">
        <f>IFERROR(AD104*AE104, 0)</f>
        <v/>
      </c>
      <c r="AG104" s="14" t="n"/>
      <c r="AH104" s="15" t="n"/>
      <c r="AI104" s="16">
        <f>IFERROR(AG104*AH104, 0)</f>
        <v/>
      </c>
      <c r="AJ104" s="14" t="n"/>
      <c r="AK104" s="15" t="n"/>
      <c r="AL104" s="16">
        <f>IFERROR(AJ104*AK104, 0)</f>
        <v/>
      </c>
      <c r="AM104" s="14" t="n"/>
      <c r="AN104" s="15" t="n"/>
      <c r="AO104" s="16">
        <f>IFERROR(AM104*AN104, 0)</f>
        <v/>
      </c>
      <c r="AP104" s="14" t="n"/>
      <c r="AQ104" s="15" t="n"/>
      <c r="AR104" s="16">
        <f>IFERROR(AP104*AQ104, 0)</f>
        <v/>
      </c>
      <c r="AS104" s="14" t="n"/>
      <c r="AT104" s="15" t="n"/>
      <c r="AU104" s="16">
        <f>IFERROR(AS104*AT104, 0)</f>
        <v/>
      </c>
      <c r="AV104" s="14" t="n"/>
      <c r="AW104" s="15" t="n"/>
      <c r="AX104" s="16">
        <f>IFERROR(AV104*AW104, 0)</f>
        <v/>
      </c>
      <c r="AY104" s="14" t="n"/>
      <c r="AZ104" s="15" t="n"/>
      <c r="BA104" s="16">
        <f>IFERROR(AY104*AZ104, 0)</f>
        <v/>
      </c>
      <c r="BB104" s="14" t="n"/>
      <c r="BC104" s="15" t="n"/>
      <c r="BD104" s="16">
        <f>IFERROR(BB104*BC104, 0)</f>
        <v/>
      </c>
      <c r="BE104" s="14" t="n"/>
      <c r="BF104" s="15" t="n"/>
      <c r="BG104" s="16">
        <f>IFERROR(BE104*BF104, 0)</f>
        <v/>
      </c>
      <c r="BH104" s="14" t="n"/>
      <c r="BI104" s="15" t="n"/>
      <c r="BJ104" s="16">
        <f>IFERROR(BH104*BI104, 0)</f>
        <v/>
      </c>
      <c r="BK104" s="14" t="n"/>
      <c r="BL104" s="15" t="n"/>
      <c r="BM104" s="16">
        <f>IFERROR(BK104*BL104, 0)</f>
        <v/>
      </c>
      <c r="BN104" s="14" t="n"/>
      <c r="BO104" s="15" t="n"/>
      <c r="BP104" s="16">
        <f>IFERROR(BN104*BO104, 0)</f>
        <v/>
      </c>
      <c r="BQ104" s="14" t="n"/>
      <c r="BR104" s="15" t="n"/>
      <c r="BS104" s="16">
        <f>IFERROR(BQ104*BR104, 0)</f>
        <v/>
      </c>
      <c r="BT104" s="14" t="n"/>
      <c r="BU104" s="15" t="n"/>
      <c r="BV104" s="16">
        <f>IFERROR(BT104*BU104, 0)</f>
        <v/>
      </c>
      <c r="BW104" s="14" t="n"/>
      <c r="BX104" s="15" t="n"/>
      <c r="BY104" s="16">
        <f>IFERROR(BW104*BX104, 0)</f>
        <v/>
      </c>
      <c r="BZ104" s="14" t="n"/>
      <c r="CA104" s="15" t="n"/>
      <c r="CB104" s="16">
        <f>IFERROR(BZ104*CA104, 0)</f>
        <v/>
      </c>
      <c r="CC104" s="14" t="n"/>
      <c r="CD104" s="15" t="n"/>
      <c r="CE104" s="16">
        <f>IFERROR(CC104*CD104, 0)</f>
        <v/>
      </c>
      <c r="CF104" s="14" t="n"/>
      <c r="CG104" s="15" t="n"/>
      <c r="CH104" s="16">
        <f>IFERROR(CF104*CG104, 0)</f>
        <v/>
      </c>
      <c r="CI104" s="14" t="n"/>
      <c r="CJ104" s="15" t="n"/>
      <c r="CK104" s="16">
        <f>IFERROR(CI104*CJ104, 0)</f>
        <v/>
      </c>
      <c r="CL104" s="14" t="n"/>
      <c r="CM104" s="15" t="n"/>
      <c r="CN104" s="16">
        <f>IFERROR(CL104*CM104, 0)</f>
        <v/>
      </c>
      <c r="CO104" s="14" t="n"/>
      <c r="CP104" s="15" t="n"/>
      <c r="CQ104" s="16">
        <f>IFERROR(CO104*CP104, 0)</f>
        <v/>
      </c>
      <c r="CR104" s="14" t="n"/>
      <c r="CS104" s="15" t="n"/>
      <c r="CT104" s="16">
        <f>IFERROR(CR104*CS104, 0)</f>
        <v/>
      </c>
      <c r="CU104" s="17">
        <f>IFERROR(SUM(F104,I104,L104,O104,R104,U104,X104,AA104,AD104,AG104,AJ104,AM104,AP104,AS104,AV104,AY104,BB104,BE104,BH104,BK104,BN104,BQ104,BT104,BW104,BZ104,CC104,CF104,CI104,CL104,CO104,CR104), 0)</f>
        <v/>
      </c>
      <c r="CV104" s="16">
        <f>IFERROR(AVERAGE(G104,J104,M104,P104,S104,V104,Y104,AB104,AE104,AH104,AK104,AN104,AQ104,AT104,AW104,AZ104,BC104,BF104,BI104,BL104,BO104,BR104,BU104,BX104,CA104,CD104,CG104,CJ104,CM104,CP104,CS104), 0)</f>
        <v/>
      </c>
      <c r="CW104" s="16">
        <f>CU104*CV104</f>
        <v/>
      </c>
    </row>
    <row r="105" ht="15.75" customHeight="1">
      <c r="A105" s="41" t="inlineStr">
        <is>
          <t>Bolsa mercamio reciclable</t>
        </is>
      </c>
      <c r="B105" s="37" t="inlineStr">
        <is>
          <t>Pqte</t>
        </is>
      </c>
      <c r="C105" s="19" t="n"/>
      <c r="D105" s="20" t="n"/>
      <c r="E105" s="78">
        <f>IFERROR(+C105*D105, 0)</f>
        <v/>
      </c>
      <c r="F105" s="14" t="n"/>
      <c r="G105" s="15" t="n"/>
      <c r="H105" s="16">
        <f>IFERROR(F105*G105, 0)</f>
        <v/>
      </c>
      <c r="I105" s="14" t="n"/>
      <c r="J105" s="15" t="n"/>
      <c r="K105" s="16">
        <f>IFERROR(I105*J105, 0)</f>
        <v/>
      </c>
      <c r="L105" s="14" t="n">
        <v>1</v>
      </c>
      <c r="M105" s="15" t="n">
        <v>300</v>
      </c>
      <c r="N105" s="16" t="n">
        <v>300</v>
      </c>
      <c r="O105" s="14" t="n"/>
      <c r="P105" s="15" t="n"/>
      <c r="Q105" s="16">
        <f>IFERROR(O105*P105, 0)</f>
        <v/>
      </c>
      <c r="R105" s="14" t="n">
        <v>1</v>
      </c>
      <c r="S105" s="15" t="n">
        <v>300</v>
      </c>
      <c r="T105" s="16" t="n">
        <v>300</v>
      </c>
      <c r="U105" s="14" t="n"/>
      <c r="V105" s="15" t="n"/>
      <c r="W105" s="16">
        <f>IFERROR(U105*V105, 0)</f>
        <v/>
      </c>
      <c r="X105" s="14" t="n"/>
      <c r="Y105" s="15" t="n"/>
      <c r="Z105" s="16">
        <f>IFERROR(X105*Y105, 0)</f>
        <v/>
      </c>
      <c r="AA105" s="14" t="n">
        <v>1</v>
      </c>
      <c r="AB105" s="15" t="n">
        <v>300</v>
      </c>
      <c r="AC105" s="16" t="n">
        <v>300</v>
      </c>
      <c r="AD105" s="14" t="n"/>
      <c r="AE105" s="15" t="n"/>
      <c r="AF105" s="16">
        <f>IFERROR(AD105*AE105, 0)</f>
        <v/>
      </c>
      <c r="AG105" s="14" t="n"/>
      <c r="AH105" s="15" t="n"/>
      <c r="AI105" s="16">
        <f>IFERROR(AG105*AH105, 0)</f>
        <v/>
      </c>
      <c r="AJ105" s="14" t="n"/>
      <c r="AK105" s="15" t="n"/>
      <c r="AL105" s="16">
        <f>IFERROR(AJ105*AK105, 0)</f>
        <v/>
      </c>
      <c r="AM105" s="14" t="n"/>
      <c r="AN105" s="15" t="n"/>
      <c r="AO105" s="16">
        <f>IFERROR(AM105*AN105, 0)</f>
        <v/>
      </c>
      <c r="AP105" s="14" t="n"/>
      <c r="AQ105" s="15" t="n"/>
      <c r="AR105" s="16">
        <f>IFERROR(AP105*AQ105, 0)</f>
        <v/>
      </c>
      <c r="AS105" s="14" t="n"/>
      <c r="AT105" s="15" t="n"/>
      <c r="AU105" s="16">
        <f>IFERROR(AS105*AT105, 0)</f>
        <v/>
      </c>
      <c r="AV105" s="14" t="n"/>
      <c r="AW105" s="15" t="n"/>
      <c r="AX105" s="16">
        <f>IFERROR(AV105*AW105, 0)</f>
        <v/>
      </c>
      <c r="AY105" s="14" t="n"/>
      <c r="AZ105" s="15" t="n"/>
      <c r="BA105" s="16">
        <f>IFERROR(AY105*AZ105, 0)</f>
        <v/>
      </c>
      <c r="BB105" s="14" t="n"/>
      <c r="BC105" s="15" t="n"/>
      <c r="BD105" s="16">
        <f>IFERROR(BB105*BC105, 0)</f>
        <v/>
      </c>
      <c r="BE105" s="14" t="n">
        <v>1</v>
      </c>
      <c r="BF105" s="15" t="n">
        <v>300</v>
      </c>
      <c r="BG105" s="16" t="n">
        <v>300</v>
      </c>
      <c r="BH105" s="14" t="n"/>
      <c r="BI105" s="15" t="n"/>
      <c r="BJ105" s="16">
        <f>IFERROR(BH105*BI105, 0)</f>
        <v/>
      </c>
      <c r="BK105" s="14" t="n">
        <v>2</v>
      </c>
      <c r="BL105" s="15" t="n">
        <v>300</v>
      </c>
      <c r="BM105" s="16" t="n">
        <v>600</v>
      </c>
      <c r="BN105" s="14" t="n"/>
      <c r="BO105" s="15" t="n"/>
      <c r="BP105" s="16">
        <f>IFERROR(BN105*BO105, 0)</f>
        <v/>
      </c>
      <c r="BQ105" s="14" t="n">
        <v>1</v>
      </c>
      <c r="BR105" s="15" t="n">
        <v>300</v>
      </c>
      <c r="BS105" s="16" t="n">
        <v>300</v>
      </c>
      <c r="BT105" s="14" t="n"/>
      <c r="BU105" s="15" t="n"/>
      <c r="BV105" s="16">
        <f>IFERROR(BT105*BU105, 0)</f>
        <v/>
      </c>
      <c r="BW105" s="14" t="n"/>
      <c r="BX105" s="15" t="n"/>
      <c r="BY105" s="16">
        <f>IFERROR(BW105*BX105, 0)</f>
        <v/>
      </c>
      <c r="BZ105" s="14" t="n"/>
      <c r="CA105" s="15" t="n"/>
      <c r="CB105" s="16">
        <f>IFERROR(BZ105*CA105, 0)</f>
        <v/>
      </c>
      <c r="CC105" s="14" t="n"/>
      <c r="CD105" s="15" t="n"/>
      <c r="CE105" s="16">
        <f>IFERROR(CC105*CD105, 0)</f>
        <v/>
      </c>
      <c r="CF105" s="14" t="n"/>
      <c r="CG105" s="15" t="n"/>
      <c r="CH105" s="16">
        <f>IFERROR(CF105*CG105, 0)</f>
        <v/>
      </c>
      <c r="CI105" s="14" t="n"/>
      <c r="CJ105" s="15" t="n"/>
      <c r="CK105" s="16">
        <f>IFERROR(CI105*CJ105, 0)</f>
        <v/>
      </c>
      <c r="CL105" s="14" t="n"/>
      <c r="CM105" s="15" t="n"/>
      <c r="CN105" s="16">
        <f>IFERROR(CL105*CM105, 0)</f>
        <v/>
      </c>
      <c r="CO105" s="14" t="n"/>
      <c r="CP105" s="15" t="n"/>
      <c r="CQ105" s="16">
        <f>IFERROR(CO105*CP105, 0)</f>
        <v/>
      </c>
      <c r="CR105" s="14" t="n"/>
      <c r="CS105" s="15" t="n"/>
      <c r="CT105" s="16">
        <f>IFERROR(CR105*CS105, 0)</f>
        <v/>
      </c>
      <c r="CU105" s="17">
        <f>IFERROR(SUM(F105,I105,L105,O105,R105,U105,X105,AA105,AD105,AG105,AJ105,AM105,AP105,AS105,AV105,AY105,BB105,BE105,BH105,BK105,BN105,BQ105,BT105,BW105,BZ105,CC105,CF105,CI105,CL105,CO105,CR105), 0)</f>
        <v/>
      </c>
      <c r="CV105" s="16">
        <f>IFERROR(AVERAGE(G105,J105,M105,P105,S105,V105,Y105,AB105,AE105,AH105,AK105,AN105,AQ105,AT105,AW105,AZ105,BC105,BF105,BI105,BL105,BO105,BR105,BU105,BX105,CA105,CD105,CG105,CJ105,CM105,CP105,CS105), 0)</f>
        <v/>
      </c>
      <c r="CW105" s="16">
        <f>CU105*CV105</f>
        <v/>
      </c>
    </row>
    <row r="106" ht="15.75" customHeight="1">
      <c r="A106" s="41" t="inlineStr">
        <is>
          <t>Plato circular plano pequeño</t>
        </is>
      </c>
      <c r="B106" s="37" t="inlineStr">
        <is>
          <t>Pqte</t>
        </is>
      </c>
      <c r="C106" s="19" t="n"/>
      <c r="D106" s="20" t="n"/>
      <c r="E106" s="78">
        <f>IFERROR(+C106*D106, 0)</f>
        <v/>
      </c>
      <c r="F106" s="14" t="n"/>
      <c r="G106" s="15" t="n"/>
      <c r="H106" s="16">
        <f>IFERROR(F106*G106, 0)</f>
        <v/>
      </c>
      <c r="I106" s="14" t="n"/>
      <c r="J106" s="15" t="n"/>
      <c r="K106" s="16">
        <f>IFERROR(I106*J106, 0)</f>
        <v/>
      </c>
      <c r="L106" s="14" t="n"/>
      <c r="M106" s="15" t="n"/>
      <c r="N106" s="16">
        <f>IFERROR(L106*M106, 0)</f>
        <v/>
      </c>
      <c r="O106" s="14" t="n"/>
      <c r="P106" s="15" t="n"/>
      <c r="Q106" s="16">
        <f>IFERROR(O106*P106, 0)</f>
        <v/>
      </c>
      <c r="R106" s="14" t="n"/>
      <c r="S106" s="15" t="n"/>
      <c r="T106" s="16">
        <f>IFERROR(R106*S106, 0)</f>
        <v/>
      </c>
      <c r="U106" s="14" t="n"/>
      <c r="V106" s="15" t="n"/>
      <c r="W106" s="16">
        <f>IFERROR(U106*V106, 0)</f>
        <v/>
      </c>
      <c r="X106" s="14" t="n"/>
      <c r="Y106" s="15" t="n"/>
      <c r="Z106" s="16">
        <f>IFERROR(X106*Y106, 0)</f>
        <v/>
      </c>
      <c r="AA106" s="14" t="n"/>
      <c r="AB106" s="15" t="n"/>
      <c r="AC106" s="16">
        <f>IFERROR(AA106*AB106, 0)</f>
        <v/>
      </c>
      <c r="AD106" s="14" t="n"/>
      <c r="AE106" s="15" t="n"/>
      <c r="AF106" s="16">
        <f>IFERROR(AD106*AE106, 0)</f>
        <v/>
      </c>
      <c r="AG106" s="14" t="n"/>
      <c r="AH106" s="15" t="n"/>
      <c r="AI106" s="16">
        <f>IFERROR(AG106*AH106, 0)</f>
        <v/>
      </c>
      <c r="AJ106" s="14" t="n"/>
      <c r="AK106" s="15" t="n"/>
      <c r="AL106" s="16">
        <f>IFERROR(AJ106*AK106, 0)</f>
        <v/>
      </c>
      <c r="AM106" s="14" t="n"/>
      <c r="AN106" s="15" t="n"/>
      <c r="AO106" s="16">
        <f>IFERROR(AM106*AN106, 0)</f>
        <v/>
      </c>
      <c r="AP106" s="14" t="n"/>
      <c r="AQ106" s="15" t="n"/>
      <c r="AR106" s="16">
        <f>IFERROR(AP106*AQ106, 0)</f>
        <v/>
      </c>
      <c r="AS106" s="14" t="n"/>
      <c r="AT106" s="15" t="n"/>
      <c r="AU106" s="16">
        <f>IFERROR(AS106*AT106, 0)</f>
        <v/>
      </c>
      <c r="AV106" s="14" t="n"/>
      <c r="AW106" s="15" t="n"/>
      <c r="AX106" s="16">
        <f>IFERROR(AV106*AW106, 0)</f>
        <v/>
      </c>
      <c r="AY106" s="14" t="n"/>
      <c r="AZ106" s="15" t="n"/>
      <c r="BA106" s="16">
        <f>IFERROR(AY106*AZ106, 0)</f>
        <v/>
      </c>
      <c r="BB106" s="14" t="n"/>
      <c r="BC106" s="15" t="n"/>
      <c r="BD106" s="16">
        <f>IFERROR(BB106*BC106, 0)</f>
        <v/>
      </c>
      <c r="BE106" s="14" t="n"/>
      <c r="BF106" s="15" t="n"/>
      <c r="BG106" s="16">
        <f>IFERROR(BE106*BF106, 0)</f>
        <v/>
      </c>
      <c r="BH106" s="14" t="n"/>
      <c r="BI106" s="15" t="n"/>
      <c r="BJ106" s="16">
        <f>IFERROR(BH106*BI106, 0)</f>
        <v/>
      </c>
      <c r="BK106" s="14" t="n"/>
      <c r="BL106" s="15" t="n"/>
      <c r="BM106" s="16">
        <f>IFERROR(BK106*BL106, 0)</f>
        <v/>
      </c>
      <c r="BN106" s="14" t="n"/>
      <c r="BO106" s="15" t="n"/>
      <c r="BP106" s="16">
        <f>IFERROR(BN106*BO106, 0)</f>
        <v/>
      </c>
      <c r="BQ106" s="14" t="n"/>
      <c r="BR106" s="15" t="n"/>
      <c r="BS106" s="16">
        <f>IFERROR(BQ106*BR106, 0)</f>
        <v/>
      </c>
      <c r="BT106" s="14" t="n"/>
      <c r="BU106" s="15" t="n"/>
      <c r="BV106" s="16">
        <f>IFERROR(BT106*BU106, 0)</f>
        <v/>
      </c>
      <c r="BW106" s="14" t="n"/>
      <c r="BX106" s="15" t="n"/>
      <c r="BY106" s="16">
        <f>IFERROR(BW106*BX106, 0)</f>
        <v/>
      </c>
      <c r="BZ106" s="14" t="n"/>
      <c r="CA106" s="15" t="n"/>
      <c r="CB106" s="16">
        <f>IFERROR(BZ106*CA106, 0)</f>
        <v/>
      </c>
      <c r="CC106" s="14" t="n"/>
      <c r="CD106" s="15" t="n"/>
      <c r="CE106" s="16">
        <f>IFERROR(CC106*CD106, 0)</f>
        <v/>
      </c>
      <c r="CF106" s="14" t="n"/>
      <c r="CG106" s="15" t="n"/>
      <c r="CH106" s="16">
        <f>IFERROR(CF106*CG106, 0)</f>
        <v/>
      </c>
      <c r="CI106" s="14" t="n"/>
      <c r="CJ106" s="15" t="n"/>
      <c r="CK106" s="16">
        <f>IFERROR(CI106*CJ106, 0)</f>
        <v/>
      </c>
      <c r="CL106" s="14" t="n"/>
      <c r="CM106" s="15" t="n"/>
      <c r="CN106" s="16">
        <f>IFERROR(CL106*CM106, 0)</f>
        <v/>
      </c>
      <c r="CO106" s="14" t="n"/>
      <c r="CP106" s="15" t="n"/>
      <c r="CQ106" s="16">
        <f>IFERROR(CO106*CP106, 0)</f>
        <v/>
      </c>
      <c r="CR106" s="14" t="n"/>
      <c r="CS106" s="15" t="n"/>
      <c r="CT106" s="16">
        <f>IFERROR(CR106*CS106, 0)</f>
        <v/>
      </c>
      <c r="CU106" s="17">
        <f>IFERROR(SUM(F106,I106,L106,O106,R106,U106,X106,AA106,AD106,AG106,AJ106,AM106,AP106,AS106,AV106,AY106,BB106,BE106,BH106,BK106,BN106,BQ106,BT106,BW106,BZ106,CC106,CF106,CI106,CL106,CO106,CR106), 0)</f>
        <v/>
      </c>
      <c r="CV106" s="16">
        <f>IFERROR(AVERAGE(G106,J106,M106,P106,S106,V106,Y106,AB106,AE106,AH106,AK106,AN106,AQ106,AT106,AW106,AZ106,BC106,BF106,BI106,BL106,BO106,BR106,BU106,BX106,CA106,CD106,CG106,CJ106,CM106,CP106,CS106), 0)</f>
        <v/>
      </c>
      <c r="CW106" s="16">
        <f>CU106*CV106</f>
        <v/>
      </c>
    </row>
    <row r="107" ht="15.75" customHeight="1">
      <c r="A107" s="41" t="inlineStr">
        <is>
          <t>Cabuya polipropileno</t>
        </is>
      </c>
      <c r="B107" s="37" t="inlineStr">
        <is>
          <t>Pqte</t>
        </is>
      </c>
      <c r="C107" s="19" t="n"/>
      <c r="D107" s="20" t="n"/>
      <c r="E107" s="78">
        <f>IFERROR(+C107*D107, 0)</f>
        <v/>
      </c>
      <c r="F107" s="14" t="n"/>
      <c r="G107" s="15" t="n"/>
      <c r="H107" s="16">
        <f>IFERROR(F107*G107, 0)</f>
        <v/>
      </c>
      <c r="I107" s="14" t="n"/>
      <c r="J107" s="15" t="n"/>
      <c r="K107" s="16">
        <f>IFERROR(I107*J107, 0)</f>
        <v/>
      </c>
      <c r="L107" s="14" t="n"/>
      <c r="M107" s="15" t="n"/>
      <c r="N107" s="16">
        <f>IFERROR(L107*M107, 0)</f>
        <v/>
      </c>
      <c r="O107" s="14" t="n"/>
      <c r="P107" s="15" t="n"/>
      <c r="Q107" s="16">
        <f>IFERROR(O107*P107, 0)</f>
        <v/>
      </c>
      <c r="R107" s="14" t="n"/>
      <c r="S107" s="15" t="n"/>
      <c r="T107" s="16">
        <f>IFERROR(R107*S107, 0)</f>
        <v/>
      </c>
      <c r="U107" s="14" t="n"/>
      <c r="V107" s="15" t="n"/>
      <c r="W107" s="16">
        <f>IFERROR(U107*V107, 0)</f>
        <v/>
      </c>
      <c r="X107" s="14" t="n"/>
      <c r="Y107" s="15" t="n"/>
      <c r="Z107" s="16">
        <f>IFERROR(X107*Y107, 0)</f>
        <v/>
      </c>
      <c r="AA107" s="14" t="n"/>
      <c r="AB107" s="15" t="n"/>
      <c r="AC107" s="16">
        <f>IFERROR(AA107*AB107, 0)</f>
        <v/>
      </c>
      <c r="AD107" s="14" t="n"/>
      <c r="AE107" s="15" t="n"/>
      <c r="AF107" s="16">
        <f>IFERROR(AD107*AE107, 0)</f>
        <v/>
      </c>
      <c r="AG107" s="14" t="n"/>
      <c r="AH107" s="15" t="n"/>
      <c r="AI107" s="16">
        <f>IFERROR(AG107*AH107, 0)</f>
        <v/>
      </c>
      <c r="AJ107" s="14" t="n"/>
      <c r="AK107" s="15" t="n"/>
      <c r="AL107" s="16">
        <f>IFERROR(AJ107*AK107, 0)</f>
        <v/>
      </c>
      <c r="AM107" s="14" t="n"/>
      <c r="AN107" s="15" t="n"/>
      <c r="AO107" s="16">
        <f>IFERROR(AM107*AN107, 0)</f>
        <v/>
      </c>
      <c r="AP107" s="14" t="n"/>
      <c r="AQ107" s="15" t="n"/>
      <c r="AR107" s="16">
        <f>IFERROR(AP107*AQ107, 0)</f>
        <v/>
      </c>
      <c r="AS107" s="14" t="n"/>
      <c r="AT107" s="15" t="n"/>
      <c r="AU107" s="16">
        <f>IFERROR(AS107*AT107, 0)</f>
        <v/>
      </c>
      <c r="AV107" s="14" t="n"/>
      <c r="AW107" s="15" t="n"/>
      <c r="AX107" s="16">
        <f>IFERROR(AV107*AW107, 0)</f>
        <v/>
      </c>
      <c r="AY107" s="14" t="n"/>
      <c r="AZ107" s="15" t="n"/>
      <c r="BA107" s="16">
        <f>IFERROR(AY107*AZ107, 0)</f>
        <v/>
      </c>
      <c r="BB107" s="14" t="n"/>
      <c r="BC107" s="15" t="n"/>
      <c r="BD107" s="16">
        <f>IFERROR(BB107*BC107, 0)</f>
        <v/>
      </c>
      <c r="BE107" s="14" t="n"/>
      <c r="BF107" s="15" t="n"/>
      <c r="BG107" s="16">
        <f>IFERROR(BE107*BF107, 0)</f>
        <v/>
      </c>
      <c r="BH107" s="14" t="n"/>
      <c r="BI107" s="15" t="n"/>
      <c r="BJ107" s="16">
        <f>IFERROR(BH107*BI107, 0)</f>
        <v/>
      </c>
      <c r="BK107" s="14" t="n"/>
      <c r="BL107" s="15" t="n"/>
      <c r="BM107" s="16">
        <f>IFERROR(BK107*BL107, 0)</f>
        <v/>
      </c>
      <c r="BN107" s="14" t="n"/>
      <c r="BO107" s="15" t="n"/>
      <c r="BP107" s="16">
        <f>IFERROR(BN107*BO107, 0)</f>
        <v/>
      </c>
      <c r="BQ107" s="14" t="n"/>
      <c r="BR107" s="15" t="n"/>
      <c r="BS107" s="16">
        <f>IFERROR(BQ107*BR107, 0)</f>
        <v/>
      </c>
      <c r="BT107" s="14" t="n"/>
      <c r="BU107" s="15" t="n"/>
      <c r="BV107" s="16">
        <f>IFERROR(BT107*BU107, 0)</f>
        <v/>
      </c>
      <c r="BW107" s="14" t="n"/>
      <c r="BX107" s="15" t="n"/>
      <c r="BY107" s="16">
        <f>IFERROR(BW107*BX107, 0)</f>
        <v/>
      </c>
      <c r="BZ107" s="14" t="n"/>
      <c r="CA107" s="15" t="n"/>
      <c r="CB107" s="16">
        <f>IFERROR(BZ107*CA107, 0)</f>
        <v/>
      </c>
      <c r="CC107" s="14" t="n"/>
      <c r="CD107" s="15" t="n"/>
      <c r="CE107" s="16">
        <f>IFERROR(CC107*CD107, 0)</f>
        <v/>
      </c>
      <c r="CF107" s="14" t="n"/>
      <c r="CG107" s="15" t="n"/>
      <c r="CH107" s="16">
        <f>IFERROR(CF107*CG107, 0)</f>
        <v/>
      </c>
      <c r="CI107" s="14" t="n"/>
      <c r="CJ107" s="15" t="n"/>
      <c r="CK107" s="16">
        <f>IFERROR(CI107*CJ107, 0)</f>
        <v/>
      </c>
      <c r="CL107" s="14" t="n"/>
      <c r="CM107" s="15" t="n"/>
      <c r="CN107" s="16">
        <f>IFERROR(CL107*CM107, 0)</f>
        <v/>
      </c>
      <c r="CO107" s="14" t="n"/>
      <c r="CP107" s="15" t="n"/>
      <c r="CQ107" s="16">
        <f>IFERROR(CO107*CP107, 0)</f>
        <v/>
      </c>
      <c r="CR107" s="14" t="n"/>
      <c r="CS107" s="15" t="n"/>
      <c r="CT107" s="16">
        <f>IFERROR(CR107*CS107, 0)</f>
        <v/>
      </c>
      <c r="CU107" s="17">
        <f>IFERROR(SUM(F107,I107,L107,O107,R107,U107,X107,AA107,AD107,AG107,AJ107,AM107,AP107,AS107,AV107,AY107,BB107,BE107,BH107,BK107,BN107,BQ107,BT107,BW107,BZ107,CC107,CF107,CI107,CL107,CO107,CR107), 0)</f>
        <v/>
      </c>
      <c r="CV107" s="16">
        <f>IFERROR(AVERAGE(G107,J107,M107,P107,S107,V107,Y107,AB107,AE107,AH107,AK107,AN107,AQ107,AT107,AW107,AZ107,BC107,BF107,BI107,BL107,BO107,BR107,BU107,BX107,CA107,CD107,CG107,CJ107,CM107,CP107,CS107), 0)</f>
        <v/>
      </c>
      <c r="CW107" s="16">
        <f>CU107*CV107</f>
        <v/>
      </c>
    </row>
    <row r="108" ht="15.75" customHeight="1">
      <c r="A108" s="41" t="inlineStr">
        <is>
          <t>Bandeja 12'' boca redonda tres colores</t>
        </is>
      </c>
      <c r="B108" s="37" t="inlineStr">
        <is>
          <t>Pqte</t>
        </is>
      </c>
      <c r="C108" s="19" t="n"/>
      <c r="D108" s="20" t="n"/>
      <c r="E108" s="78">
        <f>IFERROR(+C108*D108, 0)</f>
        <v/>
      </c>
      <c r="F108" s="14" t="n"/>
      <c r="G108" s="15" t="n"/>
      <c r="H108" s="16">
        <f>IFERROR(F108*G108, 0)</f>
        <v/>
      </c>
      <c r="I108" s="14" t="n"/>
      <c r="J108" s="15" t="n"/>
      <c r="K108" s="16">
        <f>IFERROR(I108*J108, 0)</f>
        <v/>
      </c>
      <c r="L108" s="14" t="n"/>
      <c r="M108" s="15" t="n"/>
      <c r="N108" s="16">
        <f>IFERROR(L108*M108, 0)</f>
        <v/>
      </c>
      <c r="O108" s="14" t="n"/>
      <c r="P108" s="15" t="n"/>
      <c r="Q108" s="16">
        <f>IFERROR(O108*P108, 0)</f>
        <v/>
      </c>
      <c r="R108" s="14" t="n"/>
      <c r="S108" s="15" t="n"/>
      <c r="T108" s="16">
        <f>IFERROR(R108*S108, 0)</f>
        <v/>
      </c>
      <c r="U108" s="14" t="n"/>
      <c r="V108" s="15" t="n"/>
      <c r="W108" s="16">
        <f>IFERROR(U108*V108, 0)</f>
        <v/>
      </c>
      <c r="X108" s="14" t="n"/>
      <c r="Y108" s="15" t="n"/>
      <c r="Z108" s="16">
        <f>IFERROR(X108*Y108, 0)</f>
        <v/>
      </c>
      <c r="AA108" s="14" t="n"/>
      <c r="AB108" s="15" t="n"/>
      <c r="AC108" s="16">
        <f>IFERROR(AA108*AB108, 0)</f>
        <v/>
      </c>
      <c r="AD108" s="14" t="n"/>
      <c r="AE108" s="15" t="n"/>
      <c r="AF108" s="16">
        <f>IFERROR(AD108*AE108, 0)</f>
        <v/>
      </c>
      <c r="AG108" s="14" t="n"/>
      <c r="AH108" s="15" t="n"/>
      <c r="AI108" s="16">
        <f>IFERROR(AG108*AH108, 0)</f>
        <v/>
      </c>
      <c r="AJ108" s="14" t="n"/>
      <c r="AK108" s="15" t="n"/>
      <c r="AL108" s="16">
        <f>IFERROR(AJ108*AK108, 0)</f>
        <v/>
      </c>
      <c r="AM108" s="14" t="n"/>
      <c r="AN108" s="15" t="n"/>
      <c r="AO108" s="16">
        <f>IFERROR(AM108*AN108, 0)</f>
        <v/>
      </c>
      <c r="AP108" s="14" t="n"/>
      <c r="AQ108" s="15" t="n"/>
      <c r="AR108" s="16">
        <f>IFERROR(AP108*AQ108, 0)</f>
        <v/>
      </c>
      <c r="AS108" s="14" t="n"/>
      <c r="AT108" s="15" t="n"/>
      <c r="AU108" s="16">
        <f>IFERROR(AS108*AT108, 0)</f>
        <v/>
      </c>
      <c r="AV108" s="14" t="n"/>
      <c r="AW108" s="15" t="n"/>
      <c r="AX108" s="16">
        <f>IFERROR(AV108*AW108, 0)</f>
        <v/>
      </c>
      <c r="AY108" s="14" t="n"/>
      <c r="AZ108" s="15" t="n"/>
      <c r="BA108" s="16">
        <f>IFERROR(AY108*AZ108, 0)</f>
        <v/>
      </c>
      <c r="BB108" s="14" t="n"/>
      <c r="BC108" s="15" t="n"/>
      <c r="BD108" s="16">
        <f>IFERROR(BB108*BC108, 0)</f>
        <v/>
      </c>
      <c r="BE108" s="14" t="n"/>
      <c r="BF108" s="15" t="n"/>
      <c r="BG108" s="16">
        <f>IFERROR(BE108*BF108, 0)</f>
        <v/>
      </c>
      <c r="BH108" s="14" t="n"/>
      <c r="BI108" s="15" t="n"/>
      <c r="BJ108" s="16">
        <f>IFERROR(BH108*BI108, 0)</f>
        <v/>
      </c>
      <c r="BK108" s="14" t="n"/>
      <c r="BL108" s="15" t="n"/>
      <c r="BM108" s="16">
        <f>IFERROR(BK108*BL108, 0)</f>
        <v/>
      </c>
      <c r="BN108" s="14" t="n"/>
      <c r="BO108" s="15" t="n"/>
      <c r="BP108" s="16">
        <f>IFERROR(BN108*BO108, 0)</f>
        <v/>
      </c>
      <c r="BQ108" s="14" t="n"/>
      <c r="BR108" s="15" t="n"/>
      <c r="BS108" s="16">
        <f>IFERROR(BQ108*BR108, 0)</f>
        <v/>
      </c>
      <c r="BT108" s="14" t="n"/>
      <c r="BU108" s="15" t="n"/>
      <c r="BV108" s="16">
        <f>IFERROR(BT108*BU108, 0)</f>
        <v/>
      </c>
      <c r="BW108" s="14" t="n"/>
      <c r="BX108" s="15" t="n"/>
      <c r="BY108" s="16">
        <f>IFERROR(BW108*BX108, 0)</f>
        <v/>
      </c>
      <c r="BZ108" s="14" t="n"/>
      <c r="CA108" s="15" t="n"/>
      <c r="CB108" s="16">
        <f>IFERROR(BZ108*CA108, 0)</f>
        <v/>
      </c>
      <c r="CC108" s="14" t="n"/>
      <c r="CD108" s="15" t="n"/>
      <c r="CE108" s="16">
        <f>IFERROR(CC108*CD108, 0)</f>
        <v/>
      </c>
      <c r="CF108" s="14" t="n"/>
      <c r="CG108" s="15" t="n"/>
      <c r="CH108" s="16">
        <f>IFERROR(CF108*CG108, 0)</f>
        <v/>
      </c>
      <c r="CI108" s="14" t="n"/>
      <c r="CJ108" s="15" t="n"/>
      <c r="CK108" s="16">
        <f>IFERROR(CI108*CJ108, 0)</f>
        <v/>
      </c>
      <c r="CL108" s="14" t="n"/>
      <c r="CM108" s="15" t="n"/>
      <c r="CN108" s="16">
        <f>IFERROR(CL108*CM108, 0)</f>
        <v/>
      </c>
      <c r="CO108" s="14" t="n"/>
      <c r="CP108" s="15" t="n"/>
      <c r="CQ108" s="16">
        <f>IFERROR(CO108*CP108, 0)</f>
        <v/>
      </c>
      <c r="CR108" s="14" t="n"/>
      <c r="CS108" s="15" t="n"/>
      <c r="CT108" s="16">
        <f>IFERROR(CR108*CS108, 0)</f>
        <v/>
      </c>
      <c r="CU108" s="17">
        <f>IFERROR(SUM(F108,I108,L108,O108,R108,U108,X108,AA108,AD108,AG108,AJ108,AM108,AP108,AS108,AV108,AY108,BB108,BE108,BH108,BK108,BN108,BQ108,BT108,BW108,BZ108,CC108,CF108,CI108,CL108,CO108,CR108), 0)</f>
        <v/>
      </c>
      <c r="CV108" s="16">
        <f>IFERROR(AVERAGE(G108,J108,M108,P108,S108,V108,Y108,AB108,AE108,AH108,AK108,AN108,AQ108,AT108,AW108,AZ108,BC108,BF108,BI108,BL108,BO108,BR108,BU108,BX108,CA108,CD108,CG108,CJ108,CM108,CP108,CS108), 0)</f>
        <v/>
      </c>
      <c r="CW108" s="16">
        <f>CU108*CV108</f>
        <v/>
      </c>
    </row>
    <row r="109" ht="15.75" customHeight="1">
      <c r="A109" s="21" t="inlineStr">
        <is>
          <t>Silicona liquida x250</t>
        </is>
      </c>
      <c r="B109" s="21" t="inlineStr">
        <is>
          <t>Und</t>
        </is>
      </c>
      <c r="C109" s="44" t="n"/>
      <c r="D109" s="22" t="n"/>
      <c r="E109" s="78">
        <f>IFERROR(+C109*D109, 0)</f>
        <v/>
      </c>
      <c r="F109" s="14" t="n"/>
      <c r="G109" s="15" t="n"/>
      <c r="H109" s="16">
        <f>IFERROR(F109*G109, 0)</f>
        <v/>
      </c>
      <c r="I109" s="14" t="n"/>
      <c r="J109" s="15" t="n"/>
      <c r="K109" s="16">
        <f>IFERROR(I109*J109, 0)</f>
        <v/>
      </c>
      <c r="L109" s="14" t="n"/>
      <c r="M109" s="15" t="n"/>
      <c r="N109" s="16">
        <f>IFERROR(L109*M109, 0)</f>
        <v/>
      </c>
      <c r="O109" s="14" t="n"/>
      <c r="P109" s="15" t="n"/>
      <c r="Q109" s="16">
        <f>IFERROR(O109*P109, 0)</f>
        <v/>
      </c>
      <c r="R109" s="14" t="n"/>
      <c r="S109" s="15" t="n"/>
      <c r="T109" s="16">
        <f>IFERROR(R109*S109, 0)</f>
        <v/>
      </c>
      <c r="U109" s="14" t="n"/>
      <c r="V109" s="15" t="n"/>
      <c r="W109" s="16">
        <f>IFERROR(U109*V109, 0)</f>
        <v/>
      </c>
      <c r="X109" s="14" t="n"/>
      <c r="Y109" s="15" t="n"/>
      <c r="Z109" s="16">
        <f>IFERROR(X109*Y109, 0)</f>
        <v/>
      </c>
      <c r="AA109" s="14" t="n"/>
      <c r="AB109" s="15" t="n"/>
      <c r="AC109" s="16">
        <f>IFERROR(AA109*AB109, 0)</f>
        <v/>
      </c>
      <c r="AD109" s="14" t="n"/>
      <c r="AE109" s="15" t="n"/>
      <c r="AF109" s="16">
        <f>IFERROR(AD109*AE109, 0)</f>
        <v/>
      </c>
      <c r="AG109" s="14" t="n"/>
      <c r="AH109" s="15" t="n"/>
      <c r="AI109" s="16">
        <f>IFERROR(AG109*AH109, 0)</f>
        <v/>
      </c>
      <c r="AJ109" s="14" t="n"/>
      <c r="AK109" s="15" t="n"/>
      <c r="AL109" s="16">
        <f>IFERROR(AJ109*AK109, 0)</f>
        <v/>
      </c>
      <c r="AM109" s="14" t="n"/>
      <c r="AN109" s="15" t="n"/>
      <c r="AO109" s="16">
        <f>IFERROR(AM109*AN109, 0)</f>
        <v/>
      </c>
      <c r="AP109" s="14" t="n"/>
      <c r="AQ109" s="15" t="n"/>
      <c r="AR109" s="16">
        <f>IFERROR(AP109*AQ109, 0)</f>
        <v/>
      </c>
      <c r="AS109" s="14" t="n"/>
      <c r="AT109" s="15" t="n"/>
      <c r="AU109" s="16">
        <f>IFERROR(AS109*AT109, 0)</f>
        <v/>
      </c>
      <c r="AV109" s="14" t="n"/>
      <c r="AW109" s="15" t="n"/>
      <c r="AX109" s="16">
        <f>IFERROR(AV109*AW109, 0)</f>
        <v/>
      </c>
      <c r="AY109" s="14" t="n"/>
      <c r="AZ109" s="15" t="n"/>
      <c r="BA109" s="16">
        <f>IFERROR(AY109*AZ109, 0)</f>
        <v/>
      </c>
      <c r="BB109" s="14" t="n"/>
      <c r="BC109" s="15" t="n"/>
      <c r="BD109" s="16">
        <f>IFERROR(BB109*BC109, 0)</f>
        <v/>
      </c>
      <c r="BE109" s="14" t="n"/>
      <c r="BF109" s="15" t="n"/>
      <c r="BG109" s="16">
        <f>IFERROR(BE109*BF109, 0)</f>
        <v/>
      </c>
      <c r="BH109" s="14" t="n"/>
      <c r="BI109" s="15" t="n"/>
      <c r="BJ109" s="16">
        <f>IFERROR(BH109*BI109, 0)</f>
        <v/>
      </c>
      <c r="BK109" s="14" t="n"/>
      <c r="BL109" s="15" t="n"/>
      <c r="BM109" s="16">
        <f>IFERROR(BK109*BL109, 0)</f>
        <v/>
      </c>
      <c r="BN109" s="14" t="n"/>
      <c r="BO109" s="15" t="n"/>
      <c r="BP109" s="16">
        <f>IFERROR(BN109*BO109, 0)</f>
        <v/>
      </c>
      <c r="BQ109" s="14" t="n"/>
      <c r="BR109" s="15" t="n"/>
      <c r="BS109" s="16">
        <f>IFERROR(BQ109*BR109, 0)</f>
        <v/>
      </c>
      <c r="BT109" s="14" t="n"/>
      <c r="BU109" s="15" t="n"/>
      <c r="BV109" s="16">
        <f>IFERROR(BT109*BU109, 0)</f>
        <v/>
      </c>
      <c r="BW109" s="14" t="n"/>
      <c r="BX109" s="15" t="n"/>
      <c r="BY109" s="16">
        <f>IFERROR(BW109*BX109, 0)</f>
        <v/>
      </c>
      <c r="BZ109" s="14" t="n"/>
      <c r="CA109" s="15" t="n"/>
      <c r="CB109" s="16">
        <f>IFERROR(BZ109*CA109, 0)</f>
        <v/>
      </c>
      <c r="CC109" s="14" t="n"/>
      <c r="CD109" s="15" t="n"/>
      <c r="CE109" s="16">
        <f>IFERROR(CC109*CD109, 0)</f>
        <v/>
      </c>
      <c r="CF109" s="14" t="n"/>
      <c r="CG109" s="15" t="n"/>
      <c r="CH109" s="16">
        <f>IFERROR(CF109*CG109, 0)</f>
        <v/>
      </c>
      <c r="CI109" s="14" t="n"/>
      <c r="CJ109" s="15" t="n"/>
      <c r="CK109" s="16">
        <f>IFERROR(CI109*CJ109, 0)</f>
        <v/>
      </c>
      <c r="CL109" s="14" t="n"/>
      <c r="CM109" s="15" t="n"/>
      <c r="CN109" s="16">
        <f>IFERROR(CL109*CM109, 0)</f>
        <v/>
      </c>
      <c r="CO109" s="14" t="n"/>
      <c r="CP109" s="15" t="n"/>
      <c r="CQ109" s="16">
        <f>IFERROR(CO109*CP109, 0)</f>
        <v/>
      </c>
      <c r="CR109" s="14" t="n"/>
      <c r="CS109" s="15" t="n"/>
      <c r="CT109" s="16">
        <f>IFERROR(CR109*CS109, 0)</f>
        <v/>
      </c>
      <c r="CU109" s="17">
        <f>IFERROR(SUM(F109,I109,L109,O109,R109,U109,X109,AA109,AD109,AG109,AJ109,AM109,AP109,AS109,AV109,AY109,BB109,BE109,BH109,BK109,BN109,BQ109,BT109,BW109,BZ109,CC109,CF109,CI109,CL109,CO109,CR109), 0)</f>
        <v/>
      </c>
      <c r="CV109" s="16">
        <f>IFERROR(AVERAGE(G109,J109,M109,P109,S109,V109,Y109,AB109,AE109,AH109,AK109,AN109,AQ109,AT109,AW109,AZ109,BC109,BF109,BI109,BL109,BO109,BR109,BU109,BX109,CA109,CD109,CG109,CJ109,CM109,CP109,CS109), 0)</f>
        <v/>
      </c>
      <c r="CW109" s="16">
        <f>CU109*CV109</f>
        <v/>
      </c>
      <c r="CX109" s="82" t="n"/>
    </row>
    <row r="110" ht="15.75" customHeight="1">
      <c r="A110" s="21" t="inlineStr">
        <is>
          <t>Bombas r9 x 50 uds</t>
        </is>
      </c>
      <c r="B110" s="21" t="inlineStr">
        <is>
          <t>Pqte</t>
        </is>
      </c>
      <c r="C110" s="44" t="n"/>
      <c r="D110" s="22" t="n"/>
      <c r="E110" s="78">
        <f>IFERROR(+C110*D110, 0)</f>
        <v/>
      </c>
      <c r="F110" s="14" t="n"/>
      <c r="G110" s="15" t="n"/>
      <c r="H110" s="16">
        <f>IFERROR(F110*G110, 0)</f>
        <v/>
      </c>
      <c r="I110" s="14" t="n"/>
      <c r="J110" s="15" t="n"/>
      <c r="K110" s="16">
        <f>IFERROR(I110*J110, 0)</f>
        <v/>
      </c>
      <c r="L110" s="14" t="n"/>
      <c r="M110" s="15" t="n"/>
      <c r="N110" s="16">
        <f>IFERROR(L110*M110, 0)</f>
        <v/>
      </c>
      <c r="O110" s="14" t="n"/>
      <c r="P110" s="15" t="n"/>
      <c r="Q110" s="16">
        <f>IFERROR(O110*P110, 0)</f>
        <v/>
      </c>
      <c r="R110" s="14" t="n"/>
      <c r="S110" s="15" t="n"/>
      <c r="T110" s="16">
        <f>IFERROR(R110*S110, 0)</f>
        <v/>
      </c>
      <c r="U110" s="14" t="n"/>
      <c r="V110" s="15" t="n"/>
      <c r="W110" s="16">
        <f>IFERROR(U110*V110, 0)</f>
        <v/>
      </c>
      <c r="X110" s="14" t="n"/>
      <c r="Y110" s="15" t="n"/>
      <c r="Z110" s="16">
        <f>IFERROR(X110*Y110, 0)</f>
        <v/>
      </c>
      <c r="AA110" s="14" t="n"/>
      <c r="AB110" s="15" t="n"/>
      <c r="AC110" s="16">
        <f>IFERROR(AA110*AB110, 0)</f>
        <v/>
      </c>
      <c r="AD110" s="14" t="n"/>
      <c r="AE110" s="15" t="n"/>
      <c r="AF110" s="16">
        <f>IFERROR(AD110*AE110, 0)</f>
        <v/>
      </c>
      <c r="AG110" s="14" t="n"/>
      <c r="AH110" s="15" t="n"/>
      <c r="AI110" s="16">
        <f>IFERROR(AG110*AH110, 0)</f>
        <v/>
      </c>
      <c r="AJ110" s="14" t="n"/>
      <c r="AK110" s="15" t="n"/>
      <c r="AL110" s="16">
        <f>IFERROR(AJ110*AK110, 0)</f>
        <v/>
      </c>
      <c r="AM110" s="14" t="n"/>
      <c r="AN110" s="15" t="n"/>
      <c r="AO110" s="16">
        <f>IFERROR(AM110*AN110, 0)</f>
        <v/>
      </c>
      <c r="AP110" s="14" t="n"/>
      <c r="AQ110" s="15" t="n"/>
      <c r="AR110" s="16">
        <f>IFERROR(AP110*AQ110, 0)</f>
        <v/>
      </c>
      <c r="AS110" s="14" t="n"/>
      <c r="AT110" s="15" t="n"/>
      <c r="AU110" s="16">
        <f>IFERROR(AS110*AT110, 0)</f>
        <v/>
      </c>
      <c r="AV110" s="14" t="n"/>
      <c r="AW110" s="15" t="n"/>
      <c r="AX110" s="16">
        <f>IFERROR(AV110*AW110, 0)</f>
        <v/>
      </c>
      <c r="AY110" s="14" t="n"/>
      <c r="AZ110" s="15" t="n"/>
      <c r="BA110" s="16">
        <f>IFERROR(AY110*AZ110, 0)</f>
        <v/>
      </c>
      <c r="BB110" s="14" t="n"/>
      <c r="BC110" s="15" t="n"/>
      <c r="BD110" s="16">
        <f>IFERROR(BB110*BC110, 0)</f>
        <v/>
      </c>
      <c r="BE110" s="14" t="n"/>
      <c r="BF110" s="15" t="n"/>
      <c r="BG110" s="16">
        <f>IFERROR(BE110*BF110, 0)</f>
        <v/>
      </c>
      <c r="BH110" s="14" t="n"/>
      <c r="BI110" s="15" t="n"/>
      <c r="BJ110" s="16">
        <f>IFERROR(BH110*BI110, 0)</f>
        <v/>
      </c>
      <c r="BK110" s="14" t="n"/>
      <c r="BL110" s="15" t="n"/>
      <c r="BM110" s="16">
        <f>IFERROR(BK110*BL110, 0)</f>
        <v/>
      </c>
      <c r="BN110" s="14" t="n"/>
      <c r="BO110" s="15" t="n"/>
      <c r="BP110" s="16">
        <f>IFERROR(BN110*BO110, 0)</f>
        <v/>
      </c>
      <c r="BQ110" s="14" t="n"/>
      <c r="BR110" s="15" t="n"/>
      <c r="BS110" s="16">
        <f>IFERROR(BQ110*BR110, 0)</f>
        <v/>
      </c>
      <c r="BT110" s="14" t="n"/>
      <c r="BU110" s="15" t="n"/>
      <c r="BV110" s="16">
        <f>IFERROR(BT110*BU110, 0)</f>
        <v/>
      </c>
      <c r="BW110" s="14" t="n"/>
      <c r="BX110" s="15" t="n"/>
      <c r="BY110" s="16">
        <f>IFERROR(BW110*BX110, 0)</f>
        <v/>
      </c>
      <c r="BZ110" s="14" t="n"/>
      <c r="CA110" s="15" t="n"/>
      <c r="CB110" s="16">
        <f>IFERROR(BZ110*CA110, 0)</f>
        <v/>
      </c>
      <c r="CC110" s="14" t="n"/>
      <c r="CD110" s="15" t="n"/>
      <c r="CE110" s="16">
        <f>IFERROR(CC110*CD110, 0)</f>
        <v/>
      </c>
      <c r="CF110" s="14" t="n"/>
      <c r="CG110" s="15" t="n"/>
      <c r="CH110" s="16">
        <f>IFERROR(CF110*CG110, 0)</f>
        <v/>
      </c>
      <c r="CI110" s="14" t="n"/>
      <c r="CJ110" s="15" t="n"/>
      <c r="CK110" s="16">
        <f>IFERROR(CI110*CJ110, 0)</f>
        <v/>
      </c>
      <c r="CL110" s="14" t="n"/>
      <c r="CM110" s="15" t="n"/>
      <c r="CN110" s="16">
        <f>IFERROR(CL110*CM110, 0)</f>
        <v/>
      </c>
      <c r="CO110" s="14" t="n"/>
      <c r="CP110" s="15" t="n"/>
      <c r="CQ110" s="16">
        <f>IFERROR(CO110*CP110, 0)</f>
        <v/>
      </c>
      <c r="CR110" s="14" t="n"/>
      <c r="CS110" s="15" t="n"/>
      <c r="CT110" s="16">
        <f>IFERROR(CR110*CS110, 0)</f>
        <v/>
      </c>
      <c r="CU110" s="17">
        <f>IFERROR(SUM(F110,I110,L110,O110,R110,U110,X110,AA110,AD110,AG110,AJ110,AM110,AP110,AS110,AV110,AY110,BB110,BE110,BH110,BK110,BN110,BQ110,BT110,BW110,BZ110,CC110,CF110,CI110,CL110,CO110,CR110), 0)</f>
        <v/>
      </c>
      <c r="CV110" s="16">
        <f>IFERROR(AVERAGE(G110,J110,M110,P110,S110,V110,Y110,AB110,AE110,AH110,AK110,AN110,AQ110,AT110,AW110,AZ110,BC110,BF110,BI110,BL110,BO110,BR110,BU110,BX110,CA110,CD110,CG110,CJ110,CM110,CP110,CS110), 0)</f>
        <v/>
      </c>
      <c r="CW110" s="16">
        <f>CU110*CV110</f>
        <v/>
      </c>
      <c r="CX110" s="82" t="n"/>
    </row>
    <row r="111" ht="15.75" customHeight="1">
      <c r="A111" s="21" t="inlineStr">
        <is>
          <t>Fomi escarchado</t>
        </is>
      </c>
      <c r="B111" s="21" t="inlineStr">
        <is>
          <t>Und</t>
        </is>
      </c>
      <c r="C111" s="44" t="n"/>
      <c r="D111" s="22" t="n"/>
      <c r="E111" s="78">
        <f>IFERROR(+C111*D111, 0)</f>
        <v/>
      </c>
      <c r="F111" s="14" t="n"/>
      <c r="G111" s="15" t="n"/>
      <c r="H111" s="16">
        <f>IFERROR(F111*G111, 0)</f>
        <v/>
      </c>
      <c r="I111" s="14" t="n"/>
      <c r="J111" s="15" t="n"/>
      <c r="K111" s="16">
        <f>IFERROR(I111*J111, 0)</f>
        <v/>
      </c>
      <c r="L111" s="14" t="n"/>
      <c r="M111" s="15" t="n"/>
      <c r="N111" s="16">
        <f>IFERROR(L111*M111, 0)</f>
        <v/>
      </c>
      <c r="O111" s="14" t="n"/>
      <c r="P111" s="15" t="n"/>
      <c r="Q111" s="16">
        <f>IFERROR(O111*P111, 0)</f>
        <v/>
      </c>
      <c r="R111" s="14" t="n"/>
      <c r="S111" s="15" t="n"/>
      <c r="T111" s="16">
        <f>IFERROR(R111*S111, 0)</f>
        <v/>
      </c>
      <c r="U111" s="14" t="n"/>
      <c r="V111" s="15" t="n"/>
      <c r="W111" s="16">
        <f>IFERROR(U111*V111, 0)</f>
        <v/>
      </c>
      <c r="X111" s="14" t="n"/>
      <c r="Y111" s="15" t="n"/>
      <c r="Z111" s="16">
        <f>IFERROR(X111*Y111, 0)</f>
        <v/>
      </c>
      <c r="AA111" s="14" t="n"/>
      <c r="AB111" s="15" t="n"/>
      <c r="AC111" s="16">
        <f>IFERROR(AA111*AB111, 0)</f>
        <v/>
      </c>
      <c r="AD111" s="14" t="n"/>
      <c r="AE111" s="15" t="n"/>
      <c r="AF111" s="16">
        <f>IFERROR(AD111*AE111, 0)</f>
        <v/>
      </c>
      <c r="AG111" s="14" t="n"/>
      <c r="AH111" s="15" t="n"/>
      <c r="AI111" s="16">
        <f>IFERROR(AG111*AH111, 0)</f>
        <v/>
      </c>
      <c r="AJ111" s="14" t="n"/>
      <c r="AK111" s="15" t="n"/>
      <c r="AL111" s="16">
        <f>IFERROR(AJ111*AK111, 0)</f>
        <v/>
      </c>
      <c r="AM111" s="14" t="n"/>
      <c r="AN111" s="15" t="n"/>
      <c r="AO111" s="16">
        <f>IFERROR(AM111*AN111, 0)</f>
        <v/>
      </c>
      <c r="AP111" s="14" t="n"/>
      <c r="AQ111" s="15" t="n"/>
      <c r="AR111" s="16">
        <f>IFERROR(AP111*AQ111, 0)</f>
        <v/>
      </c>
      <c r="AS111" s="14" t="n"/>
      <c r="AT111" s="15" t="n"/>
      <c r="AU111" s="16">
        <f>IFERROR(AS111*AT111, 0)</f>
        <v/>
      </c>
      <c r="AV111" s="14" t="n"/>
      <c r="AW111" s="15" t="n"/>
      <c r="AX111" s="16">
        <f>IFERROR(AV111*AW111, 0)</f>
        <v/>
      </c>
      <c r="AY111" s="14" t="n"/>
      <c r="AZ111" s="15" t="n"/>
      <c r="BA111" s="16">
        <f>IFERROR(AY111*AZ111, 0)</f>
        <v/>
      </c>
      <c r="BB111" s="14" t="n"/>
      <c r="BC111" s="15" t="n"/>
      <c r="BD111" s="16">
        <f>IFERROR(BB111*BC111, 0)</f>
        <v/>
      </c>
      <c r="BE111" s="14" t="n"/>
      <c r="BF111" s="15" t="n"/>
      <c r="BG111" s="16">
        <f>IFERROR(BE111*BF111, 0)</f>
        <v/>
      </c>
      <c r="BH111" s="14" t="n"/>
      <c r="BI111" s="15" t="n"/>
      <c r="BJ111" s="16">
        <f>IFERROR(BH111*BI111, 0)</f>
        <v/>
      </c>
      <c r="BK111" s="14" t="n"/>
      <c r="BL111" s="15" t="n"/>
      <c r="BM111" s="16">
        <f>IFERROR(BK111*BL111, 0)</f>
        <v/>
      </c>
      <c r="BN111" s="14" t="n"/>
      <c r="BO111" s="15" t="n"/>
      <c r="BP111" s="16">
        <f>IFERROR(BN111*BO111, 0)</f>
        <v/>
      </c>
      <c r="BQ111" s="14" t="n"/>
      <c r="BR111" s="15" t="n"/>
      <c r="BS111" s="16">
        <f>IFERROR(BQ111*BR111, 0)</f>
        <v/>
      </c>
      <c r="BT111" s="14" t="n"/>
      <c r="BU111" s="15" t="n"/>
      <c r="BV111" s="16">
        <f>IFERROR(BT111*BU111, 0)</f>
        <v/>
      </c>
      <c r="BW111" s="14" t="n"/>
      <c r="BX111" s="15" t="n"/>
      <c r="BY111" s="16">
        <f>IFERROR(BW111*BX111, 0)</f>
        <v/>
      </c>
      <c r="BZ111" s="14" t="n"/>
      <c r="CA111" s="15" t="n"/>
      <c r="CB111" s="16">
        <f>IFERROR(BZ111*CA111, 0)</f>
        <v/>
      </c>
      <c r="CC111" s="14" t="n"/>
      <c r="CD111" s="15" t="n"/>
      <c r="CE111" s="16">
        <f>IFERROR(CC111*CD111, 0)</f>
        <v/>
      </c>
      <c r="CF111" s="14" t="n"/>
      <c r="CG111" s="15" t="n"/>
      <c r="CH111" s="16">
        <f>IFERROR(CF111*CG111, 0)</f>
        <v/>
      </c>
      <c r="CI111" s="14" t="n"/>
      <c r="CJ111" s="15" t="n"/>
      <c r="CK111" s="16">
        <f>IFERROR(CI111*CJ111, 0)</f>
        <v/>
      </c>
      <c r="CL111" s="14" t="n"/>
      <c r="CM111" s="15" t="n"/>
      <c r="CN111" s="16">
        <f>IFERROR(CL111*CM111, 0)</f>
        <v/>
      </c>
      <c r="CO111" s="14" t="n"/>
      <c r="CP111" s="15" t="n"/>
      <c r="CQ111" s="16">
        <f>IFERROR(CO111*CP111, 0)</f>
        <v/>
      </c>
      <c r="CR111" s="14" t="n"/>
      <c r="CS111" s="15" t="n"/>
      <c r="CT111" s="16">
        <f>IFERROR(CR111*CS111, 0)</f>
        <v/>
      </c>
      <c r="CU111" s="17">
        <f>IFERROR(SUM(F111,I111,L111,O111,R111,U111,X111,AA111,AD111,AG111,AJ111,AM111,AP111,AS111,AV111,AY111,BB111,BE111,BH111,BK111,BN111,BQ111,BT111,BW111,BZ111,CC111,CF111,CI111,CL111,CO111,CR111), 0)</f>
        <v/>
      </c>
      <c r="CV111" s="16">
        <f>IFERROR(AVERAGE(G111,J111,M111,P111,S111,V111,Y111,AB111,AE111,AH111,AK111,AN111,AQ111,AT111,AW111,AZ111,BC111,BF111,BI111,BL111,BO111,BR111,BU111,BX111,CA111,CD111,CG111,CJ111,CM111,CP111,CS111), 0)</f>
        <v/>
      </c>
      <c r="CW111" s="16">
        <f>CU111*CV111</f>
        <v/>
      </c>
      <c r="CX111" s="82" t="n"/>
    </row>
    <row r="112" ht="15.75" customHeight="1">
      <c r="A112" s="21" t="inlineStr">
        <is>
          <t>Cinta seda roolo colores surtido</t>
        </is>
      </c>
      <c r="B112" s="21" t="inlineStr">
        <is>
          <t>Und</t>
        </is>
      </c>
      <c r="C112" s="44" t="n"/>
      <c r="D112" s="22" t="n"/>
      <c r="E112" s="78">
        <f>IFERROR(+C112*D112, 0)</f>
        <v/>
      </c>
      <c r="F112" s="14" t="n"/>
      <c r="G112" s="15" t="n"/>
      <c r="H112" s="16">
        <f>IFERROR(F112*G112, 0)</f>
        <v/>
      </c>
      <c r="I112" s="14" t="n"/>
      <c r="J112" s="15" t="n"/>
      <c r="K112" s="16">
        <f>IFERROR(I112*J112, 0)</f>
        <v/>
      </c>
      <c r="L112" s="14" t="n"/>
      <c r="M112" s="15" t="n"/>
      <c r="N112" s="16">
        <f>IFERROR(L112*M112, 0)</f>
        <v/>
      </c>
      <c r="O112" s="14" t="n"/>
      <c r="P112" s="15" t="n"/>
      <c r="Q112" s="16">
        <f>IFERROR(O112*P112, 0)</f>
        <v/>
      </c>
      <c r="R112" s="14" t="n"/>
      <c r="S112" s="15" t="n"/>
      <c r="T112" s="16">
        <f>IFERROR(R112*S112, 0)</f>
        <v/>
      </c>
      <c r="U112" s="14" t="n"/>
      <c r="V112" s="15" t="n"/>
      <c r="W112" s="16">
        <f>IFERROR(U112*V112, 0)</f>
        <v/>
      </c>
      <c r="X112" s="14" t="n"/>
      <c r="Y112" s="15" t="n"/>
      <c r="Z112" s="16">
        <f>IFERROR(X112*Y112, 0)</f>
        <v/>
      </c>
      <c r="AA112" s="14" t="n"/>
      <c r="AB112" s="15" t="n"/>
      <c r="AC112" s="16">
        <f>IFERROR(AA112*AB112, 0)</f>
        <v/>
      </c>
      <c r="AD112" s="14" t="n"/>
      <c r="AE112" s="15" t="n"/>
      <c r="AF112" s="16">
        <f>IFERROR(AD112*AE112, 0)</f>
        <v/>
      </c>
      <c r="AG112" s="14" t="n"/>
      <c r="AH112" s="15" t="n"/>
      <c r="AI112" s="16">
        <f>IFERROR(AG112*AH112, 0)</f>
        <v/>
      </c>
      <c r="AJ112" s="14" t="n"/>
      <c r="AK112" s="15" t="n"/>
      <c r="AL112" s="16">
        <f>IFERROR(AJ112*AK112, 0)</f>
        <v/>
      </c>
      <c r="AM112" s="14" t="n"/>
      <c r="AN112" s="15" t="n"/>
      <c r="AO112" s="16">
        <f>IFERROR(AM112*AN112, 0)</f>
        <v/>
      </c>
      <c r="AP112" s="14" t="n"/>
      <c r="AQ112" s="15" t="n"/>
      <c r="AR112" s="16">
        <f>IFERROR(AP112*AQ112, 0)</f>
        <v/>
      </c>
      <c r="AS112" s="14" t="n"/>
      <c r="AT112" s="15" t="n"/>
      <c r="AU112" s="16">
        <f>IFERROR(AS112*AT112, 0)</f>
        <v/>
      </c>
      <c r="AV112" s="14" t="n"/>
      <c r="AW112" s="15" t="n"/>
      <c r="AX112" s="16">
        <f>IFERROR(AV112*AW112, 0)</f>
        <v/>
      </c>
      <c r="AY112" s="14" t="n"/>
      <c r="AZ112" s="15" t="n"/>
      <c r="BA112" s="16">
        <f>IFERROR(AY112*AZ112, 0)</f>
        <v/>
      </c>
      <c r="BB112" s="14" t="n"/>
      <c r="BC112" s="15" t="n"/>
      <c r="BD112" s="16">
        <f>IFERROR(BB112*BC112, 0)</f>
        <v/>
      </c>
      <c r="BE112" s="14" t="n"/>
      <c r="BF112" s="15" t="n"/>
      <c r="BG112" s="16">
        <f>IFERROR(BE112*BF112, 0)</f>
        <v/>
      </c>
      <c r="BH112" s="14" t="n"/>
      <c r="BI112" s="15" t="n"/>
      <c r="BJ112" s="16">
        <f>IFERROR(BH112*BI112, 0)</f>
        <v/>
      </c>
      <c r="BK112" s="14" t="n"/>
      <c r="BL112" s="15" t="n"/>
      <c r="BM112" s="16">
        <f>IFERROR(BK112*BL112, 0)</f>
        <v/>
      </c>
      <c r="BN112" s="14" t="n"/>
      <c r="BO112" s="15" t="n"/>
      <c r="BP112" s="16">
        <f>IFERROR(BN112*BO112, 0)</f>
        <v/>
      </c>
      <c r="BQ112" s="14" t="n"/>
      <c r="BR112" s="15" t="n"/>
      <c r="BS112" s="16">
        <f>IFERROR(BQ112*BR112, 0)</f>
        <v/>
      </c>
      <c r="BT112" s="14" t="n"/>
      <c r="BU112" s="15" t="n"/>
      <c r="BV112" s="16">
        <f>IFERROR(BT112*BU112, 0)</f>
        <v/>
      </c>
      <c r="BW112" s="14" t="n"/>
      <c r="BX112" s="15" t="n"/>
      <c r="BY112" s="16">
        <f>IFERROR(BW112*BX112, 0)</f>
        <v/>
      </c>
      <c r="BZ112" s="14" t="n"/>
      <c r="CA112" s="15" t="n"/>
      <c r="CB112" s="16">
        <f>IFERROR(BZ112*CA112, 0)</f>
        <v/>
      </c>
      <c r="CC112" s="14" t="n"/>
      <c r="CD112" s="15" t="n"/>
      <c r="CE112" s="16">
        <f>IFERROR(CC112*CD112, 0)</f>
        <v/>
      </c>
      <c r="CF112" s="14" t="n"/>
      <c r="CG112" s="15" t="n"/>
      <c r="CH112" s="16">
        <f>IFERROR(CF112*CG112, 0)</f>
        <v/>
      </c>
      <c r="CI112" s="14" t="n"/>
      <c r="CJ112" s="15" t="n"/>
      <c r="CK112" s="16">
        <f>IFERROR(CI112*CJ112, 0)</f>
        <v/>
      </c>
      <c r="CL112" s="14" t="n"/>
      <c r="CM112" s="15" t="n"/>
      <c r="CN112" s="16">
        <f>IFERROR(CL112*CM112, 0)</f>
        <v/>
      </c>
      <c r="CO112" s="14" t="n"/>
      <c r="CP112" s="15" t="n"/>
      <c r="CQ112" s="16">
        <f>IFERROR(CO112*CP112, 0)</f>
        <v/>
      </c>
      <c r="CR112" s="14" t="n"/>
      <c r="CS112" s="15" t="n"/>
      <c r="CT112" s="16">
        <f>IFERROR(CR112*CS112, 0)</f>
        <v/>
      </c>
      <c r="CU112" s="17">
        <f>IFERROR(SUM(F112,I112,L112,O112,R112,U112,X112,AA112,AD112,AG112,AJ112,AM112,AP112,AS112,AV112,AY112,BB112,BE112,BH112,BK112,BN112,BQ112,BT112,BW112,BZ112,CC112,CF112,CI112,CL112,CO112,CR112), 0)</f>
        <v/>
      </c>
      <c r="CV112" s="16">
        <f>IFERROR(AVERAGE(G112,J112,M112,P112,S112,V112,Y112,AB112,AE112,AH112,AK112,AN112,AQ112,AT112,AW112,AZ112,BC112,BF112,BI112,BL112,BO112,BR112,BU112,BX112,CA112,CD112,CG112,CJ112,CM112,CP112,CS112), 0)</f>
        <v/>
      </c>
      <c r="CW112" s="16">
        <f>CU112*CV112</f>
        <v/>
      </c>
      <c r="CX112" s="82" t="n"/>
    </row>
    <row r="113" ht="15.75" customHeight="1">
      <c r="A113" s="21" t="inlineStr">
        <is>
          <t>Salsa negra differ galon x 3000 x 6</t>
        </is>
      </c>
      <c r="B113" s="21" t="inlineStr">
        <is>
          <t>Und</t>
        </is>
      </c>
      <c r="C113" s="19" t="n"/>
      <c r="D113" s="20" t="n"/>
      <c r="E113" s="78">
        <f>IFERROR(+C113*D113, 0)</f>
        <v/>
      </c>
      <c r="F113" s="14" t="n"/>
      <c r="G113" s="15" t="n"/>
      <c r="H113" s="16">
        <f>IFERROR(F113*G113, 0)</f>
        <v/>
      </c>
      <c r="I113" s="14" t="n">
        <v>2</v>
      </c>
      <c r="J113" s="15" t="n">
        <v>14600</v>
      </c>
      <c r="K113" s="16" t="n">
        <v>29200</v>
      </c>
      <c r="L113" s="14" t="n"/>
      <c r="M113" s="15" t="n"/>
      <c r="N113" s="16">
        <f>IFERROR(L113*M113, 0)</f>
        <v/>
      </c>
      <c r="O113" s="14" t="n"/>
      <c r="P113" s="15" t="n"/>
      <c r="Q113" s="16">
        <f>IFERROR(O113*P113, 0)</f>
        <v/>
      </c>
      <c r="R113" s="14" t="n"/>
      <c r="S113" s="15" t="n"/>
      <c r="T113" s="16">
        <f>IFERROR(R113*S113, 0)</f>
        <v/>
      </c>
      <c r="U113" s="14" t="n"/>
      <c r="V113" s="15" t="n"/>
      <c r="W113" s="16">
        <f>IFERROR(U113*V113, 0)</f>
        <v/>
      </c>
      <c r="X113" s="14" t="n"/>
      <c r="Y113" s="15" t="n"/>
      <c r="Z113" s="16">
        <f>IFERROR(X113*Y113, 0)</f>
        <v/>
      </c>
      <c r="AA113" s="14" t="n"/>
      <c r="AB113" s="15" t="n"/>
      <c r="AC113" s="16">
        <f>IFERROR(AA113*AB113, 0)</f>
        <v/>
      </c>
      <c r="AD113" s="14" t="n"/>
      <c r="AE113" s="15" t="n"/>
      <c r="AF113" s="16">
        <f>IFERROR(AD113*AE113, 0)</f>
        <v/>
      </c>
      <c r="AG113" s="14" t="n">
        <v>1</v>
      </c>
      <c r="AH113" s="15" t="n">
        <v>14600</v>
      </c>
      <c r="AI113" s="16" t="n">
        <v>14600</v>
      </c>
      <c r="AJ113" s="14" t="n"/>
      <c r="AK113" s="15" t="n"/>
      <c r="AL113" s="16">
        <f>IFERROR(AJ113*AK113, 0)</f>
        <v/>
      </c>
      <c r="AM113" s="14" t="n"/>
      <c r="AN113" s="15" t="n"/>
      <c r="AO113" s="16">
        <f>IFERROR(AM113*AN113, 0)</f>
        <v/>
      </c>
      <c r="AP113" s="14" t="n"/>
      <c r="AQ113" s="15" t="n"/>
      <c r="AR113" s="16">
        <f>IFERROR(AP113*AQ113, 0)</f>
        <v/>
      </c>
      <c r="AS113" s="14" t="n"/>
      <c r="AT113" s="15" t="n"/>
      <c r="AU113" s="16">
        <f>IFERROR(AS113*AT113, 0)</f>
        <v/>
      </c>
      <c r="AV113" s="14" t="n"/>
      <c r="AW113" s="15" t="n"/>
      <c r="AX113" s="16">
        <f>IFERROR(AV113*AW113, 0)</f>
        <v/>
      </c>
      <c r="AY113" s="14" t="n"/>
      <c r="AZ113" s="15" t="n"/>
      <c r="BA113" s="16">
        <f>IFERROR(AY113*AZ113, 0)</f>
        <v/>
      </c>
      <c r="BB113" s="14" t="n"/>
      <c r="BC113" s="15" t="n"/>
      <c r="BD113" s="16">
        <f>IFERROR(BB113*BC113, 0)</f>
        <v/>
      </c>
      <c r="BE113" s="14" t="n">
        <v>1</v>
      </c>
      <c r="BF113" s="15" t="n">
        <v>14600</v>
      </c>
      <c r="BG113" s="16" t="n">
        <v>14600</v>
      </c>
      <c r="BH113" s="14" t="n"/>
      <c r="BI113" s="15" t="n"/>
      <c r="BJ113" s="16">
        <f>IFERROR(BH113*BI113, 0)</f>
        <v/>
      </c>
      <c r="BK113" s="14" t="n"/>
      <c r="BL113" s="15" t="n"/>
      <c r="BM113" s="16">
        <f>IFERROR(BK113*BL113, 0)</f>
        <v/>
      </c>
      <c r="BN113" s="14" t="n"/>
      <c r="BO113" s="15" t="n"/>
      <c r="BP113" s="16">
        <f>IFERROR(BN113*BO113, 0)</f>
        <v/>
      </c>
      <c r="BQ113" s="14" t="n">
        <v>1</v>
      </c>
      <c r="BR113" s="15" t="n">
        <v>14600</v>
      </c>
      <c r="BS113" s="16" t="n">
        <v>14600</v>
      </c>
      <c r="BT113" s="14" t="n"/>
      <c r="BU113" s="15" t="n"/>
      <c r="BV113" s="16">
        <f>IFERROR(BT113*BU113, 0)</f>
        <v/>
      </c>
      <c r="BW113" s="14" t="n"/>
      <c r="BX113" s="15" t="n"/>
      <c r="BY113" s="16">
        <f>IFERROR(BW113*BX113, 0)</f>
        <v/>
      </c>
      <c r="BZ113" s="14" t="n"/>
      <c r="CA113" s="15" t="n"/>
      <c r="CB113" s="16">
        <f>IFERROR(BZ113*CA113, 0)</f>
        <v/>
      </c>
      <c r="CC113" s="14" t="n"/>
      <c r="CD113" s="15" t="n"/>
      <c r="CE113" s="16">
        <f>IFERROR(CC113*CD113, 0)</f>
        <v/>
      </c>
      <c r="CF113" s="14" t="n"/>
      <c r="CG113" s="15" t="n"/>
      <c r="CH113" s="16">
        <f>IFERROR(CF113*CG113, 0)</f>
        <v/>
      </c>
      <c r="CI113" s="14" t="n"/>
      <c r="CJ113" s="15" t="n"/>
      <c r="CK113" s="16">
        <f>IFERROR(CI113*CJ113, 0)</f>
        <v/>
      </c>
      <c r="CL113" s="14" t="n"/>
      <c r="CM113" s="15" t="n"/>
      <c r="CN113" s="16">
        <f>IFERROR(CL113*CM113, 0)</f>
        <v/>
      </c>
      <c r="CO113" s="14" t="n"/>
      <c r="CP113" s="15" t="n"/>
      <c r="CQ113" s="16">
        <f>IFERROR(CO113*CP113, 0)</f>
        <v/>
      </c>
      <c r="CR113" s="14" t="n"/>
      <c r="CS113" s="15" t="n"/>
      <c r="CT113" s="16">
        <f>IFERROR(CR113*CS113, 0)</f>
        <v/>
      </c>
      <c r="CU113" s="17">
        <f>IFERROR(SUM(F113,I113,L113,O113,R113,U113,X113,AA113,AD113,AG113,AJ113,AM113,AP113,AS113,AV113,AY113,BB113,BE113,BH113,BK113,BN113,BQ113,BT113,BW113,BZ113,CC113,CF113,CI113,CL113,CO113,CR113), 0)</f>
        <v/>
      </c>
      <c r="CV113" s="16">
        <f>IFERROR(AVERAGE(G113,J113,M113,P113,S113,V113,Y113,AB113,AE113,AH113,AK113,AN113,AQ113,AT113,AW113,AZ113,BC113,BF113,BI113,BL113,BO113,BR113,BU113,BX113,CA113,CD113,CG113,CJ113,CM113,CP113,CS113), 0)</f>
        <v/>
      </c>
      <c r="CW113" s="16">
        <f>CU113*CV113</f>
        <v/>
      </c>
    </row>
    <row r="114" ht="15.75" customHeight="1">
      <c r="A114" s="41" t="inlineStr">
        <is>
          <t>Vaso cartón 9.0 onz x 50</t>
        </is>
      </c>
      <c r="B114" s="41" t="inlineStr">
        <is>
          <t>Pqte</t>
        </is>
      </c>
      <c r="C114" s="42" t="n"/>
      <c r="D114" s="43" t="n"/>
      <c r="E114" s="78">
        <f>IFERROR(+C114*D114, 0)</f>
        <v/>
      </c>
      <c r="F114" s="14" t="n"/>
      <c r="G114" s="15" t="n"/>
      <c r="H114" s="16">
        <f>IFERROR(F114*G114, 0)</f>
        <v/>
      </c>
      <c r="I114" s="14" t="n"/>
      <c r="J114" s="15" t="n"/>
      <c r="K114" s="16">
        <f>IFERROR(I114*J114, 0)</f>
        <v/>
      </c>
      <c r="L114" s="14" t="n"/>
      <c r="M114" s="15" t="n"/>
      <c r="N114" s="16">
        <f>IFERROR(L114*M114, 0)</f>
        <v/>
      </c>
      <c r="O114" s="14" t="n"/>
      <c r="P114" s="15" t="n"/>
      <c r="Q114" s="16">
        <f>IFERROR(O114*P114, 0)</f>
        <v/>
      </c>
      <c r="R114" s="14" t="n"/>
      <c r="S114" s="15" t="n"/>
      <c r="T114" s="16">
        <f>IFERROR(R114*S114, 0)</f>
        <v/>
      </c>
      <c r="U114" s="14" t="n"/>
      <c r="V114" s="15" t="n"/>
      <c r="W114" s="16">
        <f>IFERROR(U114*V114, 0)</f>
        <v/>
      </c>
      <c r="X114" s="14" t="n"/>
      <c r="Y114" s="15" t="n"/>
      <c r="Z114" s="16">
        <f>IFERROR(X114*Y114, 0)</f>
        <v/>
      </c>
      <c r="AA114" s="14" t="n"/>
      <c r="AB114" s="15" t="n"/>
      <c r="AC114" s="16">
        <f>IFERROR(AA114*AB114, 0)</f>
        <v/>
      </c>
      <c r="AD114" s="14" t="n"/>
      <c r="AE114" s="15" t="n"/>
      <c r="AF114" s="16">
        <f>IFERROR(AD114*AE114, 0)</f>
        <v/>
      </c>
      <c r="AG114" s="14" t="n"/>
      <c r="AH114" s="15" t="n"/>
      <c r="AI114" s="16">
        <f>IFERROR(AG114*AH114, 0)</f>
        <v/>
      </c>
      <c r="AJ114" s="14" t="n"/>
      <c r="AK114" s="15" t="n"/>
      <c r="AL114" s="16">
        <f>IFERROR(AJ114*AK114, 0)</f>
        <v/>
      </c>
      <c r="AM114" s="14" t="n"/>
      <c r="AN114" s="15" t="n"/>
      <c r="AO114" s="16">
        <f>IFERROR(AM114*AN114, 0)</f>
        <v/>
      </c>
      <c r="AP114" s="14" t="n"/>
      <c r="AQ114" s="15" t="n"/>
      <c r="AR114" s="16">
        <f>IFERROR(AP114*AQ114, 0)</f>
        <v/>
      </c>
      <c r="AS114" s="14" t="n"/>
      <c r="AT114" s="15" t="n"/>
      <c r="AU114" s="16">
        <f>IFERROR(AS114*AT114, 0)</f>
        <v/>
      </c>
      <c r="AV114" s="14" t="n"/>
      <c r="AW114" s="15" t="n"/>
      <c r="AX114" s="16">
        <f>IFERROR(AV114*AW114, 0)</f>
        <v/>
      </c>
      <c r="AY114" s="14" t="n"/>
      <c r="AZ114" s="15" t="n"/>
      <c r="BA114" s="16">
        <f>IFERROR(AY114*AZ114, 0)</f>
        <v/>
      </c>
      <c r="BB114" s="14" t="n"/>
      <c r="BC114" s="15" t="n"/>
      <c r="BD114" s="16">
        <f>IFERROR(BB114*BC114, 0)</f>
        <v/>
      </c>
      <c r="BE114" s="14" t="n"/>
      <c r="BF114" s="15" t="n"/>
      <c r="BG114" s="16">
        <f>IFERROR(BE114*BF114, 0)</f>
        <v/>
      </c>
      <c r="BH114" s="14" t="n"/>
      <c r="BI114" s="15" t="n"/>
      <c r="BJ114" s="16">
        <f>IFERROR(BH114*BI114, 0)</f>
        <v/>
      </c>
      <c r="BK114" s="14" t="n"/>
      <c r="BL114" s="15" t="n"/>
      <c r="BM114" s="16">
        <f>IFERROR(BK114*BL114, 0)</f>
        <v/>
      </c>
      <c r="BN114" s="14" t="n"/>
      <c r="BO114" s="15" t="n"/>
      <c r="BP114" s="16">
        <f>IFERROR(BN114*BO114, 0)</f>
        <v/>
      </c>
      <c r="BQ114" s="14" t="n"/>
      <c r="BR114" s="15" t="n"/>
      <c r="BS114" s="16">
        <f>IFERROR(BQ114*BR114, 0)</f>
        <v/>
      </c>
      <c r="BT114" s="14" t="n"/>
      <c r="BU114" s="15" t="n"/>
      <c r="BV114" s="16">
        <f>IFERROR(BT114*BU114, 0)</f>
        <v/>
      </c>
      <c r="BW114" s="14" t="n"/>
      <c r="BX114" s="15" t="n"/>
      <c r="BY114" s="16">
        <f>IFERROR(BW114*BX114, 0)</f>
        <v/>
      </c>
      <c r="BZ114" s="14" t="n"/>
      <c r="CA114" s="15" t="n"/>
      <c r="CB114" s="16">
        <f>IFERROR(BZ114*CA114, 0)</f>
        <v/>
      </c>
      <c r="CC114" s="14" t="n"/>
      <c r="CD114" s="15" t="n"/>
      <c r="CE114" s="16">
        <f>IFERROR(CC114*CD114, 0)</f>
        <v/>
      </c>
      <c r="CF114" s="14" t="n"/>
      <c r="CG114" s="15" t="n"/>
      <c r="CH114" s="16">
        <f>IFERROR(CF114*CG114, 0)</f>
        <v/>
      </c>
      <c r="CI114" s="14" t="n"/>
      <c r="CJ114" s="15" t="n"/>
      <c r="CK114" s="16">
        <f>IFERROR(CI114*CJ114, 0)</f>
        <v/>
      </c>
      <c r="CL114" s="14" t="n"/>
      <c r="CM114" s="15" t="n"/>
      <c r="CN114" s="16">
        <f>IFERROR(CL114*CM114, 0)</f>
        <v/>
      </c>
      <c r="CO114" s="14" t="n"/>
      <c r="CP114" s="15" t="n"/>
      <c r="CQ114" s="16">
        <f>IFERROR(CO114*CP114, 0)</f>
        <v/>
      </c>
      <c r="CR114" s="14" t="n"/>
      <c r="CS114" s="15" t="n"/>
      <c r="CT114" s="16">
        <f>IFERROR(CR114*CS114, 0)</f>
        <v/>
      </c>
      <c r="CU114" s="17">
        <f>IFERROR(SUM(F114,I114,L114,O114,R114,U114,X114,AA114,AD114,AG114,AJ114,AM114,AP114,AS114,AV114,AY114,BB114,BE114,BH114,BK114,BN114,BQ114,BT114,BW114,BZ114,CC114,CF114,CI114,CL114,CO114,CR114), 0)</f>
        <v/>
      </c>
      <c r="CV114" s="16">
        <f>IFERROR(AVERAGE(G114,J114,M114,P114,S114,V114,Y114,AB114,AE114,AH114,AK114,AN114,AQ114,AT114,AW114,AZ114,BC114,BF114,BI114,BL114,BO114,BR114,BU114,BX114,CA114,CD114,CG114,CJ114,CM114,CP114,CS114), 0)</f>
        <v/>
      </c>
      <c r="CW114" s="16">
        <f>CU114*CV114</f>
        <v/>
      </c>
      <c r="CX114" s="82" t="n"/>
    </row>
    <row r="115" ht="15.75" customHeight="1">
      <c r="A115" s="41" t="inlineStr">
        <is>
          <t>Copa 2 onz</t>
        </is>
      </c>
      <c r="B115" s="41" t="inlineStr">
        <is>
          <t>Pqte</t>
        </is>
      </c>
      <c r="C115" s="42" t="n"/>
      <c r="D115" s="43" t="n"/>
      <c r="E115" s="78">
        <f>IFERROR(+C115*D115, 0)</f>
        <v/>
      </c>
      <c r="F115" s="14" t="n"/>
      <c r="G115" s="15" t="n"/>
      <c r="H115" s="16">
        <f>IFERROR(F115*G115, 0)</f>
        <v/>
      </c>
      <c r="I115" s="14" t="n">
        <v>1</v>
      </c>
      <c r="J115" s="15" t="n">
        <v>8700</v>
      </c>
      <c r="K115" s="16" t="n">
        <v>8700</v>
      </c>
      <c r="L115" s="14" t="n"/>
      <c r="M115" s="15" t="n"/>
      <c r="N115" s="16">
        <f>IFERROR(L115*M115, 0)</f>
        <v/>
      </c>
      <c r="O115" s="14" t="n"/>
      <c r="P115" s="15" t="n"/>
      <c r="Q115" s="16">
        <f>IFERROR(O115*P115, 0)</f>
        <v/>
      </c>
      <c r="R115" s="14" t="n"/>
      <c r="S115" s="15" t="n"/>
      <c r="T115" s="16">
        <f>IFERROR(R115*S115, 0)</f>
        <v/>
      </c>
      <c r="U115" s="14" t="n"/>
      <c r="V115" s="15" t="n"/>
      <c r="W115" s="16">
        <f>IFERROR(U115*V115, 0)</f>
        <v/>
      </c>
      <c r="X115" s="14" t="n"/>
      <c r="Y115" s="15" t="n"/>
      <c r="Z115" s="16">
        <f>IFERROR(X115*Y115, 0)</f>
        <v/>
      </c>
      <c r="AA115" s="14" t="n"/>
      <c r="AB115" s="15" t="n"/>
      <c r="AC115" s="16">
        <f>IFERROR(AA115*AB115, 0)</f>
        <v/>
      </c>
      <c r="AD115" s="14" t="n"/>
      <c r="AE115" s="15" t="n"/>
      <c r="AF115" s="16">
        <f>IFERROR(AD115*AE115, 0)</f>
        <v/>
      </c>
      <c r="AG115" s="14" t="n">
        <v>1</v>
      </c>
      <c r="AH115" s="15" t="n">
        <v>8700</v>
      </c>
      <c r="AI115" s="16" t="n">
        <v>8700</v>
      </c>
      <c r="AJ115" s="14" t="n"/>
      <c r="AK115" s="15" t="n"/>
      <c r="AL115" s="16">
        <f>IFERROR(AJ115*AK115, 0)</f>
        <v/>
      </c>
      <c r="AM115" s="14" t="n"/>
      <c r="AN115" s="15" t="n"/>
      <c r="AO115" s="16">
        <f>IFERROR(AM115*AN115, 0)</f>
        <v/>
      </c>
      <c r="AP115" s="14" t="n"/>
      <c r="AQ115" s="15" t="n"/>
      <c r="AR115" s="16">
        <f>IFERROR(AP115*AQ115, 0)</f>
        <v/>
      </c>
      <c r="AS115" s="14" t="n"/>
      <c r="AT115" s="15" t="n"/>
      <c r="AU115" s="16">
        <f>IFERROR(AS115*AT115, 0)</f>
        <v/>
      </c>
      <c r="AV115" s="14" t="n"/>
      <c r="AW115" s="15" t="n"/>
      <c r="AX115" s="16">
        <f>IFERROR(AV115*AW115, 0)</f>
        <v/>
      </c>
      <c r="AY115" s="14" t="n"/>
      <c r="AZ115" s="15" t="n"/>
      <c r="BA115" s="16">
        <f>IFERROR(AY115*AZ115, 0)</f>
        <v/>
      </c>
      <c r="BB115" s="14" t="n"/>
      <c r="BC115" s="15" t="n"/>
      <c r="BD115" s="16">
        <f>IFERROR(BB115*BC115, 0)</f>
        <v/>
      </c>
      <c r="BE115" s="14" t="n"/>
      <c r="BF115" s="15" t="n"/>
      <c r="BG115" s="16">
        <f>IFERROR(BE115*BF115, 0)</f>
        <v/>
      </c>
      <c r="BH115" s="14" t="n"/>
      <c r="BI115" s="15" t="n"/>
      <c r="BJ115" s="16">
        <f>IFERROR(BH115*BI115, 0)</f>
        <v/>
      </c>
      <c r="BK115" s="14" t="n"/>
      <c r="BL115" s="15" t="n"/>
      <c r="BM115" s="16">
        <f>IFERROR(BK115*BL115, 0)</f>
        <v/>
      </c>
      <c r="BN115" s="14" t="n"/>
      <c r="BO115" s="15" t="n"/>
      <c r="BP115" s="16">
        <f>IFERROR(BN115*BO115, 0)</f>
        <v/>
      </c>
      <c r="BQ115" s="14" t="n"/>
      <c r="BR115" s="15" t="n"/>
      <c r="BS115" s="16">
        <f>IFERROR(BQ115*BR115, 0)</f>
        <v/>
      </c>
      <c r="BT115" s="14" t="n"/>
      <c r="BU115" s="15" t="n"/>
      <c r="BV115" s="16">
        <f>IFERROR(BT115*BU115, 0)</f>
        <v/>
      </c>
      <c r="BW115" s="14" t="n"/>
      <c r="BX115" s="15" t="n"/>
      <c r="BY115" s="16">
        <f>IFERROR(BW115*BX115, 0)</f>
        <v/>
      </c>
      <c r="BZ115" s="14" t="n"/>
      <c r="CA115" s="15" t="n"/>
      <c r="CB115" s="16">
        <f>IFERROR(BZ115*CA115, 0)</f>
        <v/>
      </c>
      <c r="CC115" s="14" t="n"/>
      <c r="CD115" s="15" t="n"/>
      <c r="CE115" s="16">
        <f>IFERROR(CC115*CD115, 0)</f>
        <v/>
      </c>
      <c r="CF115" s="14" t="n"/>
      <c r="CG115" s="15" t="n"/>
      <c r="CH115" s="16">
        <f>IFERROR(CF115*CG115, 0)</f>
        <v/>
      </c>
      <c r="CI115" s="14" t="n"/>
      <c r="CJ115" s="15" t="n"/>
      <c r="CK115" s="16">
        <f>IFERROR(CI115*CJ115, 0)</f>
        <v/>
      </c>
      <c r="CL115" s="14" t="n"/>
      <c r="CM115" s="15" t="n"/>
      <c r="CN115" s="16">
        <f>IFERROR(CL115*CM115, 0)</f>
        <v/>
      </c>
      <c r="CO115" s="14" t="n"/>
      <c r="CP115" s="15" t="n"/>
      <c r="CQ115" s="16">
        <f>IFERROR(CO115*CP115, 0)</f>
        <v/>
      </c>
      <c r="CR115" s="14" t="n"/>
      <c r="CS115" s="15" t="n"/>
      <c r="CT115" s="16">
        <f>IFERROR(CR115*CS115, 0)</f>
        <v/>
      </c>
      <c r="CU115" s="17">
        <f>IFERROR(SUM(F115,I115,L115,O115,R115,U115,X115,AA115,AD115,AG115,AJ115,AM115,AP115,AS115,AV115,AY115,BB115,BE115,BH115,BK115,BN115,BQ115,BT115,BW115,BZ115,CC115,CF115,CI115,CL115,CO115,CR115), 0)</f>
        <v/>
      </c>
      <c r="CV115" s="16">
        <f>IFERROR(AVERAGE(G115,J115,M115,P115,S115,V115,Y115,AB115,AE115,AH115,AK115,AN115,AQ115,AT115,AW115,AZ115,BC115,BF115,BI115,BL115,BO115,BR115,BU115,BX115,CA115,CD115,CG115,CJ115,CM115,CP115,CS115), 0)</f>
        <v/>
      </c>
      <c r="CW115" s="16">
        <f>CU115*CV115</f>
        <v/>
      </c>
      <c r="CX115" s="82" t="n"/>
    </row>
    <row r="116" ht="15.75" customHeight="1">
      <c r="A116" s="21" t="inlineStr">
        <is>
          <t>Gorro tipo oruga blanco</t>
        </is>
      </c>
      <c r="B116" s="21" t="inlineStr">
        <is>
          <t>Pqte</t>
        </is>
      </c>
      <c r="C116" s="44" t="n"/>
      <c r="D116" s="22" t="n"/>
      <c r="E116" s="78">
        <f>IFERROR(+C116*D116, 0)</f>
        <v/>
      </c>
      <c r="F116" s="14" t="n"/>
      <c r="G116" s="15" t="n"/>
      <c r="H116" s="16">
        <f>IFERROR(F116*G116, 0)</f>
        <v/>
      </c>
      <c r="I116" s="14" t="n"/>
      <c r="J116" s="15" t="n"/>
      <c r="K116" s="16">
        <f>IFERROR(I116*J116, 0)</f>
        <v/>
      </c>
      <c r="L116" s="14" t="n"/>
      <c r="M116" s="15" t="n"/>
      <c r="N116" s="16">
        <f>IFERROR(L116*M116, 0)</f>
        <v/>
      </c>
      <c r="O116" s="14" t="n"/>
      <c r="P116" s="15" t="n"/>
      <c r="Q116" s="16">
        <f>IFERROR(O116*P116, 0)</f>
        <v/>
      </c>
      <c r="R116" s="14" t="n"/>
      <c r="S116" s="15" t="n"/>
      <c r="T116" s="16">
        <f>IFERROR(R116*S116, 0)</f>
        <v/>
      </c>
      <c r="U116" s="14" t="n"/>
      <c r="V116" s="15" t="n"/>
      <c r="W116" s="16">
        <f>IFERROR(U116*V116, 0)</f>
        <v/>
      </c>
      <c r="X116" s="14" t="n"/>
      <c r="Y116" s="15" t="n"/>
      <c r="Z116" s="16">
        <f>IFERROR(X116*Y116, 0)</f>
        <v/>
      </c>
      <c r="AA116" s="14" t="n"/>
      <c r="AB116" s="15" t="n"/>
      <c r="AC116" s="16">
        <f>IFERROR(AA116*AB116, 0)</f>
        <v/>
      </c>
      <c r="AD116" s="14" t="n"/>
      <c r="AE116" s="15" t="n"/>
      <c r="AF116" s="16">
        <f>IFERROR(AD116*AE116, 0)</f>
        <v/>
      </c>
      <c r="AG116" s="14" t="n"/>
      <c r="AH116" s="15" t="n"/>
      <c r="AI116" s="16">
        <f>IFERROR(AG116*AH116, 0)</f>
        <v/>
      </c>
      <c r="AJ116" s="14" t="n"/>
      <c r="AK116" s="15" t="n"/>
      <c r="AL116" s="16">
        <f>IFERROR(AJ116*AK116, 0)</f>
        <v/>
      </c>
      <c r="AM116" s="14" t="n"/>
      <c r="AN116" s="15" t="n"/>
      <c r="AO116" s="16">
        <f>IFERROR(AM116*AN116, 0)</f>
        <v/>
      </c>
      <c r="AP116" s="14" t="n"/>
      <c r="AQ116" s="15" t="n"/>
      <c r="AR116" s="16">
        <f>IFERROR(AP116*AQ116, 0)</f>
        <v/>
      </c>
      <c r="AS116" s="14" t="n"/>
      <c r="AT116" s="15" t="n"/>
      <c r="AU116" s="16">
        <f>IFERROR(AS116*AT116, 0)</f>
        <v/>
      </c>
      <c r="AV116" s="14" t="n"/>
      <c r="AW116" s="15" t="n"/>
      <c r="AX116" s="16">
        <f>IFERROR(AV116*AW116, 0)</f>
        <v/>
      </c>
      <c r="AY116" s="14" t="n"/>
      <c r="AZ116" s="15" t="n"/>
      <c r="BA116" s="16">
        <f>IFERROR(AY116*AZ116, 0)</f>
        <v/>
      </c>
      <c r="BB116" s="14" t="n"/>
      <c r="BC116" s="15" t="n"/>
      <c r="BD116" s="16">
        <f>IFERROR(BB116*BC116, 0)</f>
        <v/>
      </c>
      <c r="BE116" s="14" t="n"/>
      <c r="BF116" s="15" t="n"/>
      <c r="BG116" s="16">
        <f>IFERROR(BE116*BF116, 0)</f>
        <v/>
      </c>
      <c r="BH116" s="14" t="n"/>
      <c r="BI116" s="15" t="n"/>
      <c r="BJ116" s="16">
        <f>IFERROR(BH116*BI116, 0)</f>
        <v/>
      </c>
      <c r="BK116" s="14" t="n"/>
      <c r="BL116" s="15" t="n"/>
      <c r="BM116" s="16">
        <f>IFERROR(BK116*BL116, 0)</f>
        <v/>
      </c>
      <c r="BN116" s="14" t="n"/>
      <c r="BO116" s="15" t="n"/>
      <c r="BP116" s="16">
        <f>IFERROR(BN116*BO116, 0)</f>
        <v/>
      </c>
      <c r="BQ116" s="14" t="n"/>
      <c r="BR116" s="15" t="n"/>
      <c r="BS116" s="16">
        <f>IFERROR(BQ116*BR116, 0)</f>
        <v/>
      </c>
      <c r="BT116" s="14" t="n"/>
      <c r="BU116" s="15" t="n"/>
      <c r="BV116" s="16">
        <f>IFERROR(BT116*BU116, 0)</f>
        <v/>
      </c>
      <c r="BW116" s="14" t="n"/>
      <c r="BX116" s="15" t="n"/>
      <c r="BY116" s="16">
        <f>IFERROR(BW116*BX116, 0)</f>
        <v/>
      </c>
      <c r="BZ116" s="14" t="n"/>
      <c r="CA116" s="15" t="n"/>
      <c r="CB116" s="16">
        <f>IFERROR(BZ116*CA116, 0)</f>
        <v/>
      </c>
      <c r="CC116" s="14" t="n"/>
      <c r="CD116" s="15" t="n"/>
      <c r="CE116" s="16">
        <f>IFERROR(CC116*CD116, 0)</f>
        <v/>
      </c>
      <c r="CF116" s="14" t="n"/>
      <c r="CG116" s="15" t="n"/>
      <c r="CH116" s="16">
        <f>IFERROR(CF116*CG116, 0)</f>
        <v/>
      </c>
      <c r="CI116" s="14" t="n"/>
      <c r="CJ116" s="15" t="n"/>
      <c r="CK116" s="16">
        <f>IFERROR(CI116*CJ116, 0)</f>
        <v/>
      </c>
      <c r="CL116" s="14" t="n"/>
      <c r="CM116" s="15" t="n"/>
      <c r="CN116" s="16">
        <f>IFERROR(CL116*CM116, 0)</f>
        <v/>
      </c>
      <c r="CO116" s="14" t="n"/>
      <c r="CP116" s="15" t="n"/>
      <c r="CQ116" s="16">
        <f>IFERROR(CO116*CP116, 0)</f>
        <v/>
      </c>
      <c r="CR116" s="14" t="n"/>
      <c r="CS116" s="15" t="n"/>
      <c r="CT116" s="16">
        <f>IFERROR(CR116*CS116, 0)</f>
        <v/>
      </c>
      <c r="CU116" s="17">
        <f>IFERROR(SUM(F116,I116,L116,O116,R116,U116,X116,AA116,AD116,AG116,AJ116,AM116,AP116,AS116,AV116,AY116,BB116,BE116,BH116,BK116,BN116,BQ116,BT116,BW116,BZ116,CC116,CF116,CI116,CL116,CO116,CR116), 0)</f>
        <v/>
      </c>
      <c r="CV116" s="16">
        <f>IFERROR(AVERAGE(G116,J116,M116,P116,S116,V116,Y116,AB116,AE116,AH116,AK116,AN116,AQ116,AT116,AW116,AZ116,BC116,BF116,BI116,BL116,BO116,BR116,BU116,BX116,CA116,CD116,CG116,CJ116,CM116,CP116,CS116), 0)</f>
        <v/>
      </c>
      <c r="CW116" s="16">
        <f>CU116*CV116</f>
        <v/>
      </c>
      <c r="CX116" s="82" t="n"/>
    </row>
    <row r="117" ht="15.75" customHeight="1">
      <c r="A117" s="21" t="inlineStr">
        <is>
          <t>Salsa mostaza differ x 4000</t>
        </is>
      </c>
      <c r="B117" s="21" t="inlineStr">
        <is>
          <t>Pqte</t>
        </is>
      </c>
      <c r="C117" s="44" t="n"/>
      <c r="D117" s="22" t="n"/>
      <c r="E117" s="78">
        <f>IFERROR(+C117*D117, 0)</f>
        <v/>
      </c>
      <c r="F117" s="14" t="n"/>
      <c r="G117" s="15" t="n"/>
      <c r="H117" s="16">
        <f>IFERROR(F117*G117, 0)</f>
        <v/>
      </c>
      <c r="I117" s="14" t="n">
        <v>2</v>
      </c>
      <c r="J117" s="15" t="n">
        <v>18650</v>
      </c>
      <c r="K117" s="16" t="n">
        <v>37300</v>
      </c>
      <c r="L117" s="14" t="n"/>
      <c r="M117" s="15" t="n"/>
      <c r="N117" s="16">
        <f>IFERROR(L117*M117, 0)</f>
        <v/>
      </c>
      <c r="O117" s="14" t="n"/>
      <c r="P117" s="15" t="n"/>
      <c r="Q117" s="16">
        <f>IFERROR(O117*P117, 0)</f>
        <v/>
      </c>
      <c r="R117" s="14" t="n"/>
      <c r="S117" s="15" t="n"/>
      <c r="T117" s="16">
        <f>IFERROR(R117*S117, 0)</f>
        <v/>
      </c>
      <c r="U117" s="14" t="n"/>
      <c r="V117" s="15" t="n"/>
      <c r="W117" s="16">
        <f>IFERROR(U117*V117, 0)</f>
        <v/>
      </c>
      <c r="X117" s="14" t="n">
        <v>1</v>
      </c>
      <c r="Y117" s="15" t="n">
        <v>18650</v>
      </c>
      <c r="Z117" s="16" t="n">
        <v>18650</v>
      </c>
      <c r="AA117" s="14" t="n"/>
      <c r="AB117" s="15" t="n"/>
      <c r="AC117" s="16">
        <f>IFERROR(AA117*AB117, 0)</f>
        <v/>
      </c>
      <c r="AD117" s="14" t="n"/>
      <c r="AE117" s="15" t="n"/>
      <c r="AF117" s="16">
        <f>IFERROR(AD117*AE117, 0)</f>
        <v/>
      </c>
      <c r="AG117" s="14" t="n">
        <v>1</v>
      </c>
      <c r="AH117" s="15" t="n">
        <v>18650</v>
      </c>
      <c r="AI117" s="16" t="n">
        <v>18650</v>
      </c>
      <c r="AJ117" s="14" t="n"/>
      <c r="AK117" s="15" t="n"/>
      <c r="AL117" s="16">
        <f>IFERROR(AJ117*AK117, 0)</f>
        <v/>
      </c>
      <c r="AM117" s="14" t="n"/>
      <c r="AN117" s="15" t="n"/>
      <c r="AO117" s="16">
        <f>IFERROR(AM117*AN117, 0)</f>
        <v/>
      </c>
      <c r="AP117" s="14" t="n"/>
      <c r="AQ117" s="15" t="n"/>
      <c r="AR117" s="16">
        <f>IFERROR(AP117*AQ117, 0)</f>
        <v/>
      </c>
      <c r="AS117" s="14" t="n"/>
      <c r="AT117" s="15" t="n"/>
      <c r="AU117" s="16">
        <f>IFERROR(AS117*AT117, 0)</f>
        <v/>
      </c>
      <c r="AV117" s="14" t="n"/>
      <c r="AW117" s="15" t="n"/>
      <c r="AX117" s="16">
        <f>IFERROR(AV117*AW117, 0)</f>
        <v/>
      </c>
      <c r="AY117" s="14" t="n"/>
      <c r="AZ117" s="15" t="n"/>
      <c r="BA117" s="16">
        <f>IFERROR(AY117*AZ117, 0)</f>
        <v/>
      </c>
      <c r="BB117" s="14" t="n"/>
      <c r="BC117" s="15" t="n"/>
      <c r="BD117" s="16">
        <f>IFERROR(BB117*BC117, 0)</f>
        <v/>
      </c>
      <c r="BE117" s="14" t="n"/>
      <c r="BF117" s="15" t="n"/>
      <c r="BG117" s="16">
        <f>IFERROR(BE117*BF117, 0)</f>
        <v/>
      </c>
      <c r="BH117" s="14" t="n"/>
      <c r="BI117" s="15" t="n"/>
      <c r="BJ117" s="16">
        <f>IFERROR(BH117*BI117, 0)</f>
        <v/>
      </c>
      <c r="BK117" s="14" t="n"/>
      <c r="BL117" s="15" t="n"/>
      <c r="BM117" s="16">
        <f>IFERROR(BK117*BL117, 0)</f>
        <v/>
      </c>
      <c r="BN117" s="14" t="n"/>
      <c r="BO117" s="15" t="n"/>
      <c r="BP117" s="16">
        <f>IFERROR(BN117*BO117, 0)</f>
        <v/>
      </c>
      <c r="BQ117" s="14" t="n">
        <v>1</v>
      </c>
      <c r="BR117" s="15" t="n">
        <v>18650</v>
      </c>
      <c r="BS117" s="16" t="n">
        <v>18650</v>
      </c>
      <c r="BT117" s="14" t="n"/>
      <c r="BU117" s="15" t="n"/>
      <c r="BV117" s="16">
        <f>IFERROR(BT117*BU117, 0)</f>
        <v/>
      </c>
      <c r="BW117" s="14" t="n"/>
      <c r="BX117" s="15" t="n"/>
      <c r="BY117" s="16">
        <f>IFERROR(BW117*BX117, 0)</f>
        <v/>
      </c>
      <c r="BZ117" s="14" t="n"/>
      <c r="CA117" s="15" t="n"/>
      <c r="CB117" s="16">
        <f>IFERROR(BZ117*CA117, 0)</f>
        <v/>
      </c>
      <c r="CC117" s="14" t="n"/>
      <c r="CD117" s="15" t="n"/>
      <c r="CE117" s="16">
        <f>IFERROR(CC117*CD117, 0)</f>
        <v/>
      </c>
      <c r="CF117" s="14" t="n"/>
      <c r="CG117" s="15" t="n"/>
      <c r="CH117" s="16">
        <f>IFERROR(CF117*CG117, 0)</f>
        <v/>
      </c>
      <c r="CI117" s="14" t="n"/>
      <c r="CJ117" s="15" t="n"/>
      <c r="CK117" s="16">
        <f>IFERROR(CI117*CJ117, 0)</f>
        <v/>
      </c>
      <c r="CL117" s="14" t="n"/>
      <c r="CM117" s="15" t="n"/>
      <c r="CN117" s="16">
        <f>IFERROR(CL117*CM117, 0)</f>
        <v/>
      </c>
      <c r="CO117" s="14" t="n"/>
      <c r="CP117" s="15" t="n"/>
      <c r="CQ117" s="16">
        <f>IFERROR(CO117*CP117, 0)</f>
        <v/>
      </c>
      <c r="CR117" s="14" t="n"/>
      <c r="CS117" s="15" t="n"/>
      <c r="CT117" s="16">
        <f>IFERROR(CR117*CS117, 0)</f>
        <v/>
      </c>
      <c r="CU117" s="17">
        <f>IFERROR(SUM(F117,I117,L117,O117,R117,U117,X117,AA117,AD117,AG117,AJ117,AM117,AP117,AS117,AV117,AY117,BB117,BE117,BH117,BK117,BN117,BQ117,BT117,BW117,BZ117,CC117,CF117,CI117,CL117,CO117,CR117), 0)</f>
        <v/>
      </c>
      <c r="CV117" s="16">
        <f>IFERROR(AVERAGE(G117,J117,M117,P117,S117,V117,Y117,AB117,AE117,AH117,AK117,AN117,AQ117,AT117,AW117,AZ117,BC117,BF117,BI117,BL117,BO117,BR117,BU117,BX117,CA117,CD117,CG117,CJ117,CM117,CP117,CS117), 0)</f>
        <v/>
      </c>
      <c r="CW117" s="16">
        <f>CU117*CV117</f>
        <v/>
      </c>
      <c r="CX117" s="82" t="n"/>
    </row>
    <row r="118" ht="15.75" customHeight="1">
      <c r="A118" s="21" t="inlineStr">
        <is>
          <t>Toalla mano v natural mio 24x150h</t>
        </is>
      </c>
      <c r="B118" s="21" t="inlineStr">
        <is>
          <t>Pqte</t>
        </is>
      </c>
      <c r="C118" s="44" t="n"/>
      <c r="D118" s="22" t="n"/>
      <c r="E118" s="78">
        <f>IFERROR(+C118*D118, 0)</f>
        <v/>
      </c>
      <c r="F118" s="14" t="n"/>
      <c r="G118" s="15" t="n"/>
      <c r="H118" s="16">
        <f>IFERROR(F118*G118, 0)</f>
        <v/>
      </c>
      <c r="I118" s="14" t="n">
        <v>10</v>
      </c>
      <c r="J118" s="15" t="n">
        <v>5200</v>
      </c>
      <c r="K118" s="16" t="n">
        <v>52000</v>
      </c>
      <c r="L118" s="14" t="n"/>
      <c r="M118" s="15" t="n"/>
      <c r="N118" s="16">
        <f>IFERROR(L118*M118, 0)</f>
        <v/>
      </c>
      <c r="O118" s="14" t="n"/>
      <c r="P118" s="15" t="n"/>
      <c r="Q118" s="16">
        <f>IFERROR(O118*P118, 0)</f>
        <v/>
      </c>
      <c r="R118" s="14" t="n"/>
      <c r="S118" s="15" t="n"/>
      <c r="T118" s="16">
        <f>IFERROR(R118*S118, 0)</f>
        <v/>
      </c>
      <c r="U118" s="14" t="n"/>
      <c r="V118" s="15" t="n"/>
      <c r="W118" s="16">
        <f>IFERROR(U118*V118, 0)</f>
        <v/>
      </c>
      <c r="X118" s="14" t="n">
        <v>10</v>
      </c>
      <c r="Y118" s="15" t="n">
        <v>5200</v>
      </c>
      <c r="Z118" s="16" t="n">
        <v>52000</v>
      </c>
      <c r="AA118" s="14" t="n"/>
      <c r="AB118" s="15" t="n"/>
      <c r="AC118" s="16">
        <f>IFERROR(AA118*AB118, 0)</f>
        <v/>
      </c>
      <c r="AD118" s="14" t="n"/>
      <c r="AE118" s="15" t="n"/>
      <c r="AF118" s="16">
        <f>IFERROR(AD118*AE118, 0)</f>
        <v/>
      </c>
      <c r="AG118" s="14" t="n"/>
      <c r="AH118" s="15" t="n"/>
      <c r="AI118" s="16">
        <f>IFERROR(AG118*AH118, 0)</f>
        <v/>
      </c>
      <c r="AJ118" s="14" t="n"/>
      <c r="AK118" s="15" t="n"/>
      <c r="AL118" s="16">
        <f>IFERROR(AJ118*AK118, 0)</f>
        <v/>
      </c>
      <c r="AM118" s="14" t="n"/>
      <c r="AN118" s="15" t="n"/>
      <c r="AO118" s="16">
        <f>IFERROR(AM118*AN118, 0)</f>
        <v/>
      </c>
      <c r="AP118" s="14" t="n"/>
      <c r="AQ118" s="15" t="n"/>
      <c r="AR118" s="16">
        <f>IFERROR(AP118*AQ118, 0)</f>
        <v/>
      </c>
      <c r="AS118" s="14" t="n"/>
      <c r="AT118" s="15" t="n"/>
      <c r="AU118" s="16">
        <f>IFERROR(AS118*AT118, 0)</f>
        <v/>
      </c>
      <c r="AV118" s="14" t="n"/>
      <c r="AW118" s="15" t="n"/>
      <c r="AX118" s="16">
        <f>IFERROR(AV118*AW118, 0)</f>
        <v/>
      </c>
      <c r="AY118" s="14" t="n"/>
      <c r="AZ118" s="15" t="n"/>
      <c r="BA118" s="16">
        <f>IFERROR(AY118*AZ118, 0)</f>
        <v/>
      </c>
      <c r="BB118" s="14" t="n"/>
      <c r="BC118" s="15" t="n"/>
      <c r="BD118" s="16">
        <f>IFERROR(BB118*BC118, 0)</f>
        <v/>
      </c>
      <c r="BE118" s="14" t="n">
        <v>10</v>
      </c>
      <c r="BF118" s="15" t="n">
        <v>5200</v>
      </c>
      <c r="BG118" s="16" t="n">
        <v>52000</v>
      </c>
      <c r="BH118" s="14" t="n"/>
      <c r="BI118" s="15" t="n"/>
      <c r="BJ118" s="16">
        <f>IFERROR(BH118*BI118, 0)</f>
        <v/>
      </c>
      <c r="BK118" s="14" t="n"/>
      <c r="BL118" s="15" t="n"/>
      <c r="BM118" s="16">
        <f>IFERROR(BK118*BL118, 0)</f>
        <v/>
      </c>
      <c r="BN118" s="14" t="n"/>
      <c r="BO118" s="15" t="n"/>
      <c r="BP118" s="16">
        <f>IFERROR(BN118*BO118, 0)</f>
        <v/>
      </c>
      <c r="BQ118" s="14" t="n"/>
      <c r="BR118" s="15" t="n"/>
      <c r="BS118" s="16">
        <f>IFERROR(BQ118*BR118, 0)</f>
        <v/>
      </c>
      <c r="BT118" s="14" t="n"/>
      <c r="BU118" s="15" t="n"/>
      <c r="BV118" s="16">
        <f>IFERROR(BT118*BU118, 0)</f>
        <v/>
      </c>
      <c r="BW118" s="14" t="n"/>
      <c r="BX118" s="15" t="n"/>
      <c r="BY118" s="16">
        <f>IFERROR(BW118*BX118, 0)</f>
        <v/>
      </c>
      <c r="BZ118" s="14" t="n"/>
      <c r="CA118" s="15" t="n"/>
      <c r="CB118" s="16">
        <f>IFERROR(BZ118*CA118, 0)</f>
        <v/>
      </c>
      <c r="CC118" s="14" t="n"/>
      <c r="CD118" s="15" t="n"/>
      <c r="CE118" s="16">
        <f>IFERROR(CC118*CD118, 0)</f>
        <v/>
      </c>
      <c r="CF118" s="14" t="n"/>
      <c r="CG118" s="15" t="n"/>
      <c r="CH118" s="16">
        <f>IFERROR(CF118*CG118, 0)</f>
        <v/>
      </c>
      <c r="CI118" s="14" t="n"/>
      <c r="CJ118" s="15" t="n"/>
      <c r="CK118" s="16">
        <f>IFERROR(CI118*CJ118, 0)</f>
        <v/>
      </c>
      <c r="CL118" s="14" t="n"/>
      <c r="CM118" s="15" t="n"/>
      <c r="CN118" s="16">
        <f>IFERROR(CL118*CM118, 0)</f>
        <v/>
      </c>
      <c r="CO118" s="14" t="n"/>
      <c r="CP118" s="15" t="n"/>
      <c r="CQ118" s="16">
        <f>IFERROR(CO118*CP118, 0)</f>
        <v/>
      </c>
      <c r="CR118" s="14" t="n"/>
      <c r="CS118" s="15" t="n"/>
      <c r="CT118" s="16">
        <f>IFERROR(CR118*CS118, 0)</f>
        <v/>
      </c>
      <c r="CU118" s="17">
        <f>IFERROR(SUM(F118,I118,L118,O118,R118,U118,X118,AA118,AD118,AG118,AJ118,AM118,AP118,AS118,AV118,AY118,BB118,BE118,BH118,BK118,BN118,BQ118,BT118,BW118,BZ118,CC118,CF118,CI118,CL118,CO118,CR118), 0)</f>
        <v/>
      </c>
      <c r="CV118" s="16">
        <f>IFERROR(AVERAGE(G118,J118,M118,P118,S118,V118,Y118,AB118,AE118,AH118,AK118,AN118,AQ118,AT118,AW118,AZ118,BC118,BF118,BI118,BL118,BO118,BR118,BU118,BX118,CA118,CD118,CG118,CJ118,CM118,CP118,CS118), 0)</f>
        <v/>
      </c>
      <c r="CW118" s="16">
        <f>CU118*CV118</f>
        <v/>
      </c>
      <c r="CX118" s="82" t="n"/>
    </row>
    <row r="119" ht="15.75" customHeight="1">
      <c r="A119" s="41" t="inlineStr">
        <is>
          <t>Vaso tami 12x25</t>
        </is>
      </c>
      <c r="B119" s="41" t="inlineStr">
        <is>
          <t>Pqte</t>
        </is>
      </c>
      <c r="C119" s="42" t="n"/>
      <c r="D119" s="43" t="n"/>
      <c r="E119" s="78">
        <f>IFERROR(+C119*D119, 0)</f>
        <v/>
      </c>
      <c r="F119" s="14" t="n"/>
      <c r="G119" s="15" t="n"/>
      <c r="H119" s="16">
        <f>IFERROR(F119*G119, 0)</f>
        <v/>
      </c>
      <c r="I119" s="14" t="n"/>
      <c r="J119" s="15" t="n"/>
      <c r="K119" s="16">
        <f>IFERROR(I119*J119, 0)</f>
        <v/>
      </c>
      <c r="L119" s="14" t="n"/>
      <c r="M119" s="15" t="n"/>
      <c r="N119" s="16">
        <f>IFERROR(L119*M119, 0)</f>
        <v/>
      </c>
      <c r="O119" s="14" t="n"/>
      <c r="P119" s="15" t="n"/>
      <c r="Q119" s="16">
        <f>IFERROR(O119*P119, 0)</f>
        <v/>
      </c>
      <c r="R119" s="14" t="n"/>
      <c r="S119" s="15" t="n"/>
      <c r="T119" s="16">
        <f>IFERROR(R119*S119, 0)</f>
        <v/>
      </c>
      <c r="U119" s="14" t="n"/>
      <c r="V119" s="15" t="n"/>
      <c r="W119" s="16">
        <f>IFERROR(U119*V119, 0)</f>
        <v/>
      </c>
      <c r="X119" s="14" t="n">
        <v>8</v>
      </c>
      <c r="Y119" s="15" t="n">
        <v>5000</v>
      </c>
      <c r="Z119" s="16" t="n">
        <v>40000</v>
      </c>
      <c r="AA119" s="14" t="n"/>
      <c r="AB119" s="15" t="n"/>
      <c r="AC119" s="16">
        <f>IFERROR(AA119*AB119, 0)</f>
        <v/>
      </c>
      <c r="AD119" s="14" t="n"/>
      <c r="AE119" s="15" t="n"/>
      <c r="AF119" s="16">
        <f>IFERROR(AD119*AE119, 0)</f>
        <v/>
      </c>
      <c r="AG119" s="14" t="n">
        <v>6</v>
      </c>
      <c r="AH119" s="15" t="n">
        <v>5000</v>
      </c>
      <c r="AI119" s="16" t="n">
        <v>30000</v>
      </c>
      <c r="AJ119" s="14" t="n"/>
      <c r="AK119" s="15" t="n"/>
      <c r="AL119" s="16">
        <f>IFERROR(AJ119*AK119, 0)</f>
        <v/>
      </c>
      <c r="AM119" s="14" t="n"/>
      <c r="AN119" s="15" t="n"/>
      <c r="AO119" s="16">
        <f>IFERROR(AM119*AN119, 0)</f>
        <v/>
      </c>
      <c r="AP119" s="14" t="n"/>
      <c r="AQ119" s="15" t="n"/>
      <c r="AR119" s="16">
        <f>IFERROR(AP119*AQ119, 0)</f>
        <v/>
      </c>
      <c r="AS119" s="14" t="n"/>
      <c r="AT119" s="15" t="n"/>
      <c r="AU119" s="16">
        <f>IFERROR(AS119*AT119, 0)</f>
        <v/>
      </c>
      <c r="AV119" s="14" t="n"/>
      <c r="AW119" s="15" t="n"/>
      <c r="AX119" s="16">
        <f>IFERROR(AV119*AW119, 0)</f>
        <v/>
      </c>
      <c r="AY119" s="14" t="n"/>
      <c r="AZ119" s="15" t="n"/>
      <c r="BA119" s="16">
        <f>IFERROR(AY119*AZ119, 0)</f>
        <v/>
      </c>
      <c r="BB119" s="14" t="n"/>
      <c r="BC119" s="15" t="n"/>
      <c r="BD119" s="16">
        <f>IFERROR(BB119*BC119, 0)</f>
        <v/>
      </c>
      <c r="BE119" s="14" t="n">
        <v>10</v>
      </c>
      <c r="BF119" s="15" t="n">
        <v>5000</v>
      </c>
      <c r="BG119" s="16" t="n">
        <v>50000</v>
      </c>
      <c r="BH119" s="14" t="n"/>
      <c r="BI119" s="15" t="n"/>
      <c r="BJ119" s="16">
        <f>IFERROR(BH119*BI119, 0)</f>
        <v/>
      </c>
      <c r="BK119" s="14" t="n"/>
      <c r="BL119" s="15" t="n"/>
      <c r="BM119" s="16">
        <f>IFERROR(BK119*BL119, 0)</f>
        <v/>
      </c>
      <c r="BN119" s="14" t="n"/>
      <c r="BO119" s="15" t="n"/>
      <c r="BP119" s="16">
        <f>IFERROR(BN119*BO119, 0)</f>
        <v/>
      </c>
      <c r="BQ119" s="14" t="n"/>
      <c r="BR119" s="15" t="n"/>
      <c r="BS119" s="16">
        <f>IFERROR(BQ119*BR119, 0)</f>
        <v/>
      </c>
      <c r="BT119" s="14" t="n"/>
      <c r="BU119" s="15" t="n"/>
      <c r="BV119" s="16">
        <f>IFERROR(BT119*BU119, 0)</f>
        <v/>
      </c>
      <c r="BW119" s="14" t="n"/>
      <c r="BX119" s="15" t="n"/>
      <c r="BY119" s="16">
        <f>IFERROR(BW119*BX119, 0)</f>
        <v/>
      </c>
      <c r="BZ119" s="14" t="n"/>
      <c r="CA119" s="15" t="n"/>
      <c r="CB119" s="16">
        <f>IFERROR(BZ119*CA119, 0)</f>
        <v/>
      </c>
      <c r="CC119" s="14" t="n"/>
      <c r="CD119" s="15" t="n"/>
      <c r="CE119" s="16">
        <f>IFERROR(CC119*CD119, 0)</f>
        <v/>
      </c>
      <c r="CF119" s="14" t="n"/>
      <c r="CG119" s="15" t="n"/>
      <c r="CH119" s="16">
        <f>IFERROR(CF119*CG119, 0)</f>
        <v/>
      </c>
      <c r="CI119" s="14" t="n"/>
      <c r="CJ119" s="15" t="n"/>
      <c r="CK119" s="16">
        <f>IFERROR(CI119*CJ119, 0)</f>
        <v/>
      </c>
      <c r="CL119" s="14" t="n"/>
      <c r="CM119" s="15" t="n"/>
      <c r="CN119" s="16">
        <f>IFERROR(CL119*CM119, 0)</f>
        <v/>
      </c>
      <c r="CO119" s="14" t="n"/>
      <c r="CP119" s="15" t="n"/>
      <c r="CQ119" s="16">
        <f>IFERROR(CO119*CP119, 0)</f>
        <v/>
      </c>
      <c r="CR119" s="14" t="n"/>
      <c r="CS119" s="15" t="n"/>
      <c r="CT119" s="16">
        <f>IFERROR(CR119*CS119, 0)</f>
        <v/>
      </c>
      <c r="CU119" s="17">
        <f>IFERROR(SUM(F119,I119,L119,O119,R119,U119,X119,AA119,AD119,AG119,AJ119,AM119,AP119,AS119,AV119,AY119,BB119,BE119,BH119,BK119,BN119,BQ119,BT119,BW119,BZ119,CC119,CF119,CI119,CL119,CO119,CR119), 0)</f>
        <v/>
      </c>
      <c r="CV119" s="16">
        <f>IFERROR(AVERAGE(G119,J119,M119,P119,S119,V119,Y119,AB119,AE119,AH119,AK119,AN119,AQ119,AT119,AW119,AZ119,BC119,BF119,BI119,BL119,BO119,BR119,BU119,BX119,CA119,CD119,CG119,CJ119,CM119,CP119,CS119), 0)</f>
        <v/>
      </c>
      <c r="CW119" s="16">
        <f>CU119*CV119</f>
        <v/>
      </c>
      <c r="CX119" s="82" t="n"/>
    </row>
    <row r="120" ht="15.75" customHeight="1">
      <c r="A120" s="21" t="inlineStr">
        <is>
          <t>Bolsa manigueta t19 bio</t>
        </is>
      </c>
      <c r="B120" s="21" t="inlineStr">
        <is>
          <t>Pqte</t>
        </is>
      </c>
      <c r="C120" s="44" t="n"/>
      <c r="D120" s="22" t="n"/>
      <c r="E120" s="78">
        <f>IFERROR(+C120*D120, 0)</f>
        <v/>
      </c>
      <c r="F120" s="14" t="n"/>
      <c r="G120" s="15" t="n"/>
      <c r="H120" s="16">
        <f>IFERROR(F120*G120, 0)</f>
        <v/>
      </c>
      <c r="I120" s="14" t="n"/>
      <c r="J120" s="15" t="n"/>
      <c r="K120" s="16">
        <f>IFERROR(I120*J120, 0)</f>
        <v/>
      </c>
      <c r="L120" s="14" t="n"/>
      <c r="M120" s="15" t="n"/>
      <c r="N120" s="16">
        <f>IFERROR(L120*M120, 0)</f>
        <v/>
      </c>
      <c r="O120" s="14" t="n"/>
      <c r="P120" s="15" t="n"/>
      <c r="Q120" s="16">
        <f>IFERROR(O120*P120, 0)</f>
        <v/>
      </c>
      <c r="R120" s="14" t="n"/>
      <c r="S120" s="15" t="n"/>
      <c r="T120" s="16">
        <f>IFERROR(R120*S120, 0)</f>
        <v/>
      </c>
      <c r="U120" s="14" t="n"/>
      <c r="V120" s="15" t="n"/>
      <c r="W120" s="16">
        <f>IFERROR(U120*V120, 0)</f>
        <v/>
      </c>
      <c r="X120" s="14" t="n"/>
      <c r="Y120" s="15" t="n"/>
      <c r="Z120" s="16">
        <f>IFERROR(X120*Y120, 0)</f>
        <v/>
      </c>
      <c r="AA120" s="14" t="n"/>
      <c r="AB120" s="15" t="n"/>
      <c r="AC120" s="16">
        <f>IFERROR(AA120*AB120, 0)</f>
        <v/>
      </c>
      <c r="AD120" s="14" t="n"/>
      <c r="AE120" s="15" t="n"/>
      <c r="AF120" s="16">
        <f>IFERROR(AD120*AE120, 0)</f>
        <v/>
      </c>
      <c r="AG120" s="14" t="n"/>
      <c r="AH120" s="15" t="n"/>
      <c r="AI120" s="16">
        <f>IFERROR(AG120*AH120, 0)</f>
        <v/>
      </c>
      <c r="AJ120" s="14" t="n"/>
      <c r="AK120" s="15" t="n"/>
      <c r="AL120" s="16">
        <f>IFERROR(AJ120*AK120, 0)</f>
        <v/>
      </c>
      <c r="AM120" s="14" t="n"/>
      <c r="AN120" s="15" t="n"/>
      <c r="AO120" s="16">
        <f>IFERROR(AM120*AN120, 0)</f>
        <v/>
      </c>
      <c r="AP120" s="14" t="n"/>
      <c r="AQ120" s="15" t="n"/>
      <c r="AR120" s="16">
        <f>IFERROR(AP120*AQ120, 0)</f>
        <v/>
      </c>
      <c r="AS120" s="14" t="n"/>
      <c r="AT120" s="15" t="n"/>
      <c r="AU120" s="16">
        <f>IFERROR(AS120*AT120, 0)</f>
        <v/>
      </c>
      <c r="AV120" s="14" t="n"/>
      <c r="AW120" s="15" t="n"/>
      <c r="AX120" s="16">
        <f>IFERROR(AV120*AW120, 0)</f>
        <v/>
      </c>
      <c r="AY120" s="14" t="n"/>
      <c r="AZ120" s="15" t="n"/>
      <c r="BA120" s="16">
        <f>IFERROR(AY120*AZ120, 0)</f>
        <v/>
      </c>
      <c r="BB120" s="14" t="n"/>
      <c r="BC120" s="15" t="n"/>
      <c r="BD120" s="16">
        <f>IFERROR(BB120*BC120, 0)</f>
        <v/>
      </c>
      <c r="BE120" s="14" t="n"/>
      <c r="BF120" s="15" t="n"/>
      <c r="BG120" s="16">
        <f>IFERROR(BE120*BF120, 0)</f>
        <v/>
      </c>
      <c r="BH120" s="14" t="n"/>
      <c r="BI120" s="15" t="n"/>
      <c r="BJ120" s="16">
        <f>IFERROR(BH120*BI120, 0)</f>
        <v/>
      </c>
      <c r="BK120" s="14" t="n"/>
      <c r="BL120" s="15" t="n"/>
      <c r="BM120" s="16">
        <f>IFERROR(BK120*BL120, 0)</f>
        <v/>
      </c>
      <c r="BN120" s="14" t="n"/>
      <c r="BO120" s="15" t="n"/>
      <c r="BP120" s="16">
        <f>IFERROR(BN120*BO120, 0)</f>
        <v/>
      </c>
      <c r="BQ120" s="14" t="n"/>
      <c r="BR120" s="15" t="n"/>
      <c r="BS120" s="16">
        <f>IFERROR(BQ120*BR120, 0)</f>
        <v/>
      </c>
      <c r="BT120" s="14" t="n"/>
      <c r="BU120" s="15" t="n"/>
      <c r="BV120" s="16">
        <f>IFERROR(BT120*BU120, 0)</f>
        <v/>
      </c>
      <c r="BW120" s="14" t="n"/>
      <c r="BX120" s="15" t="n"/>
      <c r="BY120" s="16">
        <f>IFERROR(BW120*BX120, 0)</f>
        <v/>
      </c>
      <c r="BZ120" s="14" t="n"/>
      <c r="CA120" s="15" t="n"/>
      <c r="CB120" s="16">
        <f>IFERROR(BZ120*CA120, 0)</f>
        <v/>
      </c>
      <c r="CC120" s="14" t="n"/>
      <c r="CD120" s="15" t="n"/>
      <c r="CE120" s="16">
        <f>IFERROR(CC120*CD120, 0)</f>
        <v/>
      </c>
      <c r="CF120" s="14" t="n"/>
      <c r="CG120" s="15" t="n"/>
      <c r="CH120" s="16">
        <f>IFERROR(CF120*CG120, 0)</f>
        <v/>
      </c>
      <c r="CI120" s="14" t="n"/>
      <c r="CJ120" s="15" t="n"/>
      <c r="CK120" s="16">
        <f>IFERROR(CI120*CJ120, 0)</f>
        <v/>
      </c>
      <c r="CL120" s="14" t="n"/>
      <c r="CM120" s="15" t="n"/>
      <c r="CN120" s="16">
        <f>IFERROR(CL120*CM120, 0)</f>
        <v/>
      </c>
      <c r="CO120" s="14" t="n"/>
      <c r="CP120" s="15" t="n"/>
      <c r="CQ120" s="16">
        <f>IFERROR(CO120*CP120, 0)</f>
        <v/>
      </c>
      <c r="CR120" s="14" t="n"/>
      <c r="CS120" s="15" t="n"/>
      <c r="CT120" s="16">
        <f>IFERROR(CR120*CS120, 0)</f>
        <v/>
      </c>
      <c r="CU120" s="17">
        <f>IFERROR(SUM(F120,I120,L120,O120,R120,U120,X120,AA120,AD120,AG120,AJ120,AM120,AP120,AS120,AV120,AY120,BB120,BE120,BH120,BK120,BN120,BQ120,BT120,BW120,BZ120,CC120,CF120,CI120,CL120,CO120,CR120), 0)</f>
        <v/>
      </c>
      <c r="CV120" s="16">
        <f>IFERROR(AVERAGE(G120,J120,M120,P120,S120,V120,Y120,AB120,AE120,AH120,AK120,AN120,AQ120,AT120,AW120,AZ120,BC120,BF120,BI120,BL120,BO120,BR120,BU120,BX120,CA120,CD120,CG120,CJ120,CM120,CP120,CS120), 0)</f>
        <v/>
      </c>
      <c r="CW120" s="16">
        <f>CU120*CV120</f>
        <v/>
      </c>
      <c r="CX120" s="82" t="n"/>
    </row>
    <row r="121" ht="15.75" customHeight="1">
      <c r="A121" s="21" t="inlineStr">
        <is>
          <t>Gorro tipo oruga negro x 100 mega</t>
        </is>
      </c>
      <c r="B121" s="21" t="inlineStr">
        <is>
          <t>Pqte</t>
        </is>
      </c>
      <c r="C121" s="44" t="n"/>
      <c r="D121" s="22" t="n"/>
      <c r="E121" s="78">
        <f>IFERROR(+C121*D121, 0)</f>
        <v/>
      </c>
      <c r="F121" s="14" t="n"/>
      <c r="G121" s="15" t="n"/>
      <c r="H121" s="16">
        <f>IFERROR(F121*G121, 0)</f>
        <v/>
      </c>
      <c r="I121" s="14" t="n"/>
      <c r="J121" s="15" t="n"/>
      <c r="K121" s="16">
        <f>IFERROR(I121*J121, 0)</f>
        <v/>
      </c>
      <c r="L121" s="14" t="n"/>
      <c r="M121" s="15" t="n"/>
      <c r="N121" s="16">
        <f>IFERROR(L121*M121, 0)</f>
        <v/>
      </c>
      <c r="O121" s="14" t="n"/>
      <c r="P121" s="15" t="n"/>
      <c r="Q121" s="16">
        <f>IFERROR(O121*P121, 0)</f>
        <v/>
      </c>
      <c r="R121" s="14" t="n"/>
      <c r="S121" s="15" t="n"/>
      <c r="T121" s="16">
        <f>IFERROR(R121*S121, 0)</f>
        <v/>
      </c>
      <c r="U121" s="14" t="n"/>
      <c r="V121" s="15" t="n"/>
      <c r="W121" s="16">
        <f>IFERROR(U121*V121, 0)</f>
        <v/>
      </c>
      <c r="X121" s="14" t="n"/>
      <c r="Y121" s="15" t="n"/>
      <c r="Z121" s="16">
        <f>IFERROR(X121*Y121, 0)</f>
        <v/>
      </c>
      <c r="AA121" s="14" t="n"/>
      <c r="AB121" s="15" t="n"/>
      <c r="AC121" s="16">
        <f>IFERROR(AA121*AB121, 0)</f>
        <v/>
      </c>
      <c r="AD121" s="14" t="n"/>
      <c r="AE121" s="15" t="n"/>
      <c r="AF121" s="16">
        <f>IFERROR(AD121*AE121, 0)</f>
        <v/>
      </c>
      <c r="AG121" s="14" t="n"/>
      <c r="AH121" s="15" t="n"/>
      <c r="AI121" s="16">
        <f>IFERROR(AG121*AH121, 0)</f>
        <v/>
      </c>
      <c r="AJ121" s="14" t="n"/>
      <c r="AK121" s="15" t="n"/>
      <c r="AL121" s="16">
        <f>IFERROR(AJ121*AK121, 0)</f>
        <v/>
      </c>
      <c r="AM121" s="14" t="n"/>
      <c r="AN121" s="15" t="n"/>
      <c r="AO121" s="16">
        <f>IFERROR(AM121*AN121, 0)</f>
        <v/>
      </c>
      <c r="AP121" s="14" t="n"/>
      <c r="AQ121" s="15" t="n"/>
      <c r="AR121" s="16">
        <f>IFERROR(AP121*AQ121, 0)</f>
        <v/>
      </c>
      <c r="AS121" s="14" t="n"/>
      <c r="AT121" s="15" t="n"/>
      <c r="AU121" s="16">
        <f>IFERROR(AS121*AT121, 0)</f>
        <v/>
      </c>
      <c r="AV121" s="14" t="n"/>
      <c r="AW121" s="15" t="n"/>
      <c r="AX121" s="16">
        <f>IFERROR(AV121*AW121, 0)</f>
        <v/>
      </c>
      <c r="AY121" s="14" t="n"/>
      <c r="AZ121" s="15" t="n"/>
      <c r="BA121" s="16">
        <f>IFERROR(AY121*AZ121, 0)</f>
        <v/>
      </c>
      <c r="BB121" s="14" t="n"/>
      <c r="BC121" s="15" t="n"/>
      <c r="BD121" s="16">
        <f>IFERROR(BB121*BC121, 0)</f>
        <v/>
      </c>
      <c r="BE121" s="14" t="n"/>
      <c r="BF121" s="15" t="n"/>
      <c r="BG121" s="16">
        <f>IFERROR(BE121*BF121, 0)</f>
        <v/>
      </c>
      <c r="BH121" s="14" t="n"/>
      <c r="BI121" s="15" t="n"/>
      <c r="BJ121" s="16">
        <f>IFERROR(BH121*BI121, 0)</f>
        <v/>
      </c>
      <c r="BK121" s="14" t="n"/>
      <c r="BL121" s="15" t="n"/>
      <c r="BM121" s="16">
        <f>IFERROR(BK121*BL121, 0)</f>
        <v/>
      </c>
      <c r="BN121" s="14" t="n"/>
      <c r="BO121" s="15" t="n"/>
      <c r="BP121" s="16">
        <f>IFERROR(BN121*BO121, 0)</f>
        <v/>
      </c>
      <c r="BQ121" s="14" t="n">
        <v>1</v>
      </c>
      <c r="BR121" s="15" t="n">
        <v>8200</v>
      </c>
      <c r="BS121" s="16" t="n">
        <v>8200</v>
      </c>
      <c r="BT121" s="14" t="n"/>
      <c r="BU121" s="15" t="n"/>
      <c r="BV121" s="16">
        <f>IFERROR(BT121*BU121, 0)</f>
        <v/>
      </c>
      <c r="BW121" s="14" t="n"/>
      <c r="BX121" s="15" t="n"/>
      <c r="BY121" s="16">
        <f>IFERROR(BW121*BX121, 0)</f>
        <v/>
      </c>
      <c r="BZ121" s="14" t="n"/>
      <c r="CA121" s="15" t="n"/>
      <c r="CB121" s="16">
        <f>IFERROR(BZ121*CA121, 0)</f>
        <v/>
      </c>
      <c r="CC121" s="14" t="n"/>
      <c r="CD121" s="15" t="n"/>
      <c r="CE121" s="16">
        <f>IFERROR(CC121*CD121, 0)</f>
        <v/>
      </c>
      <c r="CF121" s="14" t="n"/>
      <c r="CG121" s="15" t="n"/>
      <c r="CH121" s="16">
        <f>IFERROR(CF121*CG121, 0)</f>
        <v/>
      </c>
      <c r="CI121" s="14" t="n"/>
      <c r="CJ121" s="15" t="n"/>
      <c r="CK121" s="16">
        <f>IFERROR(CI121*CJ121, 0)</f>
        <v/>
      </c>
      <c r="CL121" s="14" t="n"/>
      <c r="CM121" s="15" t="n"/>
      <c r="CN121" s="16">
        <f>IFERROR(CL121*CM121, 0)</f>
        <v/>
      </c>
      <c r="CO121" s="14" t="n"/>
      <c r="CP121" s="15" t="n"/>
      <c r="CQ121" s="16">
        <f>IFERROR(CO121*CP121, 0)</f>
        <v/>
      </c>
      <c r="CR121" s="14" t="n"/>
      <c r="CS121" s="15" t="n"/>
      <c r="CT121" s="16">
        <f>IFERROR(CR121*CS121, 0)</f>
        <v/>
      </c>
      <c r="CU121" s="17">
        <f>IFERROR(SUM(F121,I121,L121,O121,R121,U121,X121,AA121,AD121,AG121,AJ121,AM121,AP121,AS121,AV121,AY121,BB121,BE121,BH121,BK121,BN121,BQ121,BT121,BW121,BZ121,CC121,CF121,CI121,CL121,CO121,CR121), 0)</f>
        <v/>
      </c>
      <c r="CV121" s="16">
        <f>IFERROR(AVERAGE(G121,J121,M121,P121,S121,V121,Y121,AB121,AE121,AH121,AK121,AN121,AQ121,AT121,AW121,AZ121,BC121,BF121,BI121,BL121,BO121,BR121,BU121,BX121,CA121,CD121,CG121,CJ121,CM121,CP121,CS121), 0)</f>
        <v/>
      </c>
      <c r="CW121" s="16">
        <f>CU121*CV121</f>
        <v/>
      </c>
      <c r="CX121" s="82" t="n"/>
    </row>
    <row r="122" ht="15.75" customHeight="1">
      <c r="A122" s="21" t="inlineStr">
        <is>
          <t>Resma de papel oficio</t>
        </is>
      </c>
      <c r="B122" s="21" t="inlineStr">
        <is>
          <t>Pqte</t>
        </is>
      </c>
      <c r="C122" s="44" t="n"/>
      <c r="D122" s="22" t="n"/>
      <c r="E122" s="78">
        <f>IFERROR(+C122*D122, 0)</f>
        <v/>
      </c>
      <c r="F122" s="14" t="n"/>
      <c r="G122" s="15" t="n"/>
      <c r="H122" s="16">
        <f>IFERROR(F122*G122, 0)</f>
        <v/>
      </c>
      <c r="I122" s="14" t="n"/>
      <c r="J122" s="15" t="n"/>
      <c r="K122" s="16">
        <f>IFERROR(I122*J122, 0)</f>
        <v/>
      </c>
      <c r="L122" s="14" t="n"/>
      <c r="M122" s="15" t="n"/>
      <c r="N122" s="16">
        <f>IFERROR(L122*M122, 0)</f>
        <v/>
      </c>
      <c r="O122" s="14" t="n"/>
      <c r="P122" s="15" t="n"/>
      <c r="Q122" s="16">
        <f>IFERROR(O122*P122, 0)</f>
        <v/>
      </c>
      <c r="R122" s="14" t="n"/>
      <c r="S122" s="15" t="n"/>
      <c r="T122" s="16">
        <f>IFERROR(R122*S122, 0)</f>
        <v/>
      </c>
      <c r="U122" s="14" t="n"/>
      <c r="V122" s="15" t="n"/>
      <c r="W122" s="16">
        <f>IFERROR(U122*V122, 0)</f>
        <v/>
      </c>
      <c r="X122" s="14" t="n"/>
      <c r="Y122" s="15" t="n"/>
      <c r="Z122" s="16">
        <f>IFERROR(X122*Y122, 0)</f>
        <v/>
      </c>
      <c r="AA122" s="14" t="n"/>
      <c r="AB122" s="15" t="n"/>
      <c r="AC122" s="16">
        <f>IFERROR(AA122*AB122, 0)</f>
        <v/>
      </c>
      <c r="AD122" s="14" t="n"/>
      <c r="AE122" s="15" t="n"/>
      <c r="AF122" s="16">
        <f>IFERROR(AD122*AE122, 0)</f>
        <v/>
      </c>
      <c r="AG122" s="14" t="n"/>
      <c r="AH122" s="15" t="n"/>
      <c r="AI122" s="16">
        <f>IFERROR(AG122*AH122, 0)</f>
        <v/>
      </c>
      <c r="AJ122" s="14" t="n"/>
      <c r="AK122" s="15" t="n"/>
      <c r="AL122" s="16">
        <f>IFERROR(AJ122*AK122, 0)</f>
        <v/>
      </c>
      <c r="AM122" s="14" t="n"/>
      <c r="AN122" s="15" t="n"/>
      <c r="AO122" s="16">
        <f>IFERROR(AM122*AN122, 0)</f>
        <v/>
      </c>
      <c r="AP122" s="14" t="n"/>
      <c r="AQ122" s="15" t="n"/>
      <c r="AR122" s="16">
        <f>IFERROR(AP122*AQ122, 0)</f>
        <v/>
      </c>
      <c r="AS122" s="14" t="n"/>
      <c r="AT122" s="15" t="n"/>
      <c r="AU122" s="16">
        <f>IFERROR(AS122*AT122, 0)</f>
        <v/>
      </c>
      <c r="AV122" s="14" t="n"/>
      <c r="AW122" s="15" t="n"/>
      <c r="AX122" s="16">
        <f>IFERROR(AV122*AW122, 0)</f>
        <v/>
      </c>
      <c r="AY122" s="14" t="n"/>
      <c r="AZ122" s="15" t="n"/>
      <c r="BA122" s="16">
        <f>IFERROR(AY122*AZ122, 0)</f>
        <v/>
      </c>
      <c r="BB122" s="14" t="n"/>
      <c r="BC122" s="15" t="n"/>
      <c r="BD122" s="16">
        <f>IFERROR(BB122*BC122, 0)</f>
        <v/>
      </c>
      <c r="BE122" s="14" t="n"/>
      <c r="BF122" s="15" t="n"/>
      <c r="BG122" s="16">
        <f>IFERROR(BE122*BF122, 0)</f>
        <v/>
      </c>
      <c r="BH122" s="14" t="n"/>
      <c r="BI122" s="15" t="n"/>
      <c r="BJ122" s="16">
        <f>IFERROR(BH122*BI122, 0)</f>
        <v/>
      </c>
      <c r="BK122" s="14" t="n"/>
      <c r="BL122" s="15" t="n"/>
      <c r="BM122" s="16">
        <f>IFERROR(BK122*BL122, 0)</f>
        <v/>
      </c>
      <c r="BN122" s="14" t="n"/>
      <c r="BO122" s="15" t="n"/>
      <c r="BP122" s="16">
        <f>IFERROR(BN122*BO122, 0)</f>
        <v/>
      </c>
      <c r="BQ122" s="14" t="n"/>
      <c r="BR122" s="15" t="n"/>
      <c r="BS122" s="16">
        <f>IFERROR(BQ122*BR122, 0)</f>
        <v/>
      </c>
      <c r="BT122" s="14" t="n"/>
      <c r="BU122" s="15" t="n"/>
      <c r="BV122" s="16">
        <f>IFERROR(BT122*BU122, 0)</f>
        <v/>
      </c>
      <c r="BW122" s="14" t="n"/>
      <c r="BX122" s="15" t="n"/>
      <c r="BY122" s="16">
        <f>IFERROR(BW122*BX122, 0)</f>
        <v/>
      </c>
      <c r="BZ122" s="14" t="n"/>
      <c r="CA122" s="15" t="n"/>
      <c r="CB122" s="16">
        <f>IFERROR(BZ122*CA122, 0)</f>
        <v/>
      </c>
      <c r="CC122" s="14" t="n"/>
      <c r="CD122" s="15" t="n"/>
      <c r="CE122" s="16">
        <f>IFERROR(CC122*CD122, 0)</f>
        <v/>
      </c>
      <c r="CF122" s="14" t="n"/>
      <c r="CG122" s="15" t="n"/>
      <c r="CH122" s="16">
        <f>IFERROR(CF122*CG122, 0)</f>
        <v/>
      </c>
      <c r="CI122" s="14" t="n"/>
      <c r="CJ122" s="15" t="n"/>
      <c r="CK122" s="16">
        <f>IFERROR(CI122*CJ122, 0)</f>
        <v/>
      </c>
      <c r="CL122" s="14" t="n"/>
      <c r="CM122" s="15" t="n"/>
      <c r="CN122" s="16">
        <f>IFERROR(CL122*CM122, 0)</f>
        <v/>
      </c>
      <c r="CO122" s="14" t="n"/>
      <c r="CP122" s="15" t="n"/>
      <c r="CQ122" s="16">
        <f>IFERROR(CO122*CP122, 0)</f>
        <v/>
      </c>
      <c r="CR122" s="14" t="n"/>
      <c r="CS122" s="15" t="n"/>
      <c r="CT122" s="16">
        <f>IFERROR(CR122*CS122, 0)</f>
        <v/>
      </c>
      <c r="CU122" s="17">
        <f>IFERROR(SUM(F122,I122,L122,O122,R122,U122,X122,AA122,AD122,AG122,AJ122,AM122,AP122,AS122,AV122,AY122,BB122,BE122,BH122,BK122,BN122,BQ122,BT122,BW122,BZ122,CC122,CF122,CI122,CL122,CO122,CR122), 0)</f>
        <v/>
      </c>
      <c r="CV122" s="16">
        <f>IFERROR(AVERAGE(G122,J122,M122,P122,S122,V122,Y122,AB122,AE122,AH122,AK122,AN122,AQ122,AT122,AW122,AZ122,BC122,BF122,BI122,BL122,BO122,BR122,BU122,BX122,CA122,CD122,CG122,CJ122,CM122,CP122,CS122), 0)</f>
        <v/>
      </c>
      <c r="CW122" s="16">
        <f>CU122*CV122</f>
        <v/>
      </c>
      <c r="CX122" s="82" t="n"/>
    </row>
    <row r="123" ht="15.75" customHeight="1">
      <c r="A123" s="21" t="inlineStr">
        <is>
          <t>Bolsa manigueta t25 bio</t>
        </is>
      </c>
      <c r="B123" s="21" t="inlineStr">
        <is>
          <t>Pqte</t>
        </is>
      </c>
      <c r="C123" s="44" t="n"/>
      <c r="D123" s="22" t="n"/>
      <c r="E123" s="78">
        <f>IFERROR(+C123*D123, 0)</f>
        <v/>
      </c>
      <c r="F123" s="14" t="n"/>
      <c r="G123" s="15" t="n"/>
      <c r="H123" s="16">
        <f>IFERROR(F123*G123, 0)</f>
        <v/>
      </c>
      <c r="I123" s="14" t="n"/>
      <c r="J123" s="15" t="n"/>
      <c r="K123" s="16">
        <f>IFERROR(I123*J123, 0)</f>
        <v/>
      </c>
      <c r="L123" s="14" t="n"/>
      <c r="M123" s="15" t="n"/>
      <c r="N123" s="16">
        <f>IFERROR(L123*M123, 0)</f>
        <v/>
      </c>
      <c r="O123" s="14" t="n"/>
      <c r="P123" s="15" t="n"/>
      <c r="Q123" s="16">
        <f>IFERROR(O123*P123, 0)</f>
        <v/>
      </c>
      <c r="R123" s="14" t="n"/>
      <c r="S123" s="15" t="n"/>
      <c r="T123" s="16">
        <f>IFERROR(R123*S123, 0)</f>
        <v/>
      </c>
      <c r="U123" s="14" t="n"/>
      <c r="V123" s="15" t="n"/>
      <c r="W123" s="16">
        <f>IFERROR(U123*V123, 0)</f>
        <v/>
      </c>
      <c r="X123" s="14" t="n"/>
      <c r="Y123" s="15" t="n"/>
      <c r="Z123" s="16">
        <f>IFERROR(X123*Y123, 0)</f>
        <v/>
      </c>
      <c r="AA123" s="14" t="n"/>
      <c r="AB123" s="15" t="n"/>
      <c r="AC123" s="16">
        <f>IFERROR(AA123*AB123, 0)</f>
        <v/>
      </c>
      <c r="AD123" s="14" t="n"/>
      <c r="AE123" s="15" t="n"/>
      <c r="AF123" s="16">
        <f>IFERROR(AD123*AE123, 0)</f>
        <v/>
      </c>
      <c r="AG123" s="14" t="n"/>
      <c r="AH123" s="15" t="n"/>
      <c r="AI123" s="16">
        <f>IFERROR(AG123*AH123, 0)</f>
        <v/>
      </c>
      <c r="AJ123" s="14" t="n"/>
      <c r="AK123" s="15" t="n"/>
      <c r="AL123" s="16">
        <f>IFERROR(AJ123*AK123, 0)</f>
        <v/>
      </c>
      <c r="AM123" s="14" t="n"/>
      <c r="AN123" s="15" t="n"/>
      <c r="AO123" s="16">
        <f>IFERROR(AM123*AN123, 0)</f>
        <v/>
      </c>
      <c r="AP123" s="14" t="n"/>
      <c r="AQ123" s="15" t="n"/>
      <c r="AR123" s="16">
        <f>IFERROR(AP123*AQ123, 0)</f>
        <v/>
      </c>
      <c r="AS123" s="14" t="n"/>
      <c r="AT123" s="15" t="n"/>
      <c r="AU123" s="16">
        <f>IFERROR(AS123*AT123, 0)</f>
        <v/>
      </c>
      <c r="AV123" s="14" t="n"/>
      <c r="AW123" s="15" t="n"/>
      <c r="AX123" s="16">
        <f>IFERROR(AV123*AW123, 0)</f>
        <v/>
      </c>
      <c r="AY123" s="14" t="n"/>
      <c r="AZ123" s="15" t="n"/>
      <c r="BA123" s="16">
        <f>IFERROR(AY123*AZ123, 0)</f>
        <v/>
      </c>
      <c r="BB123" s="14" t="n"/>
      <c r="BC123" s="15" t="n"/>
      <c r="BD123" s="16">
        <f>IFERROR(BB123*BC123, 0)</f>
        <v/>
      </c>
      <c r="BE123" s="14" t="n"/>
      <c r="BF123" s="15" t="n"/>
      <c r="BG123" s="16">
        <f>IFERROR(BE123*BF123, 0)</f>
        <v/>
      </c>
      <c r="BH123" s="14" t="n"/>
      <c r="BI123" s="15" t="n"/>
      <c r="BJ123" s="16">
        <f>IFERROR(BH123*BI123, 0)</f>
        <v/>
      </c>
      <c r="BK123" s="14" t="n"/>
      <c r="BL123" s="15" t="n"/>
      <c r="BM123" s="16">
        <f>IFERROR(BK123*BL123, 0)</f>
        <v/>
      </c>
      <c r="BN123" s="14" t="n"/>
      <c r="BO123" s="15" t="n"/>
      <c r="BP123" s="16">
        <f>IFERROR(BN123*BO123, 0)</f>
        <v/>
      </c>
      <c r="BQ123" s="14" t="n"/>
      <c r="BR123" s="15" t="n"/>
      <c r="BS123" s="16">
        <f>IFERROR(BQ123*BR123, 0)</f>
        <v/>
      </c>
      <c r="BT123" s="14" t="n"/>
      <c r="BU123" s="15" t="n"/>
      <c r="BV123" s="16">
        <f>IFERROR(BT123*BU123, 0)</f>
        <v/>
      </c>
      <c r="BW123" s="14" t="n"/>
      <c r="BX123" s="15" t="n"/>
      <c r="BY123" s="16">
        <f>IFERROR(BW123*BX123, 0)</f>
        <v/>
      </c>
      <c r="BZ123" s="14" t="n"/>
      <c r="CA123" s="15" t="n"/>
      <c r="CB123" s="16">
        <f>IFERROR(BZ123*CA123, 0)</f>
        <v/>
      </c>
      <c r="CC123" s="14" t="n"/>
      <c r="CD123" s="15" t="n"/>
      <c r="CE123" s="16">
        <f>IFERROR(CC123*CD123, 0)</f>
        <v/>
      </c>
      <c r="CF123" s="14" t="n"/>
      <c r="CG123" s="15" t="n"/>
      <c r="CH123" s="16">
        <f>IFERROR(CF123*CG123, 0)</f>
        <v/>
      </c>
      <c r="CI123" s="14" t="n"/>
      <c r="CJ123" s="15" t="n"/>
      <c r="CK123" s="16">
        <f>IFERROR(CI123*CJ123, 0)</f>
        <v/>
      </c>
      <c r="CL123" s="14" t="n"/>
      <c r="CM123" s="15" t="n"/>
      <c r="CN123" s="16">
        <f>IFERROR(CL123*CM123, 0)</f>
        <v/>
      </c>
      <c r="CO123" s="14" t="n"/>
      <c r="CP123" s="15" t="n"/>
      <c r="CQ123" s="16">
        <f>IFERROR(CO123*CP123, 0)</f>
        <v/>
      </c>
      <c r="CR123" s="14" t="n"/>
      <c r="CS123" s="15" t="n"/>
      <c r="CT123" s="16">
        <f>IFERROR(CR123*CS123, 0)</f>
        <v/>
      </c>
      <c r="CU123" s="17">
        <f>IFERROR(SUM(F123,I123,L123,O123,R123,U123,X123,AA123,AD123,AG123,AJ123,AM123,AP123,AS123,AV123,AY123,BB123,BE123,BH123,BK123,BN123,BQ123,BT123,BW123,BZ123,CC123,CF123,CI123,CL123,CO123,CR123), 0)</f>
        <v/>
      </c>
      <c r="CV123" s="16">
        <f>IFERROR(AVERAGE(G123,J123,M123,P123,S123,V123,Y123,AB123,AE123,AH123,AK123,AN123,AQ123,AT123,AW123,AZ123,BC123,BF123,BI123,BL123,BO123,BR123,BU123,BX123,CA123,CD123,CG123,CJ123,CM123,CP123,CS123), 0)</f>
        <v/>
      </c>
      <c r="CW123" s="16">
        <f>CU123*CV123</f>
        <v/>
      </c>
      <c r="CX123" s="82" t="n"/>
    </row>
    <row r="124" ht="15.75" customHeight="1">
      <c r="A124" s="41" t="inlineStr">
        <is>
          <t>Vinagre differ galon 3000</t>
        </is>
      </c>
      <c r="B124" s="41" t="inlineStr">
        <is>
          <t>Gal</t>
        </is>
      </c>
      <c r="C124" s="19" t="n"/>
      <c r="D124" s="20" t="n"/>
      <c r="E124" s="78">
        <f>IFERROR(+C124*D124, 0)</f>
        <v/>
      </c>
      <c r="F124" s="14" t="n"/>
      <c r="G124" s="15" t="n"/>
      <c r="H124" s="16">
        <f>IFERROR(F124*G124, 0)</f>
        <v/>
      </c>
      <c r="I124" s="14" t="n">
        <v>1</v>
      </c>
      <c r="J124" s="15" t="n">
        <v>7200</v>
      </c>
      <c r="K124" s="16" t="n">
        <v>7200</v>
      </c>
      <c r="L124" s="14" t="n"/>
      <c r="M124" s="15" t="n"/>
      <c r="N124" s="16">
        <f>IFERROR(L124*M124, 0)</f>
        <v/>
      </c>
      <c r="O124" s="14" t="n"/>
      <c r="P124" s="15" t="n"/>
      <c r="Q124" s="16">
        <f>IFERROR(O124*P124, 0)</f>
        <v/>
      </c>
      <c r="R124" s="14" t="n"/>
      <c r="S124" s="15" t="n"/>
      <c r="T124" s="16">
        <f>IFERROR(R124*S124, 0)</f>
        <v/>
      </c>
      <c r="U124" s="14" t="n"/>
      <c r="V124" s="15" t="n"/>
      <c r="W124" s="16">
        <f>IFERROR(U124*V124, 0)</f>
        <v/>
      </c>
      <c r="X124" s="14" t="n">
        <v>1</v>
      </c>
      <c r="Y124" s="15" t="n">
        <v>7200</v>
      </c>
      <c r="Z124" s="16" t="n">
        <v>7200</v>
      </c>
      <c r="AA124" s="14" t="n"/>
      <c r="AB124" s="15" t="n"/>
      <c r="AC124" s="16">
        <f>IFERROR(AA124*AB124, 0)</f>
        <v/>
      </c>
      <c r="AD124" s="14" t="n"/>
      <c r="AE124" s="15" t="n"/>
      <c r="AF124" s="16">
        <f>IFERROR(AD124*AE124, 0)</f>
        <v/>
      </c>
      <c r="AG124" s="14" t="n">
        <v>1</v>
      </c>
      <c r="AH124" s="15" t="n">
        <v>7200</v>
      </c>
      <c r="AI124" s="16" t="n">
        <v>7200</v>
      </c>
      <c r="AJ124" s="14" t="n"/>
      <c r="AK124" s="15" t="n"/>
      <c r="AL124" s="16">
        <f>IFERROR(AJ124*AK124, 0)</f>
        <v/>
      </c>
      <c r="AM124" s="14" t="n"/>
      <c r="AN124" s="15" t="n"/>
      <c r="AO124" s="16">
        <f>IFERROR(AM124*AN124, 0)</f>
        <v/>
      </c>
      <c r="AP124" s="14" t="n"/>
      <c r="AQ124" s="15" t="n"/>
      <c r="AR124" s="16">
        <f>IFERROR(AP124*AQ124, 0)</f>
        <v/>
      </c>
      <c r="AS124" s="14" t="n"/>
      <c r="AT124" s="15" t="n"/>
      <c r="AU124" s="16">
        <f>IFERROR(AS124*AT124, 0)</f>
        <v/>
      </c>
      <c r="AV124" s="14" t="n"/>
      <c r="AW124" s="15" t="n"/>
      <c r="AX124" s="16">
        <f>IFERROR(AV124*AW124, 0)</f>
        <v/>
      </c>
      <c r="AY124" s="14" t="n"/>
      <c r="AZ124" s="15" t="n"/>
      <c r="BA124" s="16">
        <f>IFERROR(AY124*AZ124, 0)</f>
        <v/>
      </c>
      <c r="BB124" s="14" t="n"/>
      <c r="BC124" s="15" t="n"/>
      <c r="BD124" s="16">
        <f>IFERROR(BB124*BC124, 0)</f>
        <v/>
      </c>
      <c r="BE124" s="14" t="n"/>
      <c r="BF124" s="15" t="n"/>
      <c r="BG124" s="16">
        <f>IFERROR(BE124*BF124, 0)</f>
        <v/>
      </c>
      <c r="BH124" s="14" t="n"/>
      <c r="BI124" s="15" t="n"/>
      <c r="BJ124" s="16">
        <f>IFERROR(BH124*BI124, 0)</f>
        <v/>
      </c>
      <c r="BK124" s="14" t="n"/>
      <c r="BL124" s="15" t="n"/>
      <c r="BM124" s="16">
        <f>IFERROR(BK124*BL124, 0)</f>
        <v/>
      </c>
      <c r="BN124" s="14" t="n"/>
      <c r="BO124" s="15" t="n"/>
      <c r="BP124" s="16">
        <f>IFERROR(BN124*BO124, 0)</f>
        <v/>
      </c>
      <c r="BQ124" s="14" t="n">
        <v>2</v>
      </c>
      <c r="BR124" s="15" t="n">
        <v>7200</v>
      </c>
      <c r="BS124" s="16" t="n">
        <v>14400</v>
      </c>
      <c r="BT124" s="14" t="n"/>
      <c r="BU124" s="15" t="n"/>
      <c r="BV124" s="16">
        <f>IFERROR(BT124*BU124, 0)</f>
        <v/>
      </c>
      <c r="BW124" s="14" t="n"/>
      <c r="BX124" s="15" t="n"/>
      <c r="BY124" s="16">
        <f>IFERROR(BW124*BX124, 0)</f>
        <v/>
      </c>
      <c r="BZ124" s="14" t="n"/>
      <c r="CA124" s="15" t="n"/>
      <c r="CB124" s="16">
        <f>IFERROR(BZ124*CA124, 0)</f>
        <v/>
      </c>
      <c r="CC124" s="14" t="n"/>
      <c r="CD124" s="15" t="n"/>
      <c r="CE124" s="16">
        <f>IFERROR(CC124*CD124, 0)</f>
        <v/>
      </c>
      <c r="CF124" s="14" t="n"/>
      <c r="CG124" s="15" t="n"/>
      <c r="CH124" s="16">
        <f>IFERROR(CF124*CG124, 0)</f>
        <v/>
      </c>
      <c r="CI124" s="14" t="n"/>
      <c r="CJ124" s="15" t="n"/>
      <c r="CK124" s="16">
        <f>IFERROR(CI124*CJ124, 0)</f>
        <v/>
      </c>
      <c r="CL124" s="14" t="n"/>
      <c r="CM124" s="15" t="n"/>
      <c r="CN124" s="16">
        <f>IFERROR(CL124*CM124, 0)</f>
        <v/>
      </c>
      <c r="CO124" s="14" t="n"/>
      <c r="CP124" s="15" t="n"/>
      <c r="CQ124" s="16">
        <f>IFERROR(CO124*CP124, 0)</f>
        <v/>
      </c>
      <c r="CR124" s="14" t="n"/>
      <c r="CS124" s="15" t="n"/>
      <c r="CT124" s="16">
        <f>IFERROR(CR124*CS124, 0)</f>
        <v/>
      </c>
      <c r="CU124" s="17">
        <f>IFERROR(SUM(F124,I124,L124,O124,R124,U124,X124,AA124,AD124,AG124,AJ124,AM124,AP124,AS124,AV124,AY124,BB124,BE124,BH124,BK124,BN124,BQ124,BT124,BW124,BZ124,CC124,CF124,CI124,CL124,CO124,CR124), 0)</f>
        <v/>
      </c>
      <c r="CV124" s="16">
        <f>IFERROR(AVERAGE(G124,J124,M124,P124,S124,V124,Y124,AB124,AE124,AH124,AK124,AN124,AQ124,AT124,AW124,AZ124,BC124,BF124,BI124,BL124,BO124,BR124,BU124,BX124,CA124,CD124,CG124,CJ124,CM124,CP124,CS124), 0)</f>
        <v/>
      </c>
      <c r="CW124" s="16">
        <f>CU124*CV124</f>
        <v/>
      </c>
      <c r="CX124" s="82" t="n"/>
    </row>
    <row r="125" ht="15.75" customHeight="1">
      <c r="A125" s="76" t="inlineStr">
        <is>
          <t>Mercancias Varias Excentas</t>
        </is>
      </c>
      <c r="B125" s="21" t="inlineStr">
        <is>
          <t>Und</t>
        </is>
      </c>
      <c r="C125" s="76" t="n"/>
      <c r="D125" s="76" t="n"/>
      <c r="E125" s="78">
        <f>IFERROR(+C125*D125, 0)</f>
        <v/>
      </c>
      <c r="F125" s="14" t="n">
        <v>2</v>
      </c>
      <c r="G125" s="15" t="n">
        <v>1800</v>
      </c>
      <c r="H125" s="16" t="n">
        <v>131800</v>
      </c>
      <c r="I125" s="14" t="n"/>
      <c r="J125" s="15" t="n"/>
      <c r="K125" s="16">
        <f>IFERROR(I125*J125, 0)</f>
        <v/>
      </c>
      <c r="L125" s="14" t="n"/>
      <c r="M125" s="15" t="n"/>
      <c r="N125" s="16">
        <f>IFERROR(L125*M125, 0)</f>
        <v/>
      </c>
      <c r="O125" s="14" t="n">
        <v>1</v>
      </c>
      <c r="P125" s="15" t="n">
        <v>75100</v>
      </c>
      <c r="Q125" s="16" t="n">
        <v>75100</v>
      </c>
      <c r="R125" s="14" t="n"/>
      <c r="S125" s="15" t="n"/>
      <c r="T125" s="16">
        <f>IFERROR(R125*S125, 0)</f>
        <v/>
      </c>
      <c r="U125" s="14" t="n"/>
      <c r="V125" s="15" t="n"/>
      <c r="W125" s="16">
        <f>IFERROR(U125*V125, 0)</f>
        <v/>
      </c>
      <c r="X125" s="14" t="n">
        <v>15</v>
      </c>
      <c r="Y125" s="15" t="n">
        <v>36900</v>
      </c>
      <c r="Z125" s="16" t="n">
        <v>582200</v>
      </c>
      <c r="AA125" s="14" t="n"/>
      <c r="AB125" s="15" t="n"/>
      <c r="AC125" s="16">
        <f>IFERROR(AA125*AB125, 0)</f>
        <v/>
      </c>
      <c r="AD125" s="14" t="n"/>
      <c r="AE125" s="15" t="n"/>
      <c r="AF125" s="16">
        <f>IFERROR(AD125*AE125, 0)</f>
        <v/>
      </c>
      <c r="AG125" s="14" t="n"/>
      <c r="AH125" s="15" t="n"/>
      <c r="AI125" s="16">
        <f>IFERROR(AG125*AH125, 0)</f>
        <v/>
      </c>
      <c r="AJ125" s="14" t="n"/>
      <c r="AK125" s="15" t="n"/>
      <c r="AL125" s="16">
        <f>IFERROR(AJ125*AK125, 0)</f>
        <v/>
      </c>
      <c r="AM125" s="14" t="n"/>
      <c r="AN125" s="15" t="n"/>
      <c r="AO125" s="16">
        <f>IFERROR(AM125*AN125, 0)</f>
        <v/>
      </c>
      <c r="AP125" s="14" t="n"/>
      <c r="AQ125" s="15" t="n"/>
      <c r="AR125" s="16">
        <f>IFERROR(AP125*AQ125, 0)</f>
        <v/>
      </c>
      <c r="AS125" s="14" t="n">
        <v>1</v>
      </c>
      <c r="AT125" s="15" t="n">
        <v>32000</v>
      </c>
      <c r="AU125" s="16" t="n">
        <v>32000</v>
      </c>
      <c r="AV125" s="14" t="n"/>
      <c r="AW125" s="15" t="n"/>
      <c r="AX125" s="16">
        <f>IFERROR(AV125*AW125, 0)</f>
        <v/>
      </c>
      <c r="AY125" s="14" t="n"/>
      <c r="AZ125" s="15" t="n"/>
      <c r="BA125" s="16">
        <f>IFERROR(AY125*AZ125, 0)</f>
        <v/>
      </c>
      <c r="BB125" s="14" t="n"/>
      <c r="BC125" s="15" t="n"/>
      <c r="BD125" s="16">
        <f>IFERROR(BB125*BC125, 0)</f>
        <v/>
      </c>
      <c r="BE125" s="14" t="n">
        <v>2</v>
      </c>
      <c r="BF125" s="15" t="n">
        <v>5300</v>
      </c>
      <c r="BG125" s="16" t="n">
        <v>10600</v>
      </c>
      <c r="BH125" s="14" t="n">
        <v>1</v>
      </c>
      <c r="BI125" s="15" t="n">
        <v>9000</v>
      </c>
      <c r="BJ125" s="16" t="n">
        <v>9000</v>
      </c>
      <c r="BK125" s="14" t="n"/>
      <c r="BL125" s="15" t="n"/>
      <c r="BM125" s="16">
        <f>IFERROR(BK125*BL125, 0)</f>
        <v/>
      </c>
      <c r="BN125" s="14" t="n"/>
      <c r="BO125" s="15" t="n"/>
      <c r="BP125" s="16">
        <f>IFERROR(BN125*BO125, 0)</f>
        <v/>
      </c>
      <c r="BQ125" s="14" t="n"/>
      <c r="BR125" s="15" t="n"/>
      <c r="BS125" s="16">
        <f>IFERROR(BQ125*BR125, 0)</f>
        <v/>
      </c>
      <c r="BT125" s="14" t="n"/>
      <c r="BU125" s="15" t="n"/>
      <c r="BV125" s="16">
        <f>IFERROR(BT125*BU125, 0)</f>
        <v/>
      </c>
      <c r="BW125" s="14" t="n">
        <v>1</v>
      </c>
      <c r="BX125" s="15" t="n">
        <v>8400</v>
      </c>
      <c r="BY125" s="16" t="n">
        <v>8400</v>
      </c>
      <c r="BZ125" s="14" t="n"/>
      <c r="CA125" s="15" t="n"/>
      <c r="CB125" s="16">
        <f>IFERROR(BZ125*CA125, 0)</f>
        <v/>
      </c>
      <c r="CC125" s="14" t="n"/>
      <c r="CD125" s="15" t="n"/>
      <c r="CE125" s="16">
        <f>IFERROR(CC125*CD125, 0)</f>
        <v/>
      </c>
      <c r="CF125" s="14" t="n"/>
      <c r="CG125" s="15" t="n"/>
      <c r="CH125" s="16">
        <f>IFERROR(CF125*CG125, 0)</f>
        <v/>
      </c>
      <c r="CI125" s="14" t="n"/>
      <c r="CJ125" s="15" t="n"/>
      <c r="CK125" s="16">
        <f>IFERROR(CI125*CJ125, 0)</f>
        <v/>
      </c>
      <c r="CL125" s="14" t="n"/>
      <c r="CM125" s="15" t="n"/>
      <c r="CN125" s="16">
        <f>IFERROR(CL125*CM125, 0)</f>
        <v/>
      </c>
      <c r="CO125" s="14" t="n"/>
      <c r="CP125" s="15" t="n"/>
      <c r="CQ125" s="16">
        <f>IFERROR(CO125*CP125, 0)</f>
        <v/>
      </c>
      <c r="CR125" s="14" t="n"/>
      <c r="CS125" s="15" t="n"/>
      <c r="CT125" s="16">
        <f>IFERROR(CR125*CS125, 0)</f>
        <v/>
      </c>
      <c r="CU125" s="17">
        <f>IFERROR(SUM(F125,I125,L125,O125,R125,U125,X125,AA125,AD125,AG125,AJ125,AM125,AP125,AS125,AV125,AY125,BB125,BE125,BH125,BK125,BN125,BQ125,BT125,BW125,BZ125,CC125,CF125,CI125,CL125,CO125,CR125), 0)</f>
        <v/>
      </c>
      <c r="CV125" s="16">
        <f>IFERROR(AVERAGE(G125,J125,M125,P125,S125,V125,Y125,AB125,AE125,AH125,AK125,AN125,AQ125,AT125,AW125,AZ125,BC125,BF125,BI125,BL125,BO125,BR125,BU125,BX125,CA125,CD125,CG125,CJ125,CM125,CP125,CS125), 0)</f>
        <v/>
      </c>
      <c r="CW125" s="16">
        <f>CU125*CV125</f>
        <v/>
      </c>
    </row>
    <row r="126" ht="15.75" customHeight="1">
      <c r="A126" s="76" t="inlineStr">
        <is>
          <t>Cuchilla picahielo con anillo de goma</t>
        </is>
      </c>
      <c r="B126" s="21" t="inlineStr">
        <is>
          <t>Und</t>
        </is>
      </c>
      <c r="C126" s="76" t="n"/>
      <c r="D126" s="76" t="n"/>
      <c r="E126" s="78">
        <f>IFERROR(+C126*D126, 0)</f>
        <v/>
      </c>
      <c r="F126" s="14" t="n"/>
      <c r="G126" s="15" t="n"/>
      <c r="H126" s="16">
        <f>IFERROR(F126*G126, 0)</f>
        <v/>
      </c>
      <c r="I126" s="14" t="n"/>
      <c r="J126" s="15" t="n"/>
      <c r="K126" s="16">
        <f>IFERROR(I126*J126, 0)</f>
        <v/>
      </c>
      <c r="L126" s="14" t="n"/>
      <c r="M126" s="15" t="n"/>
      <c r="N126" s="16">
        <f>IFERROR(L126*M126, 0)</f>
        <v/>
      </c>
      <c r="O126" s="14" t="n"/>
      <c r="P126" s="15" t="n"/>
      <c r="Q126" s="16">
        <f>IFERROR(O126*P126, 0)</f>
        <v/>
      </c>
      <c r="R126" s="14" t="n"/>
      <c r="S126" s="15" t="n"/>
      <c r="T126" s="16">
        <f>IFERROR(R126*S126, 0)</f>
        <v/>
      </c>
      <c r="U126" s="14" t="n"/>
      <c r="V126" s="15" t="n"/>
      <c r="W126" s="16">
        <f>IFERROR(U126*V126, 0)</f>
        <v/>
      </c>
      <c r="X126" s="14" t="n"/>
      <c r="Y126" s="15" t="n"/>
      <c r="Z126" s="16">
        <f>IFERROR(X126*Y126, 0)</f>
        <v/>
      </c>
      <c r="AA126" s="14" t="n"/>
      <c r="AB126" s="15" t="n"/>
      <c r="AC126" s="16">
        <f>IFERROR(AA126*AB126, 0)</f>
        <v/>
      </c>
      <c r="AD126" s="14" t="n"/>
      <c r="AE126" s="15" t="n"/>
      <c r="AF126" s="16">
        <f>IFERROR(AD126*AE126, 0)</f>
        <v/>
      </c>
      <c r="AG126" s="14" t="n"/>
      <c r="AH126" s="15" t="n"/>
      <c r="AI126" s="16">
        <f>IFERROR(AG126*AH126, 0)</f>
        <v/>
      </c>
      <c r="AJ126" s="14" t="n"/>
      <c r="AK126" s="15" t="n"/>
      <c r="AL126" s="16">
        <f>IFERROR(AJ126*AK126, 0)</f>
        <v/>
      </c>
      <c r="AM126" s="14" t="n"/>
      <c r="AN126" s="15" t="n"/>
      <c r="AO126" s="16">
        <f>IFERROR(AM126*AN126, 0)</f>
        <v/>
      </c>
      <c r="AP126" s="14" t="n"/>
      <c r="AQ126" s="15" t="n"/>
      <c r="AR126" s="16">
        <f>IFERROR(AP126*AQ126, 0)</f>
        <v/>
      </c>
      <c r="AS126" s="14" t="n"/>
      <c r="AT126" s="15" t="n"/>
      <c r="AU126" s="16">
        <f>IFERROR(AS126*AT126, 0)</f>
        <v/>
      </c>
      <c r="AV126" s="14" t="n"/>
      <c r="AW126" s="15" t="n"/>
      <c r="AX126" s="16">
        <f>IFERROR(AV126*AW126, 0)</f>
        <v/>
      </c>
      <c r="AY126" s="14" t="n"/>
      <c r="AZ126" s="15" t="n"/>
      <c r="BA126" s="16">
        <f>IFERROR(AY126*AZ126, 0)</f>
        <v/>
      </c>
      <c r="BB126" s="14" t="n"/>
      <c r="BC126" s="15" t="n"/>
      <c r="BD126" s="16">
        <f>IFERROR(BB126*BC126, 0)</f>
        <v/>
      </c>
      <c r="BE126" s="14" t="n"/>
      <c r="BF126" s="15" t="n"/>
      <c r="BG126" s="16">
        <f>IFERROR(BE126*BF126, 0)</f>
        <v/>
      </c>
      <c r="BH126" s="14" t="n"/>
      <c r="BI126" s="15" t="n"/>
      <c r="BJ126" s="16">
        <f>IFERROR(BH126*BI126, 0)</f>
        <v/>
      </c>
      <c r="BK126" s="14" t="n"/>
      <c r="BL126" s="15" t="n"/>
      <c r="BM126" s="16">
        <f>IFERROR(BK126*BL126, 0)</f>
        <v/>
      </c>
      <c r="BN126" s="14" t="n"/>
      <c r="BO126" s="15" t="n"/>
      <c r="BP126" s="16">
        <f>IFERROR(BN126*BO126, 0)</f>
        <v/>
      </c>
      <c r="BQ126" s="14" t="n"/>
      <c r="BR126" s="15" t="n"/>
      <c r="BS126" s="16">
        <f>IFERROR(BQ126*BR126, 0)</f>
        <v/>
      </c>
      <c r="BT126" s="14" t="n"/>
      <c r="BU126" s="15" t="n"/>
      <c r="BV126" s="16">
        <f>IFERROR(BT126*BU126, 0)</f>
        <v/>
      </c>
      <c r="BW126" s="14" t="n"/>
      <c r="BX126" s="15" t="n"/>
      <c r="BY126" s="16">
        <f>IFERROR(BW126*BX126, 0)</f>
        <v/>
      </c>
      <c r="BZ126" s="14" t="n"/>
      <c r="CA126" s="15" t="n"/>
      <c r="CB126" s="16">
        <f>IFERROR(BZ126*CA126, 0)</f>
        <v/>
      </c>
      <c r="CC126" s="14" t="n"/>
      <c r="CD126" s="15" t="n"/>
      <c r="CE126" s="16">
        <f>IFERROR(CC126*CD126, 0)</f>
        <v/>
      </c>
      <c r="CF126" s="14" t="n"/>
      <c r="CG126" s="15" t="n"/>
      <c r="CH126" s="16">
        <f>IFERROR(CF126*CG126, 0)</f>
        <v/>
      </c>
      <c r="CI126" s="14" t="n"/>
      <c r="CJ126" s="15" t="n"/>
      <c r="CK126" s="16">
        <f>IFERROR(CI126*CJ126, 0)</f>
        <v/>
      </c>
      <c r="CL126" s="14" t="n"/>
      <c r="CM126" s="15" t="n"/>
      <c r="CN126" s="16">
        <f>IFERROR(CL126*CM126, 0)</f>
        <v/>
      </c>
      <c r="CO126" s="14" t="n"/>
      <c r="CP126" s="15" t="n"/>
      <c r="CQ126" s="16">
        <f>IFERROR(CO126*CP126, 0)</f>
        <v/>
      </c>
      <c r="CR126" s="14" t="n"/>
      <c r="CS126" s="15" t="n"/>
      <c r="CT126" s="16">
        <f>IFERROR(CR126*CS126, 0)</f>
        <v/>
      </c>
      <c r="CU126" s="17">
        <f>IFERROR(SUM(F126,I126,L126,O126,R126,U126,X126,AA126,AD126,AG126,AJ126,AM126,AP126,AS126,AV126,AY126,BB126,BE126,BH126,BK126,BN126,BQ126,BT126,BW126,BZ126,CC126,CF126,CI126,CL126,CO126,CR126), 0)</f>
        <v/>
      </c>
      <c r="CV126" s="16">
        <f>IFERROR(AVERAGE(G126,J126,M126,P126,S126,V126,Y126,AB126,AE126,AH126,AK126,AN126,AQ126,AT126,AW126,AZ126,BC126,BF126,BI126,BL126,BO126,BR126,BU126,BX126,CA126,CD126,CG126,CJ126,CM126,CP126,CS126), 0)</f>
        <v/>
      </c>
      <c r="CW126" s="16">
        <f>CU126*CV126</f>
        <v/>
      </c>
    </row>
    <row r="127" ht="15.75" customHeight="1">
      <c r="A127" s="76" t="inlineStr">
        <is>
          <t>Plato Hondo CAZ 5133</t>
        </is>
      </c>
      <c r="B127" s="21" t="inlineStr">
        <is>
          <t>Und</t>
        </is>
      </c>
      <c r="C127" s="76" t="n"/>
      <c r="D127" s="76" t="n"/>
      <c r="E127" s="78">
        <f>IFERROR(+C127*D127, 0)</f>
        <v/>
      </c>
      <c r="F127" s="14" t="n"/>
      <c r="G127" s="15" t="n"/>
      <c r="H127" s="16">
        <f>IFERROR(F127*G127, 0)</f>
        <v/>
      </c>
      <c r="I127" s="14" t="n"/>
      <c r="J127" s="15" t="n"/>
      <c r="K127" s="16">
        <f>IFERROR(I127*J127, 0)</f>
        <v/>
      </c>
      <c r="L127" s="14" t="n"/>
      <c r="M127" s="15" t="n"/>
      <c r="N127" s="16">
        <f>IFERROR(L127*M127, 0)</f>
        <v/>
      </c>
      <c r="O127" s="14" t="n"/>
      <c r="P127" s="15" t="n"/>
      <c r="Q127" s="16">
        <f>IFERROR(O127*P127, 0)</f>
        <v/>
      </c>
      <c r="R127" s="14" t="n"/>
      <c r="S127" s="15" t="n"/>
      <c r="T127" s="16">
        <f>IFERROR(R127*S127, 0)</f>
        <v/>
      </c>
      <c r="U127" s="14" t="n"/>
      <c r="V127" s="15" t="n"/>
      <c r="W127" s="16">
        <f>IFERROR(U127*V127, 0)</f>
        <v/>
      </c>
      <c r="X127" s="14" t="n"/>
      <c r="Y127" s="15" t="n"/>
      <c r="Z127" s="16">
        <f>IFERROR(X127*Y127, 0)</f>
        <v/>
      </c>
      <c r="AA127" s="14" t="n">
        <v>72</v>
      </c>
      <c r="AB127" s="15" t="n">
        <v>7500</v>
      </c>
      <c r="AC127" s="16" t="n">
        <v>540000</v>
      </c>
      <c r="AD127" s="14" t="n"/>
      <c r="AE127" s="15" t="n"/>
      <c r="AF127" s="16">
        <f>IFERROR(AD127*AE127, 0)</f>
        <v/>
      </c>
      <c r="AG127" s="14" t="n"/>
      <c r="AH127" s="15" t="n"/>
      <c r="AI127" s="16">
        <f>IFERROR(AG127*AH127, 0)</f>
        <v/>
      </c>
      <c r="AJ127" s="14" t="n"/>
      <c r="AK127" s="15" t="n"/>
      <c r="AL127" s="16">
        <f>IFERROR(AJ127*AK127, 0)</f>
        <v/>
      </c>
      <c r="AM127" s="14" t="n"/>
      <c r="AN127" s="15" t="n"/>
      <c r="AO127" s="16">
        <f>IFERROR(AM127*AN127, 0)</f>
        <v/>
      </c>
      <c r="AP127" s="14" t="n"/>
      <c r="AQ127" s="15" t="n"/>
      <c r="AR127" s="16">
        <f>IFERROR(AP127*AQ127, 0)</f>
        <v/>
      </c>
      <c r="AS127" s="14" t="n"/>
      <c r="AT127" s="15" t="n"/>
      <c r="AU127" s="16">
        <f>IFERROR(AS127*AT127, 0)</f>
        <v/>
      </c>
      <c r="AV127" s="14" t="n"/>
      <c r="AW127" s="15" t="n"/>
      <c r="AX127" s="16">
        <f>IFERROR(AV127*AW127, 0)</f>
        <v/>
      </c>
      <c r="AY127" s="14" t="n"/>
      <c r="AZ127" s="15" t="n"/>
      <c r="BA127" s="16">
        <f>IFERROR(AY127*AZ127, 0)</f>
        <v/>
      </c>
      <c r="BB127" s="14" t="n"/>
      <c r="BC127" s="15" t="n"/>
      <c r="BD127" s="16">
        <f>IFERROR(BB127*BC127, 0)</f>
        <v/>
      </c>
      <c r="BE127" s="14" t="n"/>
      <c r="BF127" s="15" t="n"/>
      <c r="BG127" s="16">
        <f>IFERROR(BE127*BF127, 0)</f>
        <v/>
      </c>
      <c r="BH127" s="14" t="n"/>
      <c r="BI127" s="15" t="n"/>
      <c r="BJ127" s="16">
        <f>IFERROR(BH127*BI127, 0)</f>
        <v/>
      </c>
      <c r="BK127" s="14" t="n"/>
      <c r="BL127" s="15" t="n"/>
      <c r="BM127" s="16">
        <f>IFERROR(BK127*BL127, 0)</f>
        <v/>
      </c>
      <c r="BN127" s="14" t="n"/>
      <c r="BO127" s="15" t="n"/>
      <c r="BP127" s="16">
        <f>IFERROR(BN127*BO127, 0)</f>
        <v/>
      </c>
      <c r="BQ127" s="14" t="n"/>
      <c r="BR127" s="15" t="n"/>
      <c r="BS127" s="16">
        <f>IFERROR(BQ127*BR127, 0)</f>
        <v/>
      </c>
      <c r="BT127" s="14" t="n"/>
      <c r="BU127" s="15" t="n"/>
      <c r="BV127" s="16">
        <f>IFERROR(BT127*BU127, 0)</f>
        <v/>
      </c>
      <c r="BW127" s="14" t="n"/>
      <c r="BX127" s="15" t="n"/>
      <c r="BY127" s="16">
        <f>IFERROR(BW127*BX127, 0)</f>
        <v/>
      </c>
      <c r="BZ127" s="14" t="n"/>
      <c r="CA127" s="15" t="n"/>
      <c r="CB127" s="16">
        <f>IFERROR(BZ127*CA127, 0)</f>
        <v/>
      </c>
      <c r="CC127" s="14" t="n"/>
      <c r="CD127" s="15" t="n"/>
      <c r="CE127" s="16">
        <f>IFERROR(CC127*CD127, 0)</f>
        <v/>
      </c>
      <c r="CF127" s="14" t="n"/>
      <c r="CG127" s="15" t="n"/>
      <c r="CH127" s="16">
        <f>IFERROR(CF127*CG127, 0)</f>
        <v/>
      </c>
      <c r="CI127" s="14" t="n"/>
      <c r="CJ127" s="15" t="n"/>
      <c r="CK127" s="16">
        <f>IFERROR(CI127*CJ127, 0)</f>
        <v/>
      </c>
      <c r="CL127" s="14" t="n"/>
      <c r="CM127" s="15" t="n"/>
      <c r="CN127" s="16">
        <f>IFERROR(CL127*CM127, 0)</f>
        <v/>
      </c>
      <c r="CO127" s="14" t="n"/>
      <c r="CP127" s="15" t="n"/>
      <c r="CQ127" s="16">
        <f>IFERROR(CO127*CP127, 0)</f>
        <v/>
      </c>
      <c r="CR127" s="14" t="n"/>
      <c r="CS127" s="15" t="n"/>
      <c r="CT127" s="16">
        <f>IFERROR(CR127*CS127, 0)</f>
        <v/>
      </c>
      <c r="CU127" s="17">
        <f>IFERROR(SUM(F127,I127,L127,O127,R127,U127,X127,AA127,AD127,AG127,AJ127,AM127,AP127,AS127,AV127,AY127,BB127,BE127,BH127,BK127,BN127,BQ127,BT127,BW127,BZ127,CC127,CF127,CI127,CL127,CO127,CR127), 0)</f>
        <v/>
      </c>
      <c r="CV127" s="16">
        <f>IFERROR(AVERAGE(G127,J127,M127,P127,S127,V127,Y127,AB127,AE127,AH127,AK127,AN127,AQ127,AT127,AW127,AZ127,BC127,BF127,BI127,BL127,BO127,BR127,BU127,BX127,CA127,CD127,CG127,CJ127,CM127,CP127,CS127), 0)</f>
        <v/>
      </c>
      <c r="CW127" s="16">
        <f>CU127*CV127</f>
        <v/>
      </c>
    </row>
    <row r="128" ht="15.75" customHeight="1">
      <c r="A128" s="21" t="inlineStr">
        <is>
          <t>Aji</t>
        </is>
      </c>
      <c r="B128" s="21" t="inlineStr">
        <is>
          <t>Und</t>
        </is>
      </c>
      <c r="C128" s="21" t="n"/>
      <c r="D128" s="21" t="n"/>
      <c r="E128" s="78">
        <f>IFERROR(+C128*D128, 0)</f>
        <v/>
      </c>
      <c r="F128" s="14" t="n"/>
      <c r="G128" s="15" t="n"/>
      <c r="H128" s="16">
        <f>IFERROR(F128*G128, 0)</f>
        <v/>
      </c>
      <c r="I128" s="14" t="n">
        <v>1</v>
      </c>
      <c r="J128" s="15" t="n">
        <v>10500</v>
      </c>
      <c r="K128" s="16" t="n">
        <v>10500</v>
      </c>
      <c r="L128" s="14" t="n"/>
      <c r="M128" s="15" t="n"/>
      <c r="N128" s="16">
        <f>IFERROR(L128*M128, 0)</f>
        <v/>
      </c>
      <c r="O128" s="14" t="n"/>
      <c r="P128" s="15" t="n"/>
      <c r="Q128" s="16">
        <f>IFERROR(O128*P128, 0)</f>
        <v/>
      </c>
      <c r="R128" s="14" t="n"/>
      <c r="S128" s="15" t="n"/>
      <c r="T128" s="16">
        <f>IFERROR(R128*S128, 0)</f>
        <v/>
      </c>
      <c r="U128" s="14" t="n"/>
      <c r="V128" s="15" t="n"/>
      <c r="W128" s="16">
        <f>IFERROR(U128*V128, 0)</f>
        <v/>
      </c>
      <c r="X128" s="14" t="n"/>
      <c r="Y128" s="15" t="n"/>
      <c r="Z128" s="16">
        <f>IFERROR(X128*Y128, 0)</f>
        <v/>
      </c>
      <c r="AA128" s="14" t="n"/>
      <c r="AB128" s="15" t="n"/>
      <c r="AC128" s="16">
        <f>IFERROR(AA128*AB128, 0)</f>
        <v/>
      </c>
      <c r="AD128" s="14" t="n"/>
      <c r="AE128" s="15" t="n"/>
      <c r="AF128" s="16">
        <f>IFERROR(AD128*AE128, 0)</f>
        <v/>
      </c>
      <c r="AG128" s="14" t="n"/>
      <c r="AH128" s="15" t="n"/>
      <c r="AI128" s="16">
        <f>IFERROR(AG128*AH128, 0)</f>
        <v/>
      </c>
      <c r="AJ128" s="14" t="n"/>
      <c r="AK128" s="15" t="n"/>
      <c r="AL128" s="16">
        <f>IFERROR(AJ128*AK128, 0)</f>
        <v/>
      </c>
      <c r="AM128" s="14" t="n"/>
      <c r="AN128" s="15" t="n"/>
      <c r="AO128" s="16">
        <f>IFERROR(AM128*AN128, 0)</f>
        <v/>
      </c>
      <c r="AP128" s="14" t="n"/>
      <c r="AQ128" s="15" t="n"/>
      <c r="AR128" s="16">
        <f>IFERROR(AP128*AQ128, 0)</f>
        <v/>
      </c>
      <c r="AS128" s="14" t="n">
        <v>2</v>
      </c>
      <c r="AT128" s="15" t="n">
        <v>4700</v>
      </c>
      <c r="AU128" s="16" t="n">
        <v>9400</v>
      </c>
      <c r="AV128" s="14" t="n"/>
      <c r="AW128" s="15" t="n"/>
      <c r="AX128" s="16">
        <f>IFERROR(AV128*AW128, 0)</f>
        <v/>
      </c>
      <c r="AY128" s="14" t="n"/>
      <c r="AZ128" s="15" t="n"/>
      <c r="BA128" s="16">
        <f>IFERROR(AY128*AZ128, 0)</f>
        <v/>
      </c>
      <c r="BB128" s="14" t="n"/>
      <c r="BC128" s="15" t="n"/>
      <c r="BD128" s="16">
        <f>IFERROR(BB128*BC128, 0)</f>
        <v/>
      </c>
      <c r="BE128" s="14" t="n"/>
      <c r="BF128" s="15" t="n"/>
      <c r="BG128" s="16">
        <f>IFERROR(BE128*BF128, 0)</f>
        <v/>
      </c>
      <c r="BH128" s="14" t="n"/>
      <c r="BI128" s="15" t="n"/>
      <c r="BJ128" s="16">
        <f>IFERROR(BH128*BI128, 0)</f>
        <v/>
      </c>
      <c r="BK128" s="14" t="n"/>
      <c r="BL128" s="15" t="n"/>
      <c r="BM128" s="16">
        <f>IFERROR(BK128*BL128, 0)</f>
        <v/>
      </c>
      <c r="BN128" s="14" t="n">
        <v>3</v>
      </c>
      <c r="BO128" s="15" t="n">
        <v>3000</v>
      </c>
      <c r="BP128" s="16" t="n">
        <v>9000</v>
      </c>
      <c r="BQ128" s="14" t="n"/>
      <c r="BR128" s="15" t="n"/>
      <c r="BS128" s="16">
        <f>IFERROR(BQ128*BR128, 0)</f>
        <v/>
      </c>
      <c r="BT128" s="14" t="n"/>
      <c r="BU128" s="15" t="n"/>
      <c r="BV128" s="16">
        <f>IFERROR(BT128*BU128, 0)</f>
        <v/>
      </c>
      <c r="BW128" s="14" t="n"/>
      <c r="BX128" s="15" t="n"/>
      <c r="BY128" s="16">
        <f>IFERROR(BW128*BX128, 0)</f>
        <v/>
      </c>
      <c r="BZ128" s="14" t="n"/>
      <c r="CA128" s="15" t="n"/>
      <c r="CB128" s="16">
        <f>IFERROR(BZ128*CA128, 0)</f>
        <v/>
      </c>
      <c r="CC128" s="14" t="n"/>
      <c r="CD128" s="15" t="n"/>
      <c r="CE128" s="16">
        <f>IFERROR(CC128*CD128, 0)</f>
        <v/>
      </c>
      <c r="CF128" s="14" t="n"/>
      <c r="CG128" s="15" t="n"/>
      <c r="CH128" s="16">
        <f>IFERROR(CF128*CG128, 0)</f>
        <v/>
      </c>
      <c r="CI128" s="14" t="n"/>
      <c r="CJ128" s="15" t="n"/>
      <c r="CK128" s="16">
        <f>IFERROR(CI128*CJ128, 0)</f>
        <v/>
      </c>
      <c r="CL128" s="14" t="n"/>
      <c r="CM128" s="15" t="n"/>
      <c r="CN128" s="16">
        <f>IFERROR(CL128*CM128, 0)</f>
        <v/>
      </c>
      <c r="CO128" s="14" t="n"/>
      <c r="CP128" s="15" t="n"/>
      <c r="CQ128" s="16">
        <f>IFERROR(CO128*CP128, 0)</f>
        <v/>
      </c>
      <c r="CR128" s="14" t="n"/>
      <c r="CS128" s="15" t="n"/>
      <c r="CT128" s="16">
        <f>IFERROR(CR128*CS128, 0)</f>
        <v/>
      </c>
      <c r="CU128" s="17">
        <f>IFERROR(SUM(F128,I128,L128,O128,R128,U128,X128,AA128,AD128,AG128,AJ128,AM128,AP128,AS128,AV128,AY128,BB128,BE128,BH128,BK128,BN128,BQ128,BT128,BW128,BZ128,CC128,CF128,CI128,CL128,CO128,CR128), 0)</f>
        <v/>
      </c>
      <c r="CV128" s="16">
        <f>IFERROR(AVERAGE(G128,J128,M128,P128,S128,V128,Y128,AB128,AE128,AH128,AK128,AN128,AQ128,AT128,AW128,AZ128,BC128,BF128,BI128,BL128,BO128,BR128,BU128,BX128,CA128,CD128,CG128,CJ128,CM128,CP128,CS128), 0)</f>
        <v/>
      </c>
      <c r="CW128" s="16">
        <f>CU128*CV128</f>
        <v/>
      </c>
      <c r="CX128" s="82" t="n"/>
    </row>
    <row r="129" ht="15.75" customHeight="1">
      <c r="A129" s="21" t="inlineStr">
        <is>
          <t>Detergente</t>
        </is>
      </c>
      <c r="B129" s="21" t="inlineStr">
        <is>
          <t>Und</t>
        </is>
      </c>
      <c r="C129" s="21" t="n"/>
      <c r="D129" s="21" t="n"/>
      <c r="E129" s="78">
        <f>IFERROR(+C129*D129, 0)</f>
        <v/>
      </c>
      <c r="F129" s="14" t="n">
        <v>1</v>
      </c>
      <c r="G129" s="15" t="n">
        <v>19300</v>
      </c>
      <c r="H129" s="16" t="n">
        <v>19300</v>
      </c>
      <c r="I129" s="14" t="n"/>
      <c r="J129" s="15" t="n"/>
      <c r="K129" s="16">
        <f>IFERROR(I129*J129, 0)</f>
        <v/>
      </c>
      <c r="L129" s="14" t="n"/>
      <c r="M129" s="15" t="n"/>
      <c r="N129" s="16">
        <f>IFERROR(L129*M129, 0)</f>
        <v/>
      </c>
      <c r="O129" s="14" t="n"/>
      <c r="P129" s="15" t="n"/>
      <c r="Q129" s="16">
        <f>IFERROR(O129*P129, 0)</f>
        <v/>
      </c>
      <c r="R129" s="14" t="n"/>
      <c r="S129" s="15" t="n"/>
      <c r="T129" s="16">
        <f>IFERROR(R129*S129, 0)</f>
        <v/>
      </c>
      <c r="U129" s="14" t="n"/>
      <c r="V129" s="15" t="n"/>
      <c r="W129" s="16">
        <f>IFERROR(U129*V129, 0)</f>
        <v/>
      </c>
      <c r="X129" s="14" t="n">
        <v>3</v>
      </c>
      <c r="Y129" s="15" t="n">
        <v>19900</v>
      </c>
      <c r="Z129" s="16" t="n">
        <v>305300</v>
      </c>
      <c r="AA129" s="14" t="n"/>
      <c r="AB129" s="15" t="n"/>
      <c r="AC129" s="16">
        <f>IFERROR(AA129*AB129, 0)</f>
        <v/>
      </c>
      <c r="AD129" s="14" t="n"/>
      <c r="AE129" s="15" t="n"/>
      <c r="AF129" s="16">
        <f>IFERROR(AD129*AE129, 0)</f>
        <v/>
      </c>
      <c r="AG129" s="14" t="n"/>
      <c r="AH129" s="15" t="n"/>
      <c r="AI129" s="16">
        <f>IFERROR(AG129*AH129, 0)</f>
        <v/>
      </c>
      <c r="AJ129" s="14" t="n"/>
      <c r="AK129" s="15" t="n"/>
      <c r="AL129" s="16">
        <f>IFERROR(AJ129*AK129, 0)</f>
        <v/>
      </c>
      <c r="AM129" s="14" t="n"/>
      <c r="AN129" s="15" t="n"/>
      <c r="AO129" s="16">
        <f>IFERROR(AM129*AN129, 0)</f>
        <v/>
      </c>
      <c r="AP129" s="14" t="n"/>
      <c r="AQ129" s="15" t="n"/>
      <c r="AR129" s="16">
        <f>IFERROR(AP129*AQ129, 0)</f>
        <v/>
      </c>
      <c r="AS129" s="14" t="n">
        <v>1</v>
      </c>
      <c r="AT129" s="15" t="n">
        <v>21200</v>
      </c>
      <c r="AU129" s="16" t="n">
        <v>21200</v>
      </c>
      <c r="AV129" s="14" t="n"/>
      <c r="AW129" s="15" t="n"/>
      <c r="AX129" s="16">
        <f>IFERROR(AV129*AW129, 0)</f>
        <v/>
      </c>
      <c r="AY129" s="14" t="n"/>
      <c r="AZ129" s="15" t="n"/>
      <c r="BA129" s="16">
        <f>IFERROR(AY129*AZ129, 0)</f>
        <v/>
      </c>
      <c r="BB129" s="14" t="n"/>
      <c r="BC129" s="15" t="n"/>
      <c r="BD129" s="16">
        <f>IFERROR(BB129*BC129, 0)</f>
        <v/>
      </c>
      <c r="BE129" s="14" t="n"/>
      <c r="BF129" s="15" t="n"/>
      <c r="BG129" s="16">
        <f>IFERROR(BE129*BF129, 0)</f>
        <v/>
      </c>
      <c r="BH129" s="14" t="n"/>
      <c r="BI129" s="15" t="n"/>
      <c r="BJ129" s="16">
        <f>IFERROR(BH129*BI129, 0)</f>
        <v/>
      </c>
      <c r="BK129" s="14" t="n"/>
      <c r="BL129" s="15" t="n"/>
      <c r="BM129" s="16">
        <f>IFERROR(BK129*BL129, 0)</f>
        <v/>
      </c>
      <c r="BN129" s="14" t="n"/>
      <c r="BO129" s="15" t="n"/>
      <c r="BP129" s="16">
        <f>IFERROR(BN129*BO129, 0)</f>
        <v/>
      </c>
      <c r="BQ129" s="14" t="n"/>
      <c r="BR129" s="15" t="n"/>
      <c r="BS129" s="16">
        <f>IFERROR(BQ129*BR129, 0)</f>
        <v/>
      </c>
      <c r="BT129" s="14" t="n"/>
      <c r="BU129" s="15" t="n"/>
      <c r="BV129" s="16">
        <f>IFERROR(BT129*BU129, 0)</f>
        <v/>
      </c>
      <c r="BW129" s="14" t="n"/>
      <c r="BX129" s="15" t="n"/>
      <c r="BY129" s="16">
        <f>IFERROR(BW129*BX129, 0)</f>
        <v/>
      </c>
      <c r="BZ129" s="14" t="n"/>
      <c r="CA129" s="15" t="n"/>
      <c r="CB129" s="16">
        <f>IFERROR(BZ129*CA129, 0)</f>
        <v/>
      </c>
      <c r="CC129" s="14" t="n"/>
      <c r="CD129" s="15" t="n"/>
      <c r="CE129" s="16">
        <f>IFERROR(CC129*CD129, 0)</f>
        <v/>
      </c>
      <c r="CF129" s="14" t="n"/>
      <c r="CG129" s="15" t="n"/>
      <c r="CH129" s="16">
        <f>IFERROR(CF129*CG129, 0)</f>
        <v/>
      </c>
      <c r="CI129" s="14" t="n"/>
      <c r="CJ129" s="15" t="n"/>
      <c r="CK129" s="16">
        <f>IFERROR(CI129*CJ129, 0)</f>
        <v/>
      </c>
      <c r="CL129" s="14" t="n"/>
      <c r="CM129" s="15" t="n"/>
      <c r="CN129" s="16">
        <f>IFERROR(CL129*CM129, 0)</f>
        <v/>
      </c>
      <c r="CO129" s="14" t="n"/>
      <c r="CP129" s="15" t="n"/>
      <c r="CQ129" s="16">
        <f>IFERROR(CO129*CP129, 0)</f>
        <v/>
      </c>
      <c r="CR129" s="14" t="n"/>
      <c r="CS129" s="15" t="n"/>
      <c r="CT129" s="16">
        <f>IFERROR(CR129*CS129, 0)</f>
        <v/>
      </c>
      <c r="CU129" s="17">
        <f>IFERROR(SUM(F129,I129,L129,O129,R129,U129,X129,AA129,AD129,AG129,AJ129,AM129,AP129,AS129,AV129,AY129,BB129,BE129,BH129,BK129,BN129,BQ129,BT129,BW129,BZ129,CC129,CF129,CI129,CL129,CO129,CR129), 0)</f>
        <v/>
      </c>
      <c r="CV129" s="16">
        <f>IFERROR(AVERAGE(G129,J129,M129,P129,S129,V129,Y129,AB129,AE129,AH129,AK129,AN129,AQ129,AT129,AW129,AZ129,BC129,BF129,BI129,BL129,BO129,BR129,BU129,BX129,CA129,CD129,CG129,CJ129,CM129,CP129,CS129), 0)</f>
        <v/>
      </c>
      <c r="CW129" s="16">
        <f>CU129*CV129</f>
        <v/>
      </c>
      <c r="CX129" s="82" t="n"/>
    </row>
    <row r="130" ht="15.75" customHeight="1">
      <c r="A130" s="41" t="inlineStr">
        <is>
          <t>Mazamorra</t>
        </is>
      </c>
      <c r="B130" s="41" t="inlineStr">
        <is>
          <t>Und</t>
        </is>
      </c>
      <c r="C130" s="42" t="n"/>
      <c r="D130" s="43" t="n"/>
      <c r="E130" s="78">
        <f>IFERROR(+C130*D130, 0)</f>
        <v/>
      </c>
      <c r="F130" s="14" t="n">
        <v>1</v>
      </c>
      <c r="G130" s="15" t="n">
        <v>25000</v>
      </c>
      <c r="H130" s="16" t="n">
        <v>25000</v>
      </c>
      <c r="I130" s="14" t="n"/>
      <c r="J130" s="15" t="n"/>
      <c r="K130" s="16">
        <f>IFERROR(I130*J130, 0)</f>
        <v/>
      </c>
      <c r="L130" s="14" t="n">
        <v>1</v>
      </c>
      <c r="M130" s="15" t="n">
        <v>25000</v>
      </c>
      <c r="N130" s="16" t="n">
        <v>25000</v>
      </c>
      <c r="O130" s="14" t="n"/>
      <c r="P130" s="15" t="n"/>
      <c r="Q130" s="16">
        <f>IFERROR(O130*P130, 0)</f>
        <v/>
      </c>
      <c r="R130" s="14" t="n">
        <v>1</v>
      </c>
      <c r="S130" s="15" t="n">
        <v>20000</v>
      </c>
      <c r="T130" s="16" t="n">
        <v>20000</v>
      </c>
      <c r="U130" s="14" t="n"/>
      <c r="V130" s="15" t="n"/>
      <c r="W130" s="16">
        <f>IFERROR(U130*V130, 0)</f>
        <v/>
      </c>
      <c r="X130" s="14" t="n"/>
      <c r="Y130" s="15" t="n"/>
      <c r="Z130" s="16">
        <f>IFERROR(X130*Y130, 0)</f>
        <v/>
      </c>
      <c r="AA130" s="14" t="n">
        <v>1</v>
      </c>
      <c r="AB130" s="15" t="n">
        <v>25000</v>
      </c>
      <c r="AC130" s="16" t="n">
        <v>25000</v>
      </c>
      <c r="AD130" s="14" t="n"/>
      <c r="AE130" s="15" t="n"/>
      <c r="AF130" s="16">
        <f>IFERROR(AD130*AE130, 0)</f>
        <v/>
      </c>
      <c r="AG130" s="14" t="n"/>
      <c r="AH130" s="15" t="n"/>
      <c r="AI130" s="16">
        <f>IFERROR(AG130*AH130, 0)</f>
        <v/>
      </c>
      <c r="AJ130" s="14" t="n">
        <v>1</v>
      </c>
      <c r="AK130" s="15" t="n">
        <v>25000</v>
      </c>
      <c r="AL130" s="16" t="n">
        <v>25000</v>
      </c>
      <c r="AM130" s="14" t="n"/>
      <c r="AN130" s="15" t="n"/>
      <c r="AO130" s="16">
        <f>IFERROR(AM130*AN130, 0)</f>
        <v/>
      </c>
      <c r="AP130" s="14" t="n">
        <v>1</v>
      </c>
      <c r="AQ130" s="15" t="n">
        <v>25000</v>
      </c>
      <c r="AR130" s="16" t="n">
        <v>25000</v>
      </c>
      <c r="AS130" s="14" t="n"/>
      <c r="AT130" s="15" t="n"/>
      <c r="AU130" s="16">
        <f>IFERROR(AS130*AT130, 0)</f>
        <v/>
      </c>
      <c r="AV130" s="14" t="n"/>
      <c r="AW130" s="15" t="n"/>
      <c r="AX130" s="16">
        <f>IFERROR(AV130*AW130, 0)</f>
        <v/>
      </c>
      <c r="AY130" s="14" t="n"/>
      <c r="AZ130" s="15" t="n"/>
      <c r="BA130" s="16">
        <f>IFERROR(AY130*AZ130, 0)</f>
        <v/>
      </c>
      <c r="BB130" s="14" t="n">
        <v>1</v>
      </c>
      <c r="BC130" s="15" t="n">
        <v>70000</v>
      </c>
      <c r="BD130" s="16" t="n">
        <v>70000</v>
      </c>
      <c r="BE130" s="14" t="n">
        <v>1</v>
      </c>
      <c r="BF130" s="15" t="n">
        <v>25000</v>
      </c>
      <c r="BG130" s="16" t="n">
        <v>25000</v>
      </c>
      <c r="BH130" s="14" t="n">
        <v>1</v>
      </c>
      <c r="BI130" s="15" t="n">
        <v>25000</v>
      </c>
      <c r="BJ130" s="16" t="n">
        <v>25000</v>
      </c>
      <c r="BK130" s="14" t="n"/>
      <c r="BL130" s="15" t="n"/>
      <c r="BM130" s="16">
        <f>IFERROR(BK130*BL130, 0)</f>
        <v/>
      </c>
      <c r="BN130" s="14" t="n"/>
      <c r="BO130" s="15" t="n"/>
      <c r="BP130" s="16">
        <f>IFERROR(BN130*BO130, 0)</f>
        <v/>
      </c>
      <c r="BQ130" s="14" t="n"/>
      <c r="BR130" s="15" t="n"/>
      <c r="BS130" s="16">
        <f>IFERROR(BQ130*BR130, 0)</f>
        <v/>
      </c>
      <c r="BT130" s="14" t="n"/>
      <c r="BU130" s="15" t="n"/>
      <c r="BV130" s="16">
        <f>IFERROR(BT130*BU130, 0)</f>
        <v/>
      </c>
      <c r="BW130" s="14" t="n">
        <v>1</v>
      </c>
      <c r="BX130" s="15" t="n">
        <v>20000</v>
      </c>
      <c r="BY130" s="16" t="n">
        <v>20000</v>
      </c>
      <c r="BZ130" s="14" t="n"/>
      <c r="CA130" s="15" t="n"/>
      <c r="CB130" s="16">
        <f>IFERROR(BZ130*CA130, 0)</f>
        <v/>
      </c>
      <c r="CC130" s="14" t="n"/>
      <c r="CD130" s="15" t="n"/>
      <c r="CE130" s="16">
        <f>IFERROR(CC130*CD130, 0)</f>
        <v/>
      </c>
      <c r="CF130" s="14" t="n"/>
      <c r="CG130" s="15" t="n"/>
      <c r="CH130" s="16">
        <f>IFERROR(CF130*CG130, 0)</f>
        <v/>
      </c>
      <c r="CI130" s="14" t="n"/>
      <c r="CJ130" s="15" t="n"/>
      <c r="CK130" s="16">
        <f>IFERROR(CI130*CJ130, 0)</f>
        <v/>
      </c>
      <c r="CL130" s="14" t="n"/>
      <c r="CM130" s="15" t="n"/>
      <c r="CN130" s="16">
        <f>IFERROR(CL130*CM130, 0)</f>
        <v/>
      </c>
      <c r="CO130" s="14" t="n"/>
      <c r="CP130" s="15" t="n"/>
      <c r="CQ130" s="16">
        <f>IFERROR(CO130*CP130, 0)</f>
        <v/>
      </c>
      <c r="CR130" s="14" t="n"/>
      <c r="CS130" s="15" t="n"/>
      <c r="CT130" s="16">
        <f>IFERROR(CR130*CS130, 0)</f>
        <v/>
      </c>
      <c r="CU130" s="17">
        <f>IFERROR(SUM(F130,I130,L130,O130,R130,U130,X130,AA130,AD130,AG130,AJ130,AM130,AP130,AS130,AV130,AY130,BB130,BE130,BH130,BK130,BN130,BQ130,BT130,BW130,BZ130,CC130,CF130,CI130,CL130,CO130,CR130), 0)</f>
        <v/>
      </c>
      <c r="CV130" s="16">
        <f>IFERROR(AVERAGE(G130,J130,M130,P130,S130,V130,Y130,AB130,AE130,AH130,AK130,AN130,AQ130,AT130,AW130,AZ130,BC130,BF130,BI130,BL130,BO130,BR130,BU130,BX130,CA130,CD130,CG130,CJ130,CM130,CP130,CS130), 0)</f>
        <v/>
      </c>
      <c r="CW130" s="16">
        <f>CU130*CV130</f>
        <v/>
      </c>
    </row>
    <row r="131" ht="15.75" customHeight="1">
      <c r="A131" s="41" t="inlineStr">
        <is>
          <t>Guasca</t>
        </is>
      </c>
      <c r="B131" s="41" t="inlineStr">
        <is>
          <t>Und</t>
        </is>
      </c>
      <c r="C131" s="42" t="n"/>
      <c r="D131" s="43" t="n"/>
      <c r="E131" s="78">
        <f>IFERROR(+C131*D131, 0)</f>
        <v/>
      </c>
      <c r="F131" s="14" t="n"/>
      <c r="G131" s="15" t="n"/>
      <c r="H131" s="16">
        <f>IFERROR(F131*G131, 0)</f>
        <v/>
      </c>
      <c r="I131" s="14" t="n"/>
      <c r="J131" s="15" t="n"/>
      <c r="K131" s="16">
        <f>IFERROR(I131*J131, 0)</f>
        <v/>
      </c>
      <c r="L131" s="14" t="n"/>
      <c r="M131" s="15" t="n"/>
      <c r="N131" s="16">
        <f>IFERROR(L131*M131, 0)</f>
        <v/>
      </c>
      <c r="O131" s="14" t="n"/>
      <c r="P131" s="15" t="n"/>
      <c r="Q131" s="16">
        <f>IFERROR(O131*P131, 0)</f>
        <v/>
      </c>
      <c r="R131" s="14" t="n"/>
      <c r="S131" s="15" t="n"/>
      <c r="T131" s="16">
        <f>IFERROR(R131*S131, 0)</f>
        <v/>
      </c>
      <c r="U131" s="14" t="n"/>
      <c r="V131" s="15" t="n"/>
      <c r="W131" s="16">
        <f>IFERROR(U131*V131, 0)</f>
        <v/>
      </c>
      <c r="X131" s="14" t="n"/>
      <c r="Y131" s="15" t="n"/>
      <c r="Z131" s="16">
        <f>IFERROR(X131*Y131, 0)</f>
        <v/>
      </c>
      <c r="AA131" s="14" t="n"/>
      <c r="AB131" s="15" t="n"/>
      <c r="AC131" s="16">
        <f>IFERROR(AA131*AB131, 0)</f>
        <v/>
      </c>
      <c r="AD131" s="14" t="n"/>
      <c r="AE131" s="15" t="n"/>
      <c r="AF131" s="16">
        <f>IFERROR(AD131*AE131, 0)</f>
        <v/>
      </c>
      <c r="AG131" s="14" t="n"/>
      <c r="AH131" s="15" t="n"/>
      <c r="AI131" s="16">
        <f>IFERROR(AG131*AH131, 0)</f>
        <v/>
      </c>
      <c r="AJ131" s="14" t="n"/>
      <c r="AK131" s="15" t="n"/>
      <c r="AL131" s="16">
        <f>IFERROR(AJ131*AK131, 0)</f>
        <v/>
      </c>
      <c r="AM131" s="14" t="n"/>
      <c r="AN131" s="15" t="n"/>
      <c r="AO131" s="16">
        <f>IFERROR(AM131*AN131, 0)</f>
        <v/>
      </c>
      <c r="AP131" s="14" t="n"/>
      <c r="AQ131" s="15" t="n"/>
      <c r="AR131" s="16">
        <f>IFERROR(AP131*AQ131, 0)</f>
        <v/>
      </c>
      <c r="AS131" s="14" t="n"/>
      <c r="AT131" s="15" t="n"/>
      <c r="AU131" s="16">
        <f>IFERROR(AS131*AT131, 0)</f>
        <v/>
      </c>
      <c r="AV131" s="14" t="n"/>
      <c r="AW131" s="15" t="n"/>
      <c r="AX131" s="16">
        <f>IFERROR(AV131*AW131, 0)</f>
        <v/>
      </c>
      <c r="AY131" s="14" t="n"/>
      <c r="AZ131" s="15" t="n"/>
      <c r="BA131" s="16">
        <f>IFERROR(AY131*AZ131, 0)</f>
        <v/>
      </c>
      <c r="BB131" s="14" t="n"/>
      <c r="BC131" s="15" t="n"/>
      <c r="BD131" s="16">
        <f>IFERROR(BB131*BC131, 0)</f>
        <v/>
      </c>
      <c r="BE131" s="14" t="n"/>
      <c r="BF131" s="15" t="n"/>
      <c r="BG131" s="16">
        <f>IFERROR(BE131*BF131, 0)</f>
        <v/>
      </c>
      <c r="BH131" s="14" t="n"/>
      <c r="BI131" s="15" t="n"/>
      <c r="BJ131" s="16">
        <f>IFERROR(BH131*BI131, 0)</f>
        <v/>
      </c>
      <c r="BK131" s="14" t="n"/>
      <c r="BL131" s="15" t="n"/>
      <c r="BM131" s="16">
        <f>IFERROR(BK131*BL131, 0)</f>
        <v/>
      </c>
      <c r="BN131" s="14" t="n"/>
      <c r="BO131" s="15" t="n"/>
      <c r="BP131" s="16">
        <f>IFERROR(BN131*BO131, 0)</f>
        <v/>
      </c>
      <c r="BQ131" s="14" t="n"/>
      <c r="BR131" s="15" t="n"/>
      <c r="BS131" s="16">
        <f>IFERROR(BQ131*BR131, 0)</f>
        <v/>
      </c>
      <c r="BT131" s="14" t="n"/>
      <c r="BU131" s="15" t="n"/>
      <c r="BV131" s="16">
        <f>IFERROR(BT131*BU131, 0)</f>
        <v/>
      </c>
      <c r="BW131" s="14" t="n"/>
      <c r="BX131" s="15" t="n"/>
      <c r="BY131" s="16">
        <f>IFERROR(BW131*BX131, 0)</f>
        <v/>
      </c>
      <c r="BZ131" s="14" t="n"/>
      <c r="CA131" s="15" t="n"/>
      <c r="CB131" s="16">
        <f>IFERROR(BZ131*CA131, 0)</f>
        <v/>
      </c>
      <c r="CC131" s="14" t="n"/>
      <c r="CD131" s="15" t="n"/>
      <c r="CE131" s="16">
        <f>IFERROR(CC131*CD131, 0)</f>
        <v/>
      </c>
      <c r="CF131" s="14" t="n"/>
      <c r="CG131" s="15" t="n"/>
      <c r="CH131" s="16">
        <f>IFERROR(CF131*CG131, 0)</f>
        <v/>
      </c>
      <c r="CI131" s="14" t="n"/>
      <c r="CJ131" s="15" t="n"/>
      <c r="CK131" s="16">
        <f>IFERROR(CI131*CJ131, 0)</f>
        <v/>
      </c>
      <c r="CL131" s="14" t="n"/>
      <c r="CM131" s="15" t="n"/>
      <c r="CN131" s="16">
        <f>IFERROR(CL131*CM131, 0)</f>
        <v/>
      </c>
      <c r="CO131" s="14" t="n"/>
      <c r="CP131" s="15" t="n"/>
      <c r="CQ131" s="16">
        <f>IFERROR(CO131*CP131, 0)</f>
        <v/>
      </c>
      <c r="CR131" s="14" t="n"/>
      <c r="CS131" s="15" t="n"/>
      <c r="CT131" s="16">
        <f>IFERROR(CR131*CS131, 0)</f>
        <v/>
      </c>
      <c r="CU131" s="17">
        <f>IFERROR(SUM(F131,I131,L131,O131,R131,U131,X131,AA131,AD131,AG131,AJ131,AM131,AP131,AS131,AV131,AY131,BB131,BE131,BH131,BK131,BN131,BQ131,BT131,BW131,BZ131,CC131,CF131,CI131,CL131,CO131,CR131), 0)</f>
        <v/>
      </c>
      <c r="CV131" s="16">
        <f>IFERROR(AVERAGE(G131,J131,M131,P131,S131,V131,Y131,AB131,AE131,AH131,AK131,AN131,AQ131,AT131,AW131,AZ131,BC131,BF131,BI131,BL131,BO131,BR131,BU131,BX131,CA131,CD131,CG131,CJ131,CM131,CP131,CS131), 0)</f>
        <v/>
      </c>
      <c r="CW131" s="16">
        <f>CU131*CV131</f>
        <v/>
      </c>
    </row>
    <row r="132" ht="15.75" customHeight="1">
      <c r="A132" s="41" t="inlineStr">
        <is>
          <t>Laurel</t>
        </is>
      </c>
      <c r="B132" s="41" t="inlineStr">
        <is>
          <t>Und</t>
        </is>
      </c>
      <c r="C132" s="42" t="n"/>
      <c r="D132" s="43" t="n"/>
      <c r="E132" s="78">
        <f>IFERROR(+C132*D132, 0)</f>
        <v/>
      </c>
      <c r="F132" s="14" t="n"/>
      <c r="G132" s="15" t="n"/>
      <c r="H132" s="16">
        <f>IFERROR(F132*G132, 0)</f>
        <v/>
      </c>
      <c r="I132" s="14" t="n"/>
      <c r="J132" s="15" t="n"/>
      <c r="K132" s="16">
        <f>IFERROR(I132*J132, 0)</f>
        <v/>
      </c>
      <c r="L132" s="14" t="n"/>
      <c r="M132" s="15" t="n"/>
      <c r="N132" s="16">
        <f>IFERROR(L132*M132, 0)</f>
        <v/>
      </c>
      <c r="O132" s="14" t="n"/>
      <c r="P132" s="15" t="n"/>
      <c r="Q132" s="16">
        <f>IFERROR(O132*P132, 0)</f>
        <v/>
      </c>
      <c r="R132" s="14" t="n"/>
      <c r="S132" s="15" t="n"/>
      <c r="T132" s="16">
        <f>IFERROR(R132*S132, 0)</f>
        <v/>
      </c>
      <c r="U132" s="14" t="n"/>
      <c r="V132" s="15" t="n"/>
      <c r="W132" s="16">
        <f>IFERROR(U132*V132, 0)</f>
        <v/>
      </c>
      <c r="X132" s="14" t="n"/>
      <c r="Y132" s="15" t="n"/>
      <c r="Z132" s="16">
        <f>IFERROR(X132*Y132, 0)</f>
        <v/>
      </c>
      <c r="AA132" s="14" t="n"/>
      <c r="AB132" s="15" t="n"/>
      <c r="AC132" s="16">
        <f>IFERROR(AA132*AB132, 0)</f>
        <v/>
      </c>
      <c r="AD132" s="14" t="n"/>
      <c r="AE132" s="15" t="n"/>
      <c r="AF132" s="16">
        <f>IFERROR(AD132*AE132, 0)</f>
        <v/>
      </c>
      <c r="AG132" s="14" t="n"/>
      <c r="AH132" s="15" t="n"/>
      <c r="AI132" s="16">
        <f>IFERROR(AG132*AH132, 0)</f>
        <v/>
      </c>
      <c r="AJ132" s="14" t="n"/>
      <c r="AK132" s="15" t="n"/>
      <c r="AL132" s="16">
        <f>IFERROR(AJ132*AK132, 0)</f>
        <v/>
      </c>
      <c r="AM132" s="14" t="n"/>
      <c r="AN132" s="15" t="n"/>
      <c r="AO132" s="16">
        <f>IFERROR(AM132*AN132, 0)</f>
        <v/>
      </c>
      <c r="AP132" s="14" t="n"/>
      <c r="AQ132" s="15" t="n"/>
      <c r="AR132" s="16">
        <f>IFERROR(AP132*AQ132, 0)</f>
        <v/>
      </c>
      <c r="AS132" s="14" t="n"/>
      <c r="AT132" s="15" t="n"/>
      <c r="AU132" s="16">
        <f>IFERROR(AS132*AT132, 0)</f>
        <v/>
      </c>
      <c r="AV132" s="14" t="n"/>
      <c r="AW132" s="15" t="n"/>
      <c r="AX132" s="16">
        <f>IFERROR(AV132*AW132, 0)</f>
        <v/>
      </c>
      <c r="AY132" s="14" t="n"/>
      <c r="AZ132" s="15" t="n"/>
      <c r="BA132" s="16">
        <f>IFERROR(AY132*AZ132, 0)</f>
        <v/>
      </c>
      <c r="BB132" s="14" t="n"/>
      <c r="BC132" s="15" t="n"/>
      <c r="BD132" s="16">
        <f>IFERROR(BB132*BC132, 0)</f>
        <v/>
      </c>
      <c r="BE132" s="14" t="n"/>
      <c r="BF132" s="15" t="n"/>
      <c r="BG132" s="16">
        <f>IFERROR(BE132*BF132, 0)</f>
        <v/>
      </c>
      <c r="BH132" s="14" t="n"/>
      <c r="BI132" s="15" t="n"/>
      <c r="BJ132" s="16">
        <f>IFERROR(BH132*BI132, 0)</f>
        <v/>
      </c>
      <c r="BK132" s="14" t="n"/>
      <c r="BL132" s="15" t="n"/>
      <c r="BM132" s="16">
        <f>IFERROR(BK132*BL132, 0)</f>
        <v/>
      </c>
      <c r="BN132" s="14" t="n"/>
      <c r="BO132" s="15" t="n"/>
      <c r="BP132" s="16">
        <f>IFERROR(BN132*BO132, 0)</f>
        <v/>
      </c>
      <c r="BQ132" s="14" t="n"/>
      <c r="BR132" s="15" t="n"/>
      <c r="BS132" s="16">
        <f>IFERROR(BQ132*BR132, 0)</f>
        <v/>
      </c>
      <c r="BT132" s="14" t="n"/>
      <c r="BU132" s="15" t="n"/>
      <c r="BV132" s="16">
        <f>IFERROR(BT132*BU132, 0)</f>
        <v/>
      </c>
      <c r="BW132" s="14" t="n"/>
      <c r="BX132" s="15" t="n"/>
      <c r="BY132" s="16">
        <f>IFERROR(BW132*BX132, 0)</f>
        <v/>
      </c>
      <c r="BZ132" s="14" t="n"/>
      <c r="CA132" s="15" t="n"/>
      <c r="CB132" s="16">
        <f>IFERROR(BZ132*CA132, 0)</f>
        <v/>
      </c>
      <c r="CC132" s="14" t="n"/>
      <c r="CD132" s="15" t="n"/>
      <c r="CE132" s="16">
        <f>IFERROR(CC132*CD132, 0)</f>
        <v/>
      </c>
      <c r="CF132" s="14" t="n"/>
      <c r="CG132" s="15" t="n"/>
      <c r="CH132" s="16">
        <f>IFERROR(CF132*CG132, 0)</f>
        <v/>
      </c>
      <c r="CI132" s="14" t="n"/>
      <c r="CJ132" s="15" t="n"/>
      <c r="CK132" s="16">
        <f>IFERROR(CI132*CJ132, 0)</f>
        <v/>
      </c>
      <c r="CL132" s="14" t="n"/>
      <c r="CM132" s="15" t="n"/>
      <c r="CN132" s="16">
        <f>IFERROR(CL132*CM132, 0)</f>
        <v/>
      </c>
      <c r="CO132" s="14" t="n"/>
      <c r="CP132" s="15" t="n"/>
      <c r="CQ132" s="16">
        <f>IFERROR(CO132*CP132, 0)</f>
        <v/>
      </c>
      <c r="CR132" s="14" t="n"/>
      <c r="CS132" s="15" t="n"/>
      <c r="CT132" s="16">
        <f>IFERROR(CR132*CS132, 0)</f>
        <v/>
      </c>
      <c r="CU132" s="17">
        <f>IFERROR(SUM(F132,I132,L132,O132,R132,U132,X132,AA132,AD132,AG132,AJ132,AM132,AP132,AS132,AV132,AY132,BB132,BE132,BH132,BK132,BN132,BQ132,BT132,BW132,BZ132,CC132,CF132,CI132,CL132,CO132,CR132), 0)</f>
        <v/>
      </c>
      <c r="CV132" s="16">
        <f>IFERROR(AVERAGE(G132,J132,M132,P132,S132,V132,Y132,AB132,AE132,AH132,AK132,AN132,AQ132,AT132,AW132,AZ132,BC132,BF132,BI132,BL132,BO132,BR132,BU132,BX132,CA132,CD132,CG132,CJ132,CM132,CP132,CS132), 0)</f>
        <v/>
      </c>
      <c r="CW132" s="16">
        <f>CU132*CV132</f>
        <v/>
      </c>
    </row>
    <row r="133" ht="15.75" customHeight="1">
      <c r="A133" s="41" t="inlineStr">
        <is>
          <t>Esparcible rama</t>
        </is>
      </c>
      <c r="B133" s="41" t="inlineStr">
        <is>
          <t>Und</t>
        </is>
      </c>
      <c r="C133" s="42" t="n"/>
      <c r="D133" s="43" t="n"/>
      <c r="E133" s="78">
        <f>IFERROR(+C133*D133, 0)</f>
        <v/>
      </c>
      <c r="F133" s="14" t="n"/>
      <c r="G133" s="15" t="n"/>
      <c r="H133" s="16">
        <f>IFERROR(F133*G133, 0)</f>
        <v/>
      </c>
      <c r="I133" s="14" t="n"/>
      <c r="J133" s="15" t="n"/>
      <c r="K133" s="16">
        <f>IFERROR(I133*J133, 0)</f>
        <v/>
      </c>
      <c r="L133" s="14" t="n"/>
      <c r="M133" s="15" t="n"/>
      <c r="N133" s="16">
        <f>IFERROR(L133*M133, 0)</f>
        <v/>
      </c>
      <c r="O133" s="14" t="n"/>
      <c r="P133" s="15" t="n"/>
      <c r="Q133" s="16">
        <f>IFERROR(O133*P133, 0)</f>
        <v/>
      </c>
      <c r="R133" s="14" t="n"/>
      <c r="S133" s="15" t="n"/>
      <c r="T133" s="16">
        <f>IFERROR(R133*S133, 0)</f>
        <v/>
      </c>
      <c r="U133" s="14" t="n"/>
      <c r="V133" s="15" t="n"/>
      <c r="W133" s="16">
        <f>IFERROR(U133*V133, 0)</f>
        <v/>
      </c>
      <c r="X133" s="14" t="n"/>
      <c r="Y133" s="15" t="n"/>
      <c r="Z133" s="16">
        <f>IFERROR(X133*Y133, 0)</f>
        <v/>
      </c>
      <c r="AA133" s="14" t="n"/>
      <c r="AB133" s="15" t="n"/>
      <c r="AC133" s="16">
        <f>IFERROR(AA133*AB133, 0)</f>
        <v/>
      </c>
      <c r="AD133" s="14" t="n"/>
      <c r="AE133" s="15" t="n"/>
      <c r="AF133" s="16">
        <f>IFERROR(AD133*AE133, 0)</f>
        <v/>
      </c>
      <c r="AG133" s="14" t="n"/>
      <c r="AH133" s="15" t="n"/>
      <c r="AI133" s="16">
        <f>IFERROR(AG133*AH133, 0)</f>
        <v/>
      </c>
      <c r="AJ133" s="14" t="n"/>
      <c r="AK133" s="15" t="n"/>
      <c r="AL133" s="16">
        <f>IFERROR(AJ133*AK133, 0)</f>
        <v/>
      </c>
      <c r="AM133" s="14" t="n"/>
      <c r="AN133" s="15" t="n"/>
      <c r="AO133" s="16">
        <f>IFERROR(AM133*AN133, 0)</f>
        <v/>
      </c>
      <c r="AP133" s="14" t="n"/>
      <c r="AQ133" s="15" t="n"/>
      <c r="AR133" s="16">
        <f>IFERROR(AP133*AQ133, 0)</f>
        <v/>
      </c>
      <c r="AS133" s="14" t="n"/>
      <c r="AT133" s="15" t="n"/>
      <c r="AU133" s="16">
        <f>IFERROR(AS133*AT133, 0)</f>
        <v/>
      </c>
      <c r="AV133" s="14" t="n"/>
      <c r="AW133" s="15" t="n"/>
      <c r="AX133" s="16">
        <f>IFERROR(AV133*AW133, 0)</f>
        <v/>
      </c>
      <c r="AY133" s="14" t="n"/>
      <c r="AZ133" s="15" t="n"/>
      <c r="BA133" s="16">
        <f>IFERROR(AY133*AZ133, 0)</f>
        <v/>
      </c>
      <c r="BB133" s="14" t="n"/>
      <c r="BC133" s="15" t="n"/>
      <c r="BD133" s="16">
        <f>IFERROR(BB133*BC133, 0)</f>
        <v/>
      </c>
      <c r="BE133" s="14" t="n"/>
      <c r="BF133" s="15" t="n"/>
      <c r="BG133" s="16">
        <f>IFERROR(BE133*BF133, 0)</f>
        <v/>
      </c>
      <c r="BH133" s="14" t="n"/>
      <c r="BI133" s="15" t="n"/>
      <c r="BJ133" s="16">
        <f>IFERROR(BH133*BI133, 0)</f>
        <v/>
      </c>
      <c r="BK133" s="14" t="n">
        <v>1</v>
      </c>
      <c r="BL133" s="15" t="n">
        <v>2480</v>
      </c>
      <c r="BM133" s="16" t="n">
        <v>2480</v>
      </c>
      <c r="BN133" s="14" t="n"/>
      <c r="BO133" s="15" t="n"/>
      <c r="BP133" s="16">
        <f>IFERROR(BN133*BO133, 0)</f>
        <v/>
      </c>
      <c r="BQ133" s="14" t="n"/>
      <c r="BR133" s="15" t="n"/>
      <c r="BS133" s="16">
        <f>IFERROR(BQ133*BR133, 0)</f>
        <v/>
      </c>
      <c r="BT133" s="14" t="n"/>
      <c r="BU133" s="15" t="n"/>
      <c r="BV133" s="16">
        <f>IFERROR(BT133*BU133, 0)</f>
        <v/>
      </c>
      <c r="BW133" s="14" t="n"/>
      <c r="BX133" s="15" t="n"/>
      <c r="BY133" s="16">
        <f>IFERROR(BW133*BX133, 0)</f>
        <v/>
      </c>
      <c r="BZ133" s="14" t="n"/>
      <c r="CA133" s="15" t="n"/>
      <c r="CB133" s="16">
        <f>IFERROR(BZ133*CA133, 0)</f>
        <v/>
      </c>
      <c r="CC133" s="14" t="n"/>
      <c r="CD133" s="15" t="n"/>
      <c r="CE133" s="16">
        <f>IFERROR(CC133*CD133, 0)</f>
        <v/>
      </c>
      <c r="CF133" s="14" t="n"/>
      <c r="CG133" s="15" t="n"/>
      <c r="CH133" s="16">
        <f>IFERROR(CF133*CG133, 0)</f>
        <v/>
      </c>
      <c r="CI133" s="14" t="n"/>
      <c r="CJ133" s="15" t="n"/>
      <c r="CK133" s="16">
        <f>IFERROR(CI133*CJ133, 0)</f>
        <v/>
      </c>
      <c r="CL133" s="14" t="n"/>
      <c r="CM133" s="15" t="n"/>
      <c r="CN133" s="16">
        <f>IFERROR(CL133*CM133, 0)</f>
        <v/>
      </c>
      <c r="CO133" s="14" t="n"/>
      <c r="CP133" s="15" t="n"/>
      <c r="CQ133" s="16">
        <f>IFERROR(CO133*CP133, 0)</f>
        <v/>
      </c>
      <c r="CR133" s="14" t="n"/>
      <c r="CS133" s="15" t="n"/>
      <c r="CT133" s="16">
        <f>IFERROR(CR133*CS133, 0)</f>
        <v/>
      </c>
      <c r="CU133" s="17">
        <f>IFERROR(SUM(F133,I133,L133,O133,R133,U133,X133,AA133,AD133,AG133,AJ133,AM133,AP133,AS133,AV133,AY133,BB133,BE133,BH133,BK133,BN133,BQ133,BT133,BW133,BZ133,CC133,CF133,CI133,CL133,CO133,CR133), 0)</f>
        <v/>
      </c>
      <c r="CV133" s="16">
        <f>IFERROR(AVERAGE(G133,J133,M133,P133,S133,V133,Y133,AB133,AE133,AH133,AK133,AN133,AQ133,AT133,AW133,AZ133,BC133,BF133,BI133,BL133,BO133,BR133,BU133,BX133,CA133,CD133,CG133,CJ133,CM133,CP133,CS133), 0)</f>
        <v/>
      </c>
      <c r="CW133" s="16">
        <f>CU133*CV133</f>
        <v/>
      </c>
    </row>
    <row r="134" ht="15.75" customHeight="1">
      <c r="A134" s="41" t="inlineStr">
        <is>
          <t>Lampara led antipolvo</t>
        </is>
      </c>
      <c r="B134" s="41" t="inlineStr">
        <is>
          <t>Und</t>
        </is>
      </c>
      <c r="C134" s="42" t="n"/>
      <c r="D134" s="43" t="n"/>
      <c r="E134" s="78">
        <f>IFERROR(+C134*D134, 0)</f>
        <v/>
      </c>
      <c r="F134" s="14" t="n"/>
      <c r="G134" s="15" t="n"/>
      <c r="H134" s="16">
        <f>IFERROR(F134*G134, 0)</f>
        <v/>
      </c>
      <c r="I134" s="14" t="n">
        <v>1</v>
      </c>
      <c r="J134" s="15" t="n">
        <v>36000</v>
      </c>
      <c r="K134" s="16" t="n">
        <v>36000</v>
      </c>
      <c r="L134" s="14" t="n"/>
      <c r="M134" s="15" t="n"/>
      <c r="N134" s="16">
        <f>IFERROR(L134*M134, 0)</f>
        <v/>
      </c>
      <c r="O134" s="14" t="n"/>
      <c r="P134" s="15" t="n"/>
      <c r="Q134" s="16">
        <f>IFERROR(O134*P134, 0)</f>
        <v/>
      </c>
      <c r="R134" s="14" t="n"/>
      <c r="S134" s="15" t="n"/>
      <c r="T134" s="16">
        <f>IFERROR(R134*S134, 0)</f>
        <v/>
      </c>
      <c r="U134" s="14" t="n"/>
      <c r="V134" s="15" t="n"/>
      <c r="W134" s="16">
        <f>IFERROR(U134*V134, 0)</f>
        <v/>
      </c>
      <c r="X134" s="14" t="n"/>
      <c r="Y134" s="15" t="n"/>
      <c r="Z134" s="16">
        <f>IFERROR(X134*Y134, 0)</f>
        <v/>
      </c>
      <c r="AA134" s="14" t="n"/>
      <c r="AB134" s="15" t="n"/>
      <c r="AC134" s="16">
        <f>IFERROR(AA134*AB134, 0)</f>
        <v/>
      </c>
      <c r="AD134" s="14" t="n"/>
      <c r="AE134" s="15" t="n"/>
      <c r="AF134" s="16">
        <f>IFERROR(AD134*AE134, 0)</f>
        <v/>
      </c>
      <c r="AG134" s="14" t="n"/>
      <c r="AH134" s="15" t="n"/>
      <c r="AI134" s="16">
        <f>IFERROR(AG134*AH134, 0)</f>
        <v/>
      </c>
      <c r="AJ134" s="14" t="n"/>
      <c r="AK134" s="15" t="n"/>
      <c r="AL134" s="16">
        <f>IFERROR(AJ134*AK134, 0)</f>
        <v/>
      </c>
      <c r="AM134" s="14" t="n"/>
      <c r="AN134" s="15" t="n"/>
      <c r="AO134" s="16">
        <f>IFERROR(AM134*AN134, 0)</f>
        <v/>
      </c>
      <c r="AP134" s="14" t="n"/>
      <c r="AQ134" s="15" t="n"/>
      <c r="AR134" s="16">
        <f>IFERROR(AP134*AQ134, 0)</f>
        <v/>
      </c>
      <c r="AS134" s="14" t="n"/>
      <c r="AT134" s="15" t="n"/>
      <c r="AU134" s="16">
        <f>IFERROR(AS134*AT134, 0)</f>
        <v/>
      </c>
      <c r="AV134" s="14" t="n"/>
      <c r="AW134" s="15" t="n"/>
      <c r="AX134" s="16">
        <f>IFERROR(AV134*AW134, 0)</f>
        <v/>
      </c>
      <c r="AY134" s="14" t="n"/>
      <c r="AZ134" s="15" t="n"/>
      <c r="BA134" s="16">
        <f>IFERROR(AY134*AZ134, 0)</f>
        <v/>
      </c>
      <c r="BB134" s="14" t="n"/>
      <c r="BC134" s="15" t="n"/>
      <c r="BD134" s="16">
        <f>IFERROR(BB134*BC134, 0)</f>
        <v/>
      </c>
      <c r="BE134" s="14" t="n"/>
      <c r="BF134" s="15" t="n"/>
      <c r="BG134" s="16">
        <f>IFERROR(BE134*BF134, 0)</f>
        <v/>
      </c>
      <c r="BH134" s="14" t="n"/>
      <c r="BI134" s="15" t="n"/>
      <c r="BJ134" s="16">
        <f>IFERROR(BH134*BI134, 0)</f>
        <v/>
      </c>
      <c r="BK134" s="14" t="n"/>
      <c r="BL134" s="15" t="n"/>
      <c r="BM134" s="16">
        <f>IFERROR(BK134*BL134, 0)</f>
        <v/>
      </c>
      <c r="BN134" s="14" t="n"/>
      <c r="BO134" s="15" t="n"/>
      <c r="BP134" s="16">
        <f>IFERROR(BN134*BO134, 0)</f>
        <v/>
      </c>
      <c r="BQ134" s="14" t="n"/>
      <c r="BR134" s="15" t="n"/>
      <c r="BS134" s="16">
        <f>IFERROR(BQ134*BR134, 0)</f>
        <v/>
      </c>
      <c r="BT134" s="14" t="n"/>
      <c r="BU134" s="15" t="n"/>
      <c r="BV134" s="16">
        <f>IFERROR(BT134*BU134, 0)</f>
        <v/>
      </c>
      <c r="BW134" s="14" t="n">
        <v>1</v>
      </c>
      <c r="BX134" s="15" t="n">
        <v>32900</v>
      </c>
      <c r="BY134" s="16" t="n">
        <v>32900</v>
      </c>
      <c r="BZ134" s="14" t="n"/>
      <c r="CA134" s="15" t="n"/>
      <c r="CB134" s="16">
        <f>IFERROR(BZ134*CA134, 0)</f>
        <v/>
      </c>
      <c r="CC134" s="14" t="n"/>
      <c r="CD134" s="15" t="n"/>
      <c r="CE134" s="16">
        <f>IFERROR(CC134*CD134, 0)</f>
        <v/>
      </c>
      <c r="CF134" s="14" t="n"/>
      <c r="CG134" s="15" t="n"/>
      <c r="CH134" s="16">
        <f>IFERROR(CF134*CG134, 0)</f>
        <v/>
      </c>
      <c r="CI134" s="14" t="n"/>
      <c r="CJ134" s="15" t="n"/>
      <c r="CK134" s="16">
        <f>IFERROR(CI134*CJ134, 0)</f>
        <v/>
      </c>
      <c r="CL134" s="14" t="n"/>
      <c r="CM134" s="15" t="n"/>
      <c r="CN134" s="16">
        <f>IFERROR(CL134*CM134, 0)</f>
        <v/>
      </c>
      <c r="CO134" s="14" t="n"/>
      <c r="CP134" s="15" t="n"/>
      <c r="CQ134" s="16">
        <f>IFERROR(CO134*CP134, 0)</f>
        <v/>
      </c>
      <c r="CR134" s="14" t="n"/>
      <c r="CS134" s="15" t="n"/>
      <c r="CT134" s="16">
        <f>IFERROR(CR134*CS134, 0)</f>
        <v/>
      </c>
      <c r="CU134" s="17">
        <f>IFERROR(SUM(F134,I134,L134,O134,R134,U134,X134,AA134,AD134,AG134,AJ134,AM134,AP134,AS134,AV134,AY134,BB134,BE134,BH134,BK134,BN134,BQ134,BT134,BW134,BZ134,CC134,CF134,CI134,CL134,CO134,CR134), 0)</f>
        <v/>
      </c>
      <c r="CV134" s="16">
        <f>IFERROR(AVERAGE(G134,J134,M134,P134,S134,V134,Y134,AB134,AE134,AH134,AK134,AN134,AQ134,AT134,AW134,AZ134,BC134,BF134,BI134,BL134,BO134,BR134,BU134,BX134,CA134,CD134,CG134,CJ134,CM134,CP134,CS134), 0)</f>
        <v/>
      </c>
      <c r="CW134" s="16">
        <f>CU134*CV134</f>
        <v/>
      </c>
    </row>
    <row r="135" ht="15.75" customHeight="1">
      <c r="A135" s="41" t="inlineStr">
        <is>
          <t>Cuchillas para licuadora</t>
        </is>
      </c>
      <c r="B135" s="41" t="inlineStr">
        <is>
          <t>Und</t>
        </is>
      </c>
      <c r="C135" s="42" t="n"/>
      <c r="D135" s="43" t="n"/>
      <c r="E135" s="78">
        <f>IFERROR(+C135*D135, 0)</f>
        <v/>
      </c>
      <c r="F135" s="14" t="n"/>
      <c r="G135" s="15" t="n"/>
      <c r="H135" s="16">
        <f>IFERROR(F135*G135, 0)</f>
        <v/>
      </c>
      <c r="I135" s="14" t="n"/>
      <c r="J135" s="15" t="n"/>
      <c r="K135" s="16">
        <f>IFERROR(I135*J135, 0)</f>
        <v/>
      </c>
      <c r="L135" s="14" t="n"/>
      <c r="M135" s="15" t="n"/>
      <c r="N135" s="16">
        <f>IFERROR(L135*M135, 0)</f>
        <v/>
      </c>
      <c r="O135" s="14" t="n"/>
      <c r="P135" s="15" t="n"/>
      <c r="Q135" s="16">
        <f>IFERROR(O135*P135, 0)</f>
        <v/>
      </c>
      <c r="R135" s="14" t="n"/>
      <c r="S135" s="15" t="n"/>
      <c r="T135" s="16">
        <f>IFERROR(R135*S135, 0)</f>
        <v/>
      </c>
      <c r="U135" s="14" t="n"/>
      <c r="V135" s="15" t="n"/>
      <c r="W135" s="16">
        <f>IFERROR(U135*V135, 0)</f>
        <v/>
      </c>
      <c r="X135" s="14" t="n"/>
      <c r="Y135" s="15" t="n"/>
      <c r="Z135" s="16">
        <f>IFERROR(X135*Y135, 0)</f>
        <v/>
      </c>
      <c r="AA135" s="14" t="n"/>
      <c r="AB135" s="15" t="n"/>
      <c r="AC135" s="16">
        <f>IFERROR(AA135*AB135, 0)</f>
        <v/>
      </c>
      <c r="AD135" s="14" t="n"/>
      <c r="AE135" s="15" t="n"/>
      <c r="AF135" s="16">
        <f>IFERROR(AD135*AE135, 0)</f>
        <v/>
      </c>
      <c r="AG135" s="14" t="n"/>
      <c r="AH135" s="15" t="n"/>
      <c r="AI135" s="16">
        <f>IFERROR(AG135*AH135, 0)</f>
        <v/>
      </c>
      <c r="AJ135" s="14" t="n"/>
      <c r="AK135" s="15" t="n"/>
      <c r="AL135" s="16">
        <f>IFERROR(AJ135*AK135, 0)</f>
        <v/>
      </c>
      <c r="AM135" s="14" t="n"/>
      <c r="AN135" s="15" t="n"/>
      <c r="AO135" s="16">
        <f>IFERROR(AM135*AN135, 0)</f>
        <v/>
      </c>
      <c r="AP135" s="14" t="n"/>
      <c r="AQ135" s="15" t="n"/>
      <c r="AR135" s="16">
        <f>IFERROR(AP135*AQ135, 0)</f>
        <v/>
      </c>
      <c r="AS135" s="14" t="n"/>
      <c r="AT135" s="15" t="n"/>
      <c r="AU135" s="16">
        <f>IFERROR(AS135*AT135, 0)</f>
        <v/>
      </c>
      <c r="AV135" s="14" t="n"/>
      <c r="AW135" s="15" t="n"/>
      <c r="AX135" s="16">
        <f>IFERROR(AV135*AW135, 0)</f>
        <v/>
      </c>
      <c r="AY135" s="14" t="n"/>
      <c r="AZ135" s="15" t="n"/>
      <c r="BA135" s="16">
        <f>IFERROR(AY135*AZ135, 0)</f>
        <v/>
      </c>
      <c r="BB135" s="14" t="n"/>
      <c r="BC135" s="15" t="n"/>
      <c r="BD135" s="16">
        <f>IFERROR(BB135*BC135, 0)</f>
        <v/>
      </c>
      <c r="BE135" s="14" t="n"/>
      <c r="BF135" s="15" t="n"/>
      <c r="BG135" s="16">
        <f>IFERROR(BE135*BF135, 0)</f>
        <v/>
      </c>
      <c r="BH135" s="14" t="n"/>
      <c r="BI135" s="15" t="n"/>
      <c r="BJ135" s="16">
        <f>IFERROR(BH135*BI135, 0)</f>
        <v/>
      </c>
      <c r="BK135" s="14" t="n"/>
      <c r="BL135" s="15" t="n"/>
      <c r="BM135" s="16">
        <f>IFERROR(BK135*BL135, 0)</f>
        <v/>
      </c>
      <c r="BN135" s="14" t="n"/>
      <c r="BO135" s="15" t="n"/>
      <c r="BP135" s="16">
        <f>IFERROR(BN135*BO135, 0)</f>
        <v/>
      </c>
      <c r="BQ135" s="14" t="n"/>
      <c r="BR135" s="15" t="n"/>
      <c r="BS135" s="16">
        <f>IFERROR(BQ135*BR135, 0)</f>
        <v/>
      </c>
      <c r="BT135" s="14" t="n"/>
      <c r="BU135" s="15" t="n"/>
      <c r="BV135" s="16">
        <f>IFERROR(BT135*BU135, 0)</f>
        <v/>
      </c>
      <c r="BW135" s="14" t="n"/>
      <c r="BX135" s="15" t="n"/>
      <c r="BY135" s="16">
        <f>IFERROR(BW135*BX135, 0)</f>
        <v/>
      </c>
      <c r="BZ135" s="14" t="n"/>
      <c r="CA135" s="15" t="n"/>
      <c r="CB135" s="16">
        <f>IFERROR(BZ135*CA135, 0)</f>
        <v/>
      </c>
      <c r="CC135" s="14" t="n"/>
      <c r="CD135" s="15" t="n"/>
      <c r="CE135" s="16">
        <f>IFERROR(CC135*CD135, 0)</f>
        <v/>
      </c>
      <c r="CF135" s="14" t="n"/>
      <c r="CG135" s="15" t="n"/>
      <c r="CH135" s="16">
        <f>IFERROR(CF135*CG135, 0)</f>
        <v/>
      </c>
      <c r="CI135" s="14" t="n"/>
      <c r="CJ135" s="15" t="n"/>
      <c r="CK135" s="16">
        <f>IFERROR(CI135*CJ135, 0)</f>
        <v/>
      </c>
      <c r="CL135" s="14" t="n"/>
      <c r="CM135" s="15" t="n"/>
      <c r="CN135" s="16">
        <f>IFERROR(CL135*CM135, 0)</f>
        <v/>
      </c>
      <c r="CO135" s="14" t="n"/>
      <c r="CP135" s="15" t="n"/>
      <c r="CQ135" s="16">
        <f>IFERROR(CO135*CP135, 0)</f>
        <v/>
      </c>
      <c r="CR135" s="14" t="n"/>
      <c r="CS135" s="15" t="n"/>
      <c r="CT135" s="16">
        <f>IFERROR(CR135*CS135, 0)</f>
        <v/>
      </c>
      <c r="CU135" s="17">
        <f>IFERROR(SUM(F135,I135,L135,O135,R135,U135,X135,AA135,AD135,AG135,AJ135,AM135,AP135,AS135,AV135,AY135,BB135,BE135,BH135,BK135,BN135,BQ135,BT135,BW135,BZ135,CC135,CF135,CI135,CL135,CO135,CR135), 0)</f>
        <v/>
      </c>
      <c r="CV135" s="16">
        <f>IFERROR(AVERAGE(G135,J135,M135,P135,S135,V135,Y135,AB135,AE135,AH135,AK135,AN135,AQ135,AT135,AW135,AZ135,BC135,BF135,BI135,BL135,BO135,BR135,BU135,BX135,CA135,CD135,CG135,CJ135,CM135,CP135,CS135), 0)</f>
        <v/>
      </c>
      <c r="CW135" s="16">
        <f>CU135*CV135</f>
        <v/>
      </c>
    </row>
    <row r="136">
      <c r="A136" s="76" t="inlineStr">
        <is>
          <t>Extrato de coco Premium</t>
        </is>
      </c>
      <c r="B136" s="41" t="inlineStr">
        <is>
          <t>Und</t>
        </is>
      </c>
      <c r="C136" s="42" t="n"/>
      <c r="D136" s="43" t="n"/>
      <c r="E136" s="78">
        <f>IFERROR(+C136*D136, 0)</f>
        <v/>
      </c>
      <c r="F136" s="14" t="n"/>
      <c r="G136" s="15" t="n"/>
      <c r="H136" s="16">
        <f>IFERROR(F136*G136, 0)</f>
        <v/>
      </c>
      <c r="I136" s="14" t="n"/>
      <c r="J136" s="15" t="n"/>
      <c r="K136" s="16">
        <f>IFERROR(I136*J136, 0)</f>
        <v/>
      </c>
      <c r="L136" s="14" t="n"/>
      <c r="M136" s="15" t="n"/>
      <c r="N136" s="16">
        <f>IFERROR(L136*M136, 0)</f>
        <v/>
      </c>
      <c r="O136" s="14" t="n"/>
      <c r="P136" s="15" t="n"/>
      <c r="Q136" s="16">
        <f>IFERROR(O136*P136, 0)</f>
        <v/>
      </c>
      <c r="R136" s="14" t="n"/>
      <c r="S136" s="15" t="n"/>
      <c r="T136" s="16">
        <f>IFERROR(R136*S136, 0)</f>
        <v/>
      </c>
      <c r="U136" s="14" t="n"/>
      <c r="V136" s="15" t="n"/>
      <c r="W136" s="16">
        <f>IFERROR(U136*V136, 0)</f>
        <v/>
      </c>
      <c r="X136" s="14" t="n"/>
      <c r="Y136" s="15" t="n"/>
      <c r="Z136" s="16">
        <f>IFERROR(X136*Y136, 0)</f>
        <v/>
      </c>
      <c r="AA136" s="14" t="n"/>
      <c r="AB136" s="15" t="n"/>
      <c r="AC136" s="16">
        <f>IFERROR(AA136*AB136, 0)</f>
        <v/>
      </c>
      <c r="AD136" s="14" t="n"/>
      <c r="AE136" s="15" t="n"/>
      <c r="AF136" s="16">
        <f>IFERROR(AD136*AE136, 0)</f>
        <v/>
      </c>
      <c r="AG136" s="14" t="n"/>
      <c r="AH136" s="15" t="n"/>
      <c r="AI136" s="16">
        <f>IFERROR(AG136*AH136, 0)</f>
        <v/>
      </c>
      <c r="AJ136" s="14" t="n"/>
      <c r="AK136" s="15" t="n"/>
      <c r="AL136" s="16">
        <f>IFERROR(AJ136*AK136, 0)</f>
        <v/>
      </c>
      <c r="AM136" s="14" t="n"/>
      <c r="AN136" s="15" t="n"/>
      <c r="AO136" s="16">
        <f>IFERROR(AM136*AN136, 0)</f>
        <v/>
      </c>
      <c r="AP136" s="14" t="n"/>
      <c r="AQ136" s="15" t="n"/>
      <c r="AR136" s="16">
        <f>IFERROR(AP136*AQ136, 0)</f>
        <v/>
      </c>
      <c r="AS136" s="14" t="n"/>
      <c r="AT136" s="15" t="n"/>
      <c r="AU136" s="16">
        <f>IFERROR(AS136*AT136, 0)</f>
        <v/>
      </c>
      <c r="AV136" s="14" t="n"/>
      <c r="AW136" s="15" t="n"/>
      <c r="AX136" s="16">
        <f>IFERROR(AV136*AW136, 0)</f>
        <v/>
      </c>
      <c r="AY136" s="14" t="n"/>
      <c r="AZ136" s="15" t="n"/>
      <c r="BA136" s="16">
        <f>IFERROR(AY136*AZ136, 0)</f>
        <v/>
      </c>
      <c r="BB136" s="14" t="n"/>
      <c r="BC136" s="15" t="n"/>
      <c r="BD136" s="16">
        <f>IFERROR(BB136*BC136, 0)</f>
        <v/>
      </c>
      <c r="BE136" s="14" t="n"/>
      <c r="BF136" s="15" t="n"/>
      <c r="BG136" s="16">
        <f>IFERROR(BE136*BF136, 0)</f>
        <v/>
      </c>
      <c r="BH136" s="14" t="n"/>
      <c r="BI136" s="15" t="n"/>
      <c r="BJ136" s="16">
        <f>IFERROR(BH136*BI136, 0)</f>
        <v/>
      </c>
      <c r="BK136" s="14" t="n"/>
      <c r="BL136" s="15" t="n"/>
      <c r="BM136" s="16">
        <f>IFERROR(BK136*BL136, 0)</f>
        <v/>
      </c>
      <c r="BN136" s="14" t="n"/>
      <c r="BO136" s="15" t="n"/>
      <c r="BP136" s="16">
        <f>IFERROR(BN136*BO136, 0)</f>
        <v/>
      </c>
      <c r="BQ136" s="14" t="n"/>
      <c r="BR136" s="15" t="n"/>
      <c r="BS136" s="16">
        <f>IFERROR(BQ136*BR136, 0)</f>
        <v/>
      </c>
      <c r="BT136" s="14" t="n"/>
      <c r="BU136" s="15" t="n"/>
      <c r="BV136" s="16">
        <f>IFERROR(BT136*BU136, 0)</f>
        <v/>
      </c>
      <c r="BW136" s="14" t="n"/>
      <c r="BX136" s="15" t="n"/>
      <c r="BY136" s="16">
        <f>IFERROR(BW136*BX136, 0)</f>
        <v/>
      </c>
      <c r="BZ136" s="14" t="n"/>
      <c r="CA136" s="15" t="n"/>
      <c r="CB136" s="16">
        <f>IFERROR(BZ136*CA136, 0)</f>
        <v/>
      </c>
      <c r="CC136" s="14" t="n"/>
      <c r="CD136" s="15" t="n"/>
      <c r="CE136" s="16">
        <f>IFERROR(CC136*CD136, 0)</f>
        <v/>
      </c>
      <c r="CF136" s="14" t="n"/>
      <c r="CG136" s="15" t="n"/>
      <c r="CH136" s="16">
        <f>IFERROR(CF136*CG136, 0)</f>
        <v/>
      </c>
      <c r="CI136" s="14" t="n"/>
      <c r="CJ136" s="15" t="n"/>
      <c r="CK136" s="16">
        <f>IFERROR(CI136*CJ136, 0)</f>
        <v/>
      </c>
      <c r="CL136" s="14" t="n"/>
      <c r="CM136" s="15" t="n"/>
      <c r="CN136" s="16">
        <f>IFERROR(CL136*CM136, 0)</f>
        <v/>
      </c>
      <c r="CO136" s="14" t="n"/>
      <c r="CP136" s="15" t="n"/>
      <c r="CQ136" s="16">
        <f>IFERROR(CO136*CP136, 0)</f>
        <v/>
      </c>
      <c r="CR136" s="14" t="n"/>
      <c r="CS136" s="15" t="n"/>
      <c r="CT136" s="16">
        <f>IFERROR(CR136*CS136, 0)</f>
        <v/>
      </c>
      <c r="CU136" s="17">
        <f>IFERROR(SUM(F136,I136,L136,O136,R136,U136,X136,AA136,AD136,AG136,AJ136,AM136,AP136,AS136,AV136,AY136,BB136,BE136,BH136,BK136,BN136,BQ136,BT136,BW136,BZ136,CC136,CF136,CI136,CL136,CO136,CR136), 0)</f>
        <v/>
      </c>
      <c r="CV136" s="16">
        <f>IFERROR(AVERAGE(G136,J136,M136,P136,S136,V136,Y136,AB136,AE136,AH136,AK136,AN136,AQ136,AT136,AW136,AZ136,BC136,BF136,BI136,BL136,BO136,BR136,BU136,BX136,CA136,CD136,CG136,CJ136,CM136,CP136,CS136), 0)</f>
        <v/>
      </c>
      <c r="CW136" s="16">
        <f>CU136*CV136</f>
        <v/>
      </c>
    </row>
    <row r="137">
      <c r="A137" s="76" t="inlineStr">
        <is>
          <t>Aromatizador 250CC</t>
        </is>
      </c>
      <c r="B137" s="41" t="inlineStr">
        <is>
          <t>Und</t>
        </is>
      </c>
      <c r="C137" s="42" t="n"/>
      <c r="D137" s="43" t="n"/>
      <c r="E137" s="78">
        <f>IFERROR(+C137*D137, 0)</f>
        <v/>
      </c>
      <c r="F137" s="14" t="n"/>
      <c r="G137" s="15" t="n"/>
      <c r="H137" s="16">
        <f>IFERROR(F137*G137, 0)</f>
        <v/>
      </c>
      <c r="I137" s="14" t="n"/>
      <c r="J137" s="15" t="n"/>
      <c r="K137" s="16">
        <f>IFERROR(I137*J137, 0)</f>
        <v/>
      </c>
      <c r="L137" s="14" t="n"/>
      <c r="M137" s="15" t="n"/>
      <c r="N137" s="16">
        <f>IFERROR(L137*M137, 0)</f>
        <v/>
      </c>
      <c r="O137" s="14" t="n"/>
      <c r="P137" s="15" t="n"/>
      <c r="Q137" s="16">
        <f>IFERROR(O137*P137, 0)</f>
        <v/>
      </c>
      <c r="R137" s="14" t="n"/>
      <c r="S137" s="15" t="n"/>
      <c r="T137" s="16">
        <f>IFERROR(R137*S137, 0)</f>
        <v/>
      </c>
      <c r="U137" s="14" t="n"/>
      <c r="V137" s="15" t="n"/>
      <c r="W137" s="16">
        <f>IFERROR(U137*V137, 0)</f>
        <v/>
      </c>
      <c r="X137" s="14" t="n"/>
      <c r="Y137" s="15" t="n"/>
      <c r="Z137" s="16">
        <f>IFERROR(X137*Y137, 0)</f>
        <v/>
      </c>
      <c r="AA137" s="14" t="n"/>
      <c r="AB137" s="15" t="n"/>
      <c r="AC137" s="16">
        <f>IFERROR(AA137*AB137, 0)</f>
        <v/>
      </c>
      <c r="AD137" s="14" t="n">
        <v>1</v>
      </c>
      <c r="AE137" s="15" t="n">
        <v>29512</v>
      </c>
      <c r="AF137" s="16" t="n">
        <v>29512</v>
      </c>
      <c r="AG137" s="14" t="n"/>
      <c r="AH137" s="15" t="n"/>
      <c r="AI137" s="16">
        <f>IFERROR(AG137*AH137, 0)</f>
        <v/>
      </c>
      <c r="AJ137" s="14" t="n"/>
      <c r="AK137" s="15" t="n"/>
      <c r="AL137" s="16">
        <f>IFERROR(AJ137*AK137, 0)</f>
        <v/>
      </c>
      <c r="AM137" s="14" t="n"/>
      <c r="AN137" s="15" t="n"/>
      <c r="AO137" s="16">
        <f>IFERROR(AM137*AN137, 0)</f>
        <v/>
      </c>
      <c r="AP137" s="14" t="n"/>
      <c r="AQ137" s="15" t="n"/>
      <c r="AR137" s="16">
        <f>IFERROR(AP137*AQ137, 0)</f>
        <v/>
      </c>
      <c r="AS137" s="14" t="n"/>
      <c r="AT137" s="15" t="n"/>
      <c r="AU137" s="16">
        <f>IFERROR(AS137*AT137, 0)</f>
        <v/>
      </c>
      <c r="AV137" s="14" t="n"/>
      <c r="AW137" s="15" t="n"/>
      <c r="AX137" s="16">
        <f>IFERROR(AV137*AW137, 0)</f>
        <v/>
      </c>
      <c r="AY137" s="14" t="n"/>
      <c r="AZ137" s="15" t="n"/>
      <c r="BA137" s="16">
        <f>IFERROR(AY137*AZ137, 0)</f>
        <v/>
      </c>
      <c r="BB137" s="14" t="n"/>
      <c r="BC137" s="15" t="n"/>
      <c r="BD137" s="16">
        <f>IFERROR(BB137*BC137, 0)</f>
        <v/>
      </c>
      <c r="BE137" s="14" t="n"/>
      <c r="BF137" s="15" t="n"/>
      <c r="BG137" s="16">
        <f>IFERROR(BE137*BF137, 0)</f>
        <v/>
      </c>
      <c r="BH137" s="14" t="n"/>
      <c r="BI137" s="15" t="n"/>
      <c r="BJ137" s="16">
        <f>IFERROR(BH137*BI137, 0)</f>
        <v/>
      </c>
      <c r="BK137" s="14" t="n"/>
      <c r="BL137" s="15" t="n"/>
      <c r="BM137" s="16">
        <f>IFERROR(BK137*BL137, 0)</f>
        <v/>
      </c>
      <c r="BN137" s="14" t="n"/>
      <c r="BO137" s="15" t="n"/>
      <c r="BP137" s="16">
        <f>IFERROR(BN137*BO137, 0)</f>
        <v/>
      </c>
      <c r="BQ137" s="14" t="n"/>
      <c r="BR137" s="15" t="n"/>
      <c r="BS137" s="16">
        <f>IFERROR(BQ137*BR137, 0)</f>
        <v/>
      </c>
      <c r="BT137" s="14" t="n"/>
      <c r="BU137" s="15" t="n"/>
      <c r="BV137" s="16">
        <f>IFERROR(BT137*BU137, 0)</f>
        <v/>
      </c>
      <c r="BW137" s="14" t="n"/>
      <c r="BX137" s="15" t="n"/>
      <c r="BY137" s="16">
        <f>IFERROR(BW137*BX137, 0)</f>
        <v/>
      </c>
      <c r="BZ137" s="14" t="n"/>
      <c r="CA137" s="15" t="n"/>
      <c r="CB137" s="16">
        <f>IFERROR(BZ137*CA137, 0)</f>
        <v/>
      </c>
      <c r="CC137" s="14" t="n"/>
      <c r="CD137" s="15" t="n"/>
      <c r="CE137" s="16">
        <f>IFERROR(CC137*CD137, 0)</f>
        <v/>
      </c>
      <c r="CF137" s="14" t="n"/>
      <c r="CG137" s="15" t="n"/>
      <c r="CH137" s="16">
        <f>IFERROR(CF137*CG137, 0)</f>
        <v/>
      </c>
      <c r="CI137" s="14" t="n"/>
      <c r="CJ137" s="15" t="n"/>
      <c r="CK137" s="16">
        <f>IFERROR(CI137*CJ137, 0)</f>
        <v/>
      </c>
      <c r="CL137" s="14" t="n"/>
      <c r="CM137" s="15" t="n"/>
      <c r="CN137" s="16">
        <f>IFERROR(CL137*CM137, 0)</f>
        <v/>
      </c>
      <c r="CO137" s="14" t="n"/>
      <c r="CP137" s="15" t="n"/>
      <c r="CQ137" s="16">
        <f>IFERROR(CO137*CP137, 0)</f>
        <v/>
      </c>
      <c r="CR137" s="14" t="n"/>
      <c r="CS137" s="15" t="n"/>
      <c r="CT137" s="16">
        <f>IFERROR(CR137*CS137, 0)</f>
        <v/>
      </c>
      <c r="CU137" s="17">
        <f>IFERROR(SUM(F137,I137,L137,O137,R137,U137,X137,AA137,AD137,AG137,AJ137,AM137,AP137,AS137,AV137,AY137,BB137,BE137,BH137,BK137,BN137,BQ137,BT137,BW137,BZ137,CC137,CF137,CI137,CL137,CO137,CR137), 0)</f>
        <v/>
      </c>
      <c r="CV137" s="16">
        <f>IFERROR(AVERAGE(G137,J137,M137,P137,S137,V137,Y137,AB137,AE137,AH137,AK137,AN137,AQ137,AT137,AW137,AZ137,BC137,BF137,BI137,BL137,BO137,BR137,BU137,BX137,CA137,CD137,CG137,CJ137,CM137,CP137,CS137), 0)</f>
        <v/>
      </c>
      <c r="CW137" s="16">
        <f>CU137*CV137</f>
        <v/>
      </c>
    </row>
    <row r="138">
      <c r="A138" s="76" t="inlineStr">
        <is>
          <t>Lampara para el Baño</t>
        </is>
      </c>
      <c r="B138" s="41" t="inlineStr">
        <is>
          <t>Und</t>
        </is>
      </c>
      <c r="C138" s="42" t="n"/>
      <c r="D138" s="43" t="n"/>
      <c r="E138" s="78">
        <f>IFERROR(+C138*D138, 0)</f>
        <v/>
      </c>
      <c r="F138" s="14" t="n"/>
      <c r="G138" s="15" t="n"/>
      <c r="H138" s="16">
        <f>IFERROR(F138*G138, 0)</f>
        <v/>
      </c>
      <c r="I138" s="14" t="n"/>
      <c r="J138" s="15" t="n"/>
      <c r="K138" s="16">
        <f>IFERROR(I138*J138, 0)</f>
        <v/>
      </c>
      <c r="L138" s="14" t="n"/>
      <c r="M138" s="15" t="n"/>
      <c r="N138" s="16">
        <f>IFERROR(L138*M138, 0)</f>
        <v/>
      </c>
      <c r="O138" s="14" t="n"/>
      <c r="P138" s="15" t="n"/>
      <c r="Q138" s="16">
        <f>IFERROR(O138*P138, 0)</f>
        <v/>
      </c>
      <c r="R138" s="14" t="n"/>
      <c r="S138" s="15" t="n"/>
      <c r="T138" s="16">
        <f>IFERROR(R138*S138, 0)</f>
        <v/>
      </c>
      <c r="U138" s="14" t="n"/>
      <c r="V138" s="15" t="n"/>
      <c r="W138" s="16">
        <f>IFERROR(U138*V138, 0)</f>
        <v/>
      </c>
      <c r="X138" s="14" t="n"/>
      <c r="Y138" s="15" t="n"/>
      <c r="Z138" s="16">
        <f>IFERROR(X138*Y138, 0)</f>
        <v/>
      </c>
      <c r="AA138" s="14" t="n"/>
      <c r="AB138" s="15" t="n"/>
      <c r="AC138" s="16">
        <f>IFERROR(AA138*AB138, 0)</f>
        <v/>
      </c>
      <c r="AD138" s="14" t="n"/>
      <c r="AE138" s="15" t="n"/>
      <c r="AF138" s="16">
        <f>IFERROR(AD138*AE138, 0)</f>
        <v/>
      </c>
      <c r="AG138" s="14" t="n"/>
      <c r="AH138" s="15" t="n"/>
      <c r="AI138" s="16">
        <f>IFERROR(AG138*AH138, 0)</f>
        <v/>
      </c>
      <c r="AJ138" s="14" t="n"/>
      <c r="AK138" s="15" t="n"/>
      <c r="AL138" s="16">
        <f>IFERROR(AJ138*AK138, 0)</f>
        <v/>
      </c>
      <c r="AM138" s="14" t="n"/>
      <c r="AN138" s="15" t="n"/>
      <c r="AO138" s="16">
        <f>IFERROR(AM138*AN138, 0)</f>
        <v/>
      </c>
      <c r="AP138" s="14" t="n"/>
      <c r="AQ138" s="15" t="n"/>
      <c r="AR138" s="16">
        <f>IFERROR(AP138*AQ138, 0)</f>
        <v/>
      </c>
      <c r="AS138" s="14" t="n"/>
      <c r="AT138" s="15" t="n"/>
      <c r="AU138" s="16">
        <f>IFERROR(AS138*AT138, 0)</f>
        <v/>
      </c>
      <c r="AV138" s="14" t="n"/>
      <c r="AW138" s="15" t="n"/>
      <c r="AX138" s="16">
        <f>IFERROR(AV138*AW138, 0)</f>
        <v/>
      </c>
      <c r="AY138" s="14" t="n"/>
      <c r="AZ138" s="15" t="n"/>
      <c r="BA138" s="16">
        <f>IFERROR(AY138*AZ138, 0)</f>
        <v/>
      </c>
      <c r="BB138" s="14" t="n"/>
      <c r="BC138" s="15" t="n"/>
      <c r="BD138" s="16">
        <f>IFERROR(BB138*BC138, 0)</f>
        <v/>
      </c>
      <c r="BE138" s="14" t="n"/>
      <c r="BF138" s="15" t="n"/>
      <c r="BG138" s="16">
        <f>IFERROR(BE138*BF138, 0)</f>
        <v/>
      </c>
      <c r="BH138" s="14" t="n"/>
      <c r="BI138" s="15" t="n"/>
      <c r="BJ138" s="16">
        <f>IFERROR(BH138*BI138, 0)</f>
        <v/>
      </c>
      <c r="BK138" s="14" t="n"/>
      <c r="BL138" s="15" t="n"/>
      <c r="BM138" s="16">
        <f>IFERROR(BK138*BL138, 0)</f>
        <v/>
      </c>
      <c r="BN138" s="14" t="n"/>
      <c r="BO138" s="15" t="n"/>
      <c r="BP138" s="16">
        <f>IFERROR(BN138*BO138, 0)</f>
        <v/>
      </c>
      <c r="BQ138" s="14" t="n"/>
      <c r="BR138" s="15" t="n"/>
      <c r="BS138" s="16">
        <f>IFERROR(BQ138*BR138, 0)</f>
        <v/>
      </c>
      <c r="BT138" s="14" t="n"/>
      <c r="BU138" s="15" t="n"/>
      <c r="BV138" s="16">
        <f>IFERROR(BT138*BU138, 0)</f>
        <v/>
      </c>
      <c r="BW138" s="14" t="n"/>
      <c r="BX138" s="15" t="n"/>
      <c r="BY138" s="16">
        <f>IFERROR(BW138*BX138, 0)</f>
        <v/>
      </c>
      <c r="BZ138" s="14" t="n"/>
      <c r="CA138" s="15" t="n"/>
      <c r="CB138" s="16">
        <f>IFERROR(BZ138*CA138, 0)</f>
        <v/>
      </c>
      <c r="CC138" s="14" t="n"/>
      <c r="CD138" s="15" t="n"/>
      <c r="CE138" s="16">
        <f>IFERROR(CC138*CD138, 0)</f>
        <v/>
      </c>
      <c r="CF138" s="14" t="n"/>
      <c r="CG138" s="15" t="n"/>
      <c r="CH138" s="16">
        <f>IFERROR(CF138*CG138, 0)</f>
        <v/>
      </c>
      <c r="CI138" s="14" t="n"/>
      <c r="CJ138" s="15" t="n"/>
      <c r="CK138" s="16">
        <f>IFERROR(CI138*CJ138, 0)</f>
        <v/>
      </c>
      <c r="CL138" s="14" t="n"/>
      <c r="CM138" s="15" t="n"/>
      <c r="CN138" s="16">
        <f>IFERROR(CL138*CM138, 0)</f>
        <v/>
      </c>
      <c r="CO138" s="14" t="n"/>
      <c r="CP138" s="15" t="n"/>
      <c r="CQ138" s="16">
        <f>IFERROR(CO138*CP138, 0)</f>
        <v/>
      </c>
      <c r="CR138" s="14" t="n"/>
      <c r="CS138" s="15" t="n"/>
      <c r="CT138" s="16">
        <f>IFERROR(CR138*CS138, 0)</f>
        <v/>
      </c>
      <c r="CU138" s="17">
        <f>IFERROR(SUM(F138,I138,L138,O138,R138,U138,X138,AA138,AD138,AG138,AJ138,AM138,AP138,AS138,AV138,AY138,BB138,BE138,BH138,BK138,BN138,BQ138,BT138,BW138,BZ138,CC138,CF138,CI138,CL138,CO138,CR138), 0)</f>
        <v/>
      </c>
      <c r="CV138" s="16">
        <f>IFERROR(AVERAGE(G138,J138,M138,P138,S138,V138,Y138,AB138,AE138,AH138,AK138,AN138,AQ138,AT138,AW138,AZ138,BC138,BF138,BI138,BL138,BO138,BR138,BU138,BX138,CA138,CD138,CG138,CJ138,CM138,CP138,CS138), 0)</f>
        <v/>
      </c>
      <c r="CW138" s="16">
        <f>CU138*CV138</f>
        <v/>
      </c>
    </row>
    <row r="139">
      <c r="A139" s="76" t="inlineStr">
        <is>
          <t>Rollo Fibra Amarrar tamales</t>
        </is>
      </c>
      <c r="B139" s="41" t="inlineStr">
        <is>
          <t>Und</t>
        </is>
      </c>
      <c r="C139" s="42" t="n"/>
      <c r="D139" s="43" t="n"/>
      <c r="E139" s="78">
        <f>IFERROR(+C139*D139, 0)</f>
        <v/>
      </c>
      <c r="F139" s="14" t="n"/>
      <c r="G139" s="15" t="n"/>
      <c r="H139" s="16">
        <f>IFERROR(F139*G139, 0)</f>
        <v/>
      </c>
      <c r="I139" s="14" t="n"/>
      <c r="J139" s="15" t="n"/>
      <c r="K139" s="16">
        <f>IFERROR(I139*J139, 0)</f>
        <v/>
      </c>
      <c r="L139" s="14" t="n"/>
      <c r="M139" s="15" t="n"/>
      <c r="N139" s="16">
        <f>IFERROR(L139*M139, 0)</f>
        <v/>
      </c>
      <c r="O139" s="14" t="n"/>
      <c r="P139" s="15" t="n"/>
      <c r="Q139" s="16">
        <f>IFERROR(O139*P139, 0)</f>
        <v/>
      </c>
      <c r="R139" s="14" t="n"/>
      <c r="S139" s="15" t="n"/>
      <c r="T139" s="16">
        <f>IFERROR(R139*S139, 0)</f>
        <v/>
      </c>
      <c r="U139" s="14" t="n"/>
      <c r="V139" s="15" t="n"/>
      <c r="W139" s="16">
        <f>IFERROR(U139*V139, 0)</f>
        <v/>
      </c>
      <c r="X139" s="14" t="n"/>
      <c r="Y139" s="15" t="n"/>
      <c r="Z139" s="16">
        <f>IFERROR(X139*Y139, 0)</f>
        <v/>
      </c>
      <c r="AA139" s="14" t="n"/>
      <c r="AB139" s="15" t="n"/>
      <c r="AC139" s="16">
        <f>IFERROR(AA139*AB139, 0)</f>
        <v/>
      </c>
      <c r="AD139" s="14" t="n"/>
      <c r="AE139" s="15" t="n"/>
      <c r="AF139" s="16">
        <f>IFERROR(AD139*AE139, 0)</f>
        <v/>
      </c>
      <c r="AG139" s="14" t="n"/>
      <c r="AH139" s="15" t="n"/>
      <c r="AI139" s="16">
        <f>IFERROR(AG139*AH139, 0)</f>
        <v/>
      </c>
      <c r="AJ139" s="14" t="n"/>
      <c r="AK139" s="15" t="n"/>
      <c r="AL139" s="16">
        <f>IFERROR(AJ139*AK139, 0)</f>
        <v/>
      </c>
      <c r="AM139" s="14" t="n"/>
      <c r="AN139" s="15" t="n"/>
      <c r="AO139" s="16">
        <f>IFERROR(AM139*AN139, 0)</f>
        <v/>
      </c>
      <c r="AP139" s="14" t="n"/>
      <c r="AQ139" s="15" t="n"/>
      <c r="AR139" s="16">
        <f>IFERROR(AP139*AQ139, 0)</f>
        <v/>
      </c>
      <c r="AS139" s="14" t="n"/>
      <c r="AT139" s="15" t="n"/>
      <c r="AU139" s="16">
        <f>IFERROR(AS139*AT139, 0)</f>
        <v/>
      </c>
      <c r="AV139" s="14" t="n"/>
      <c r="AW139" s="15" t="n"/>
      <c r="AX139" s="16">
        <f>IFERROR(AV139*AW139, 0)</f>
        <v/>
      </c>
      <c r="AY139" s="14" t="n"/>
      <c r="AZ139" s="15" t="n"/>
      <c r="BA139" s="16">
        <f>IFERROR(AY139*AZ139, 0)</f>
        <v/>
      </c>
      <c r="BB139" s="14" t="n"/>
      <c r="BC139" s="15" t="n"/>
      <c r="BD139" s="16">
        <f>IFERROR(BB139*BC139, 0)</f>
        <v/>
      </c>
      <c r="BE139" s="14" t="n"/>
      <c r="BF139" s="15" t="n"/>
      <c r="BG139" s="16">
        <f>IFERROR(BE139*BF139, 0)</f>
        <v/>
      </c>
      <c r="BH139" s="14" t="n"/>
      <c r="BI139" s="15" t="n"/>
      <c r="BJ139" s="16">
        <f>IFERROR(BH139*BI139, 0)</f>
        <v/>
      </c>
      <c r="BK139" s="14" t="n"/>
      <c r="BL139" s="15" t="n"/>
      <c r="BM139" s="16">
        <f>IFERROR(BK139*BL139, 0)</f>
        <v/>
      </c>
      <c r="BN139" s="14" t="n"/>
      <c r="BO139" s="15" t="n"/>
      <c r="BP139" s="16">
        <f>IFERROR(BN139*BO139, 0)</f>
        <v/>
      </c>
      <c r="BQ139" s="14" t="n"/>
      <c r="BR139" s="15" t="n"/>
      <c r="BS139" s="16">
        <f>IFERROR(BQ139*BR139, 0)</f>
        <v/>
      </c>
      <c r="BT139" s="14" t="n"/>
      <c r="BU139" s="15" t="n"/>
      <c r="BV139" s="16">
        <f>IFERROR(BT139*BU139, 0)</f>
        <v/>
      </c>
      <c r="BW139" s="14" t="n"/>
      <c r="BX139" s="15" t="n"/>
      <c r="BY139" s="16">
        <f>IFERROR(BW139*BX139, 0)</f>
        <v/>
      </c>
      <c r="BZ139" s="14" t="n"/>
      <c r="CA139" s="15" t="n"/>
      <c r="CB139" s="16">
        <f>IFERROR(BZ139*CA139, 0)</f>
        <v/>
      </c>
      <c r="CC139" s="14" t="n"/>
      <c r="CD139" s="15" t="n"/>
      <c r="CE139" s="16">
        <f>IFERROR(CC139*CD139, 0)</f>
        <v/>
      </c>
      <c r="CF139" s="14" t="n"/>
      <c r="CG139" s="15" t="n"/>
      <c r="CH139" s="16">
        <f>IFERROR(CF139*CG139, 0)</f>
        <v/>
      </c>
      <c r="CI139" s="14" t="n"/>
      <c r="CJ139" s="15" t="n"/>
      <c r="CK139" s="16">
        <f>IFERROR(CI139*CJ139, 0)</f>
        <v/>
      </c>
      <c r="CL139" s="14" t="n"/>
      <c r="CM139" s="15" t="n"/>
      <c r="CN139" s="16">
        <f>IFERROR(CL139*CM139, 0)</f>
        <v/>
      </c>
      <c r="CO139" s="14" t="n"/>
      <c r="CP139" s="15" t="n"/>
      <c r="CQ139" s="16">
        <f>IFERROR(CO139*CP139, 0)</f>
        <v/>
      </c>
      <c r="CR139" s="14" t="n"/>
      <c r="CS139" s="15" t="n"/>
      <c r="CT139" s="16">
        <f>IFERROR(CR139*CS139, 0)</f>
        <v/>
      </c>
      <c r="CU139" s="17">
        <f>IFERROR(SUM(F139,I139,L139,O139,R139,U139,X139,AA139,AD139,AG139,AJ139,AM139,AP139,AS139,AV139,AY139,BB139,BE139,BH139,BK139,BN139,BQ139,BT139,BW139,BZ139,CC139,CF139,CI139,CL139,CO139,CR139), 0)</f>
        <v/>
      </c>
      <c r="CV139" s="16">
        <f>IFERROR(AVERAGE(G139,J139,M139,P139,S139,V139,Y139,AB139,AE139,AH139,AK139,AN139,AQ139,AT139,AW139,AZ139,BC139,BF139,BI139,BL139,BO139,BR139,BU139,BX139,CA139,CD139,CG139,CJ139,CM139,CP139,CS139), 0)</f>
        <v/>
      </c>
      <c r="CW139" s="16">
        <f>CU139*CV139</f>
        <v/>
      </c>
    </row>
    <row r="140">
      <c r="A140" s="76" t="inlineStr">
        <is>
          <t>Cable 2RCA x 12 mts</t>
        </is>
      </c>
      <c r="B140" s="41" t="inlineStr">
        <is>
          <t>Und</t>
        </is>
      </c>
      <c r="C140" s="42" t="n"/>
      <c r="D140" s="43" t="n"/>
      <c r="E140" s="78">
        <f>IFERROR(+C140*D140, 0)</f>
        <v/>
      </c>
      <c r="F140" s="14" t="n"/>
      <c r="G140" s="15" t="n"/>
      <c r="H140" s="16">
        <f>IFERROR(F140*G140, 0)</f>
        <v/>
      </c>
      <c r="I140" s="14" t="n"/>
      <c r="J140" s="15" t="n"/>
      <c r="K140" s="16">
        <f>IFERROR(I140*J140, 0)</f>
        <v/>
      </c>
      <c r="L140" s="14" t="n"/>
      <c r="M140" s="15" t="n"/>
      <c r="N140" s="16">
        <f>IFERROR(L140*M140, 0)</f>
        <v/>
      </c>
      <c r="O140" s="14" t="n"/>
      <c r="P140" s="15" t="n"/>
      <c r="Q140" s="16">
        <f>IFERROR(O140*P140, 0)</f>
        <v/>
      </c>
      <c r="R140" s="14" t="n"/>
      <c r="S140" s="15" t="n"/>
      <c r="T140" s="16">
        <f>IFERROR(R140*S140, 0)</f>
        <v/>
      </c>
      <c r="U140" s="14" t="n"/>
      <c r="V140" s="15" t="n"/>
      <c r="W140" s="16">
        <f>IFERROR(U140*V140, 0)</f>
        <v/>
      </c>
      <c r="X140" s="14" t="n"/>
      <c r="Y140" s="15" t="n"/>
      <c r="Z140" s="16">
        <f>IFERROR(X140*Y140, 0)</f>
        <v/>
      </c>
      <c r="AA140" s="14" t="n"/>
      <c r="AB140" s="15" t="n"/>
      <c r="AC140" s="16">
        <f>IFERROR(AA140*AB140, 0)</f>
        <v/>
      </c>
      <c r="AD140" s="14" t="n"/>
      <c r="AE140" s="15" t="n"/>
      <c r="AF140" s="16">
        <f>IFERROR(AD140*AE140, 0)</f>
        <v/>
      </c>
      <c r="AG140" s="14" t="n"/>
      <c r="AH140" s="15" t="n"/>
      <c r="AI140" s="16">
        <f>IFERROR(AG140*AH140, 0)</f>
        <v/>
      </c>
      <c r="AJ140" s="14" t="n"/>
      <c r="AK140" s="15" t="n"/>
      <c r="AL140" s="16">
        <f>IFERROR(AJ140*AK140, 0)</f>
        <v/>
      </c>
      <c r="AM140" s="14" t="n"/>
      <c r="AN140" s="15" t="n"/>
      <c r="AO140" s="16">
        <f>IFERROR(AM140*AN140, 0)</f>
        <v/>
      </c>
      <c r="AP140" s="14" t="n"/>
      <c r="AQ140" s="15" t="n"/>
      <c r="AR140" s="16">
        <f>IFERROR(AP140*AQ140, 0)</f>
        <v/>
      </c>
      <c r="AS140" s="14" t="n"/>
      <c r="AT140" s="15" t="n"/>
      <c r="AU140" s="16">
        <f>IFERROR(AS140*AT140, 0)</f>
        <v/>
      </c>
      <c r="AV140" s="14" t="n"/>
      <c r="AW140" s="15" t="n"/>
      <c r="AX140" s="16">
        <f>IFERROR(AV140*AW140, 0)</f>
        <v/>
      </c>
      <c r="AY140" s="14" t="n"/>
      <c r="AZ140" s="15" t="n"/>
      <c r="BA140" s="16">
        <f>IFERROR(AY140*AZ140, 0)</f>
        <v/>
      </c>
      <c r="BB140" s="14" t="n"/>
      <c r="BC140" s="15" t="n"/>
      <c r="BD140" s="16">
        <f>IFERROR(BB140*BC140, 0)</f>
        <v/>
      </c>
      <c r="BE140" s="14" t="n"/>
      <c r="BF140" s="15" t="n"/>
      <c r="BG140" s="16">
        <f>IFERROR(BE140*BF140, 0)</f>
        <v/>
      </c>
      <c r="BH140" s="14" t="n"/>
      <c r="BI140" s="15" t="n"/>
      <c r="BJ140" s="16">
        <f>IFERROR(BH140*BI140, 0)</f>
        <v/>
      </c>
      <c r="BK140" s="14" t="n"/>
      <c r="BL140" s="15" t="n"/>
      <c r="BM140" s="16">
        <f>IFERROR(BK140*BL140, 0)</f>
        <v/>
      </c>
      <c r="BN140" s="14" t="n"/>
      <c r="BO140" s="15" t="n"/>
      <c r="BP140" s="16">
        <f>IFERROR(BN140*BO140, 0)</f>
        <v/>
      </c>
      <c r="BQ140" s="14" t="n"/>
      <c r="BR140" s="15" t="n"/>
      <c r="BS140" s="16">
        <f>IFERROR(BQ140*BR140, 0)</f>
        <v/>
      </c>
      <c r="BT140" s="14" t="n"/>
      <c r="BU140" s="15" t="n"/>
      <c r="BV140" s="16">
        <f>IFERROR(BT140*BU140, 0)</f>
        <v/>
      </c>
      <c r="BW140" s="14" t="n"/>
      <c r="BX140" s="15" t="n"/>
      <c r="BY140" s="16">
        <f>IFERROR(BW140*BX140, 0)</f>
        <v/>
      </c>
      <c r="BZ140" s="14" t="n"/>
      <c r="CA140" s="15" t="n"/>
      <c r="CB140" s="16">
        <f>IFERROR(BZ140*CA140, 0)</f>
        <v/>
      </c>
      <c r="CC140" s="14" t="n"/>
      <c r="CD140" s="15" t="n"/>
      <c r="CE140" s="16">
        <f>IFERROR(CC140*CD140, 0)</f>
        <v/>
      </c>
      <c r="CF140" s="14" t="n"/>
      <c r="CG140" s="15" t="n"/>
      <c r="CH140" s="16">
        <f>IFERROR(CF140*CG140, 0)</f>
        <v/>
      </c>
      <c r="CI140" s="14" t="n"/>
      <c r="CJ140" s="15" t="n"/>
      <c r="CK140" s="16">
        <f>IFERROR(CI140*CJ140, 0)</f>
        <v/>
      </c>
      <c r="CL140" s="14" t="n"/>
      <c r="CM140" s="15" t="n"/>
      <c r="CN140" s="16">
        <f>IFERROR(CL140*CM140, 0)</f>
        <v/>
      </c>
      <c r="CO140" s="14" t="n"/>
      <c r="CP140" s="15" t="n"/>
      <c r="CQ140" s="16">
        <f>IFERROR(CO140*CP140, 0)</f>
        <v/>
      </c>
      <c r="CR140" s="14" t="n"/>
      <c r="CS140" s="15" t="n"/>
      <c r="CT140" s="16">
        <f>IFERROR(CR140*CS140, 0)</f>
        <v/>
      </c>
      <c r="CU140" s="17">
        <f>IFERROR(SUM(F140,I140,L140,O140,R140,U140,X140,AA140,AD140,AG140,AJ140,AM140,AP140,AS140,AV140,AY140,BB140,BE140,BH140,BK140,BN140,BQ140,BT140,BW140,BZ140,CC140,CF140,CI140,CL140,CO140,CR140), 0)</f>
        <v/>
      </c>
      <c r="CV140" s="16">
        <f>IFERROR(AVERAGE(G140,J140,M140,P140,S140,V140,Y140,AB140,AE140,AH140,AK140,AN140,AQ140,AT140,AW140,AZ140,BC140,BF140,BI140,BL140,BO140,BR140,BU140,BX140,CA140,CD140,CG140,CJ140,CM140,CP140,CS140), 0)</f>
        <v/>
      </c>
      <c r="CW140" s="16">
        <f>CU140*CV140</f>
        <v/>
      </c>
    </row>
    <row r="141">
      <c r="A141" s="76" t="inlineStr">
        <is>
          <t>Tomas Dobles</t>
        </is>
      </c>
      <c r="B141" s="41" t="inlineStr">
        <is>
          <t>Und</t>
        </is>
      </c>
      <c r="C141" s="42" t="n"/>
      <c r="D141" s="43" t="n"/>
      <c r="E141" s="78">
        <f>IFERROR(+C141*D141, 0)</f>
        <v/>
      </c>
      <c r="F141" s="14" t="n"/>
      <c r="G141" s="15" t="n"/>
      <c r="H141" s="16">
        <f>IFERROR(F141*G141, 0)</f>
        <v/>
      </c>
      <c r="I141" s="14" t="n"/>
      <c r="J141" s="15" t="n"/>
      <c r="K141" s="16">
        <f>IFERROR(I141*J141, 0)</f>
        <v/>
      </c>
      <c r="L141" s="14" t="n"/>
      <c r="M141" s="15" t="n"/>
      <c r="N141" s="16">
        <f>IFERROR(L141*M141, 0)</f>
        <v/>
      </c>
      <c r="O141" s="14" t="n"/>
      <c r="P141" s="15" t="n"/>
      <c r="Q141" s="16">
        <f>IFERROR(O141*P141, 0)</f>
        <v/>
      </c>
      <c r="R141" s="14" t="n"/>
      <c r="S141" s="15" t="n"/>
      <c r="T141" s="16">
        <f>IFERROR(R141*S141, 0)</f>
        <v/>
      </c>
      <c r="U141" s="14" t="n"/>
      <c r="V141" s="15" t="n"/>
      <c r="W141" s="16">
        <f>IFERROR(U141*V141, 0)</f>
        <v/>
      </c>
      <c r="X141" s="14" t="n"/>
      <c r="Y141" s="15" t="n"/>
      <c r="Z141" s="16">
        <f>IFERROR(X141*Y141, 0)</f>
        <v/>
      </c>
      <c r="AA141" s="14" t="n"/>
      <c r="AB141" s="15" t="n"/>
      <c r="AC141" s="16">
        <f>IFERROR(AA141*AB141, 0)</f>
        <v/>
      </c>
      <c r="AD141" s="14" t="n"/>
      <c r="AE141" s="15" t="n"/>
      <c r="AF141" s="16">
        <f>IFERROR(AD141*AE141, 0)</f>
        <v/>
      </c>
      <c r="AG141" s="14" t="n"/>
      <c r="AH141" s="15" t="n"/>
      <c r="AI141" s="16">
        <f>IFERROR(AG141*AH141, 0)</f>
        <v/>
      </c>
      <c r="AJ141" s="14" t="n"/>
      <c r="AK141" s="15" t="n"/>
      <c r="AL141" s="16">
        <f>IFERROR(AJ141*AK141, 0)</f>
        <v/>
      </c>
      <c r="AM141" s="14" t="n"/>
      <c r="AN141" s="15" t="n"/>
      <c r="AO141" s="16">
        <f>IFERROR(AM141*AN141, 0)</f>
        <v/>
      </c>
      <c r="AP141" s="14" t="n"/>
      <c r="AQ141" s="15" t="n"/>
      <c r="AR141" s="16">
        <f>IFERROR(AP141*AQ141, 0)</f>
        <v/>
      </c>
      <c r="AS141" s="14" t="n"/>
      <c r="AT141" s="15" t="n"/>
      <c r="AU141" s="16">
        <f>IFERROR(AS141*AT141, 0)</f>
        <v/>
      </c>
      <c r="AV141" s="14" t="n"/>
      <c r="AW141" s="15" t="n"/>
      <c r="AX141" s="16">
        <f>IFERROR(AV141*AW141, 0)</f>
        <v/>
      </c>
      <c r="AY141" s="14" t="n"/>
      <c r="AZ141" s="15" t="n"/>
      <c r="BA141" s="16">
        <f>IFERROR(AY141*AZ141, 0)</f>
        <v/>
      </c>
      <c r="BB141" s="14" t="n"/>
      <c r="BC141" s="15" t="n"/>
      <c r="BD141" s="16">
        <f>IFERROR(BB141*BC141, 0)</f>
        <v/>
      </c>
      <c r="BE141" s="14" t="n"/>
      <c r="BF141" s="15" t="n"/>
      <c r="BG141" s="16">
        <f>IFERROR(BE141*BF141, 0)</f>
        <v/>
      </c>
      <c r="BH141" s="14" t="n"/>
      <c r="BI141" s="15" t="n"/>
      <c r="BJ141" s="16">
        <f>IFERROR(BH141*BI141, 0)</f>
        <v/>
      </c>
      <c r="BK141" s="14" t="n"/>
      <c r="BL141" s="15" t="n"/>
      <c r="BM141" s="16">
        <f>IFERROR(BK141*BL141, 0)</f>
        <v/>
      </c>
      <c r="BN141" s="14" t="n"/>
      <c r="BO141" s="15" t="n"/>
      <c r="BP141" s="16">
        <f>IFERROR(BN141*BO141, 0)</f>
        <v/>
      </c>
      <c r="BQ141" s="14" t="n"/>
      <c r="BR141" s="15" t="n"/>
      <c r="BS141" s="16">
        <f>IFERROR(BQ141*BR141, 0)</f>
        <v/>
      </c>
      <c r="BT141" s="14" t="n"/>
      <c r="BU141" s="15" t="n"/>
      <c r="BV141" s="16">
        <f>IFERROR(BT141*BU141, 0)</f>
        <v/>
      </c>
      <c r="BW141" s="14" t="n"/>
      <c r="BX141" s="15" t="n"/>
      <c r="BY141" s="16">
        <f>IFERROR(BW141*BX141, 0)</f>
        <v/>
      </c>
      <c r="BZ141" s="14" t="n"/>
      <c r="CA141" s="15" t="n"/>
      <c r="CB141" s="16">
        <f>IFERROR(BZ141*CA141, 0)</f>
        <v/>
      </c>
      <c r="CC141" s="14" t="n"/>
      <c r="CD141" s="15" t="n"/>
      <c r="CE141" s="16">
        <f>IFERROR(CC141*CD141, 0)</f>
        <v/>
      </c>
      <c r="CF141" s="14" t="n"/>
      <c r="CG141" s="15" t="n"/>
      <c r="CH141" s="16">
        <f>IFERROR(CF141*CG141, 0)</f>
        <v/>
      </c>
      <c r="CI141" s="14" t="n"/>
      <c r="CJ141" s="15" t="n"/>
      <c r="CK141" s="16">
        <f>IFERROR(CI141*CJ141, 0)</f>
        <v/>
      </c>
      <c r="CL141" s="14" t="n"/>
      <c r="CM141" s="15" t="n"/>
      <c r="CN141" s="16">
        <f>IFERROR(CL141*CM141, 0)</f>
        <v/>
      </c>
      <c r="CO141" s="14" t="n"/>
      <c r="CP141" s="15" t="n"/>
      <c r="CQ141" s="16">
        <f>IFERROR(CO141*CP141, 0)</f>
        <v/>
      </c>
      <c r="CR141" s="14" t="n"/>
      <c r="CS141" s="15" t="n"/>
      <c r="CT141" s="16">
        <f>IFERROR(CR141*CS141, 0)</f>
        <v/>
      </c>
      <c r="CU141" s="17">
        <f>IFERROR(SUM(F141,I141,L141,O141,R141,U141,X141,AA141,AD141,AG141,AJ141,AM141,AP141,AS141,AV141,AY141,BB141,BE141,BH141,BK141,BN141,BQ141,BT141,BW141,BZ141,CC141,CF141,CI141,CL141,CO141,CR141), 0)</f>
        <v/>
      </c>
      <c r="CV141" s="16">
        <f>IFERROR(AVERAGE(G141,J141,M141,P141,S141,V141,Y141,AB141,AE141,AH141,AK141,AN141,AQ141,AT141,AW141,AZ141,BC141,BF141,BI141,BL141,BO141,BR141,BU141,BX141,CA141,CD141,CG141,CJ141,CM141,CP141,CS141), 0)</f>
        <v/>
      </c>
      <c r="CW141" s="16">
        <f>CU141*CV141</f>
        <v/>
      </c>
    </row>
    <row r="142">
      <c r="A142" s="76" t="inlineStr">
        <is>
          <t>Botella Thiner</t>
        </is>
      </c>
      <c r="B142" s="41" t="inlineStr">
        <is>
          <t>Und</t>
        </is>
      </c>
      <c r="C142" s="42" t="n"/>
      <c r="D142" s="43" t="n"/>
      <c r="E142" s="78">
        <f>IFERROR(+C142*D142, 0)</f>
        <v/>
      </c>
      <c r="F142" s="14" t="n"/>
      <c r="G142" s="15" t="n"/>
      <c r="H142" s="16">
        <f>IFERROR(F142*G142, 0)</f>
        <v/>
      </c>
      <c r="I142" s="14" t="n"/>
      <c r="J142" s="15" t="n"/>
      <c r="K142" s="16">
        <f>IFERROR(I142*J142, 0)</f>
        <v/>
      </c>
      <c r="L142" s="14" t="n"/>
      <c r="M142" s="15" t="n"/>
      <c r="N142" s="16">
        <f>IFERROR(L142*M142, 0)</f>
        <v/>
      </c>
      <c r="O142" s="14" t="n"/>
      <c r="P142" s="15" t="n"/>
      <c r="Q142" s="16">
        <f>IFERROR(O142*P142, 0)</f>
        <v/>
      </c>
      <c r="R142" s="14" t="n"/>
      <c r="S142" s="15" t="n"/>
      <c r="T142" s="16">
        <f>IFERROR(R142*S142, 0)</f>
        <v/>
      </c>
      <c r="U142" s="14" t="n"/>
      <c r="V142" s="15" t="n"/>
      <c r="W142" s="16">
        <f>IFERROR(U142*V142, 0)</f>
        <v/>
      </c>
      <c r="X142" s="14" t="n"/>
      <c r="Y142" s="15" t="n"/>
      <c r="Z142" s="16">
        <f>IFERROR(X142*Y142, 0)</f>
        <v/>
      </c>
      <c r="AA142" s="14" t="n"/>
      <c r="AB142" s="15" t="n"/>
      <c r="AC142" s="16">
        <f>IFERROR(AA142*AB142, 0)</f>
        <v/>
      </c>
      <c r="AD142" s="14" t="n"/>
      <c r="AE142" s="15" t="n"/>
      <c r="AF142" s="16">
        <f>IFERROR(AD142*AE142, 0)</f>
        <v/>
      </c>
      <c r="AG142" s="14" t="n"/>
      <c r="AH142" s="15" t="n"/>
      <c r="AI142" s="16">
        <f>IFERROR(AG142*AH142, 0)</f>
        <v/>
      </c>
      <c r="AJ142" s="14" t="n"/>
      <c r="AK142" s="15" t="n"/>
      <c r="AL142" s="16">
        <f>IFERROR(AJ142*AK142, 0)</f>
        <v/>
      </c>
      <c r="AM142" s="14" t="n"/>
      <c r="AN142" s="15" t="n"/>
      <c r="AO142" s="16">
        <f>IFERROR(AM142*AN142, 0)</f>
        <v/>
      </c>
      <c r="AP142" s="14" t="n"/>
      <c r="AQ142" s="15" t="n"/>
      <c r="AR142" s="16">
        <f>IFERROR(AP142*AQ142, 0)</f>
        <v/>
      </c>
      <c r="AS142" s="14" t="n"/>
      <c r="AT142" s="15" t="n"/>
      <c r="AU142" s="16">
        <f>IFERROR(AS142*AT142, 0)</f>
        <v/>
      </c>
      <c r="AV142" s="14" t="n"/>
      <c r="AW142" s="15" t="n"/>
      <c r="AX142" s="16">
        <f>IFERROR(AV142*AW142, 0)</f>
        <v/>
      </c>
      <c r="AY142" s="14" t="n"/>
      <c r="AZ142" s="15" t="n"/>
      <c r="BA142" s="16">
        <f>IFERROR(AY142*AZ142, 0)</f>
        <v/>
      </c>
      <c r="BB142" s="14" t="n"/>
      <c r="BC142" s="15" t="n"/>
      <c r="BD142" s="16">
        <f>IFERROR(BB142*BC142, 0)</f>
        <v/>
      </c>
      <c r="BE142" s="14" t="n"/>
      <c r="BF142" s="15" t="n"/>
      <c r="BG142" s="16">
        <f>IFERROR(BE142*BF142, 0)</f>
        <v/>
      </c>
      <c r="BH142" s="14" t="n"/>
      <c r="BI142" s="15" t="n"/>
      <c r="BJ142" s="16">
        <f>IFERROR(BH142*BI142, 0)</f>
        <v/>
      </c>
      <c r="BK142" s="14" t="n"/>
      <c r="BL142" s="15" t="n"/>
      <c r="BM142" s="16">
        <f>IFERROR(BK142*BL142, 0)</f>
        <v/>
      </c>
      <c r="BN142" s="14" t="n"/>
      <c r="BO142" s="15" t="n"/>
      <c r="BP142" s="16">
        <f>IFERROR(BN142*BO142, 0)</f>
        <v/>
      </c>
      <c r="BQ142" s="14" t="n"/>
      <c r="BR142" s="15" t="n"/>
      <c r="BS142" s="16">
        <f>IFERROR(BQ142*BR142, 0)</f>
        <v/>
      </c>
      <c r="BT142" s="14" t="n"/>
      <c r="BU142" s="15" t="n"/>
      <c r="BV142" s="16">
        <f>IFERROR(BT142*BU142, 0)</f>
        <v/>
      </c>
      <c r="BW142" s="14" t="n"/>
      <c r="BX142" s="15" t="n"/>
      <c r="BY142" s="16">
        <f>IFERROR(BW142*BX142, 0)</f>
        <v/>
      </c>
      <c r="BZ142" s="14" t="n"/>
      <c r="CA142" s="15" t="n"/>
      <c r="CB142" s="16">
        <f>IFERROR(BZ142*CA142, 0)</f>
        <v/>
      </c>
      <c r="CC142" s="14" t="n"/>
      <c r="CD142" s="15" t="n"/>
      <c r="CE142" s="16">
        <f>IFERROR(CC142*CD142, 0)</f>
        <v/>
      </c>
      <c r="CF142" s="14" t="n"/>
      <c r="CG142" s="15" t="n"/>
      <c r="CH142" s="16">
        <f>IFERROR(CF142*CG142, 0)</f>
        <v/>
      </c>
      <c r="CI142" s="14" t="n"/>
      <c r="CJ142" s="15" t="n"/>
      <c r="CK142" s="16">
        <f>IFERROR(CI142*CJ142, 0)</f>
        <v/>
      </c>
      <c r="CL142" s="14" t="n"/>
      <c r="CM142" s="15" t="n"/>
      <c r="CN142" s="16">
        <f>IFERROR(CL142*CM142, 0)</f>
        <v/>
      </c>
      <c r="CO142" s="14" t="n"/>
      <c r="CP142" s="15" t="n"/>
      <c r="CQ142" s="16">
        <f>IFERROR(CO142*CP142, 0)</f>
        <v/>
      </c>
      <c r="CR142" s="14" t="n"/>
      <c r="CS142" s="15" t="n"/>
      <c r="CT142" s="16">
        <f>IFERROR(CR142*CS142, 0)</f>
        <v/>
      </c>
      <c r="CU142" s="17">
        <f>IFERROR(SUM(F142,I142,L142,O142,R142,U142,X142,AA142,AD142,AG142,AJ142,AM142,AP142,AS142,AV142,AY142,BB142,BE142,BH142,BK142,BN142,BQ142,BT142,BW142,BZ142,CC142,CF142,CI142,CL142,CO142,CR142), 0)</f>
        <v/>
      </c>
      <c r="CV142" s="16">
        <f>IFERROR(AVERAGE(G142,J142,M142,P142,S142,V142,Y142,AB142,AE142,AH142,AK142,AN142,AQ142,AT142,AW142,AZ142,BC142,BF142,BI142,BL142,BO142,BR142,BU142,BX142,CA142,CD142,CG142,CJ142,CM142,CP142,CS142), 0)</f>
        <v/>
      </c>
      <c r="CW142" s="16">
        <f>CU142*CV142</f>
        <v/>
      </c>
    </row>
    <row r="143">
      <c r="A143" s="76" t="inlineStr">
        <is>
          <t>Banderines</t>
        </is>
      </c>
      <c r="B143" s="41" t="inlineStr">
        <is>
          <t>Und</t>
        </is>
      </c>
      <c r="C143" s="42" t="n"/>
      <c r="D143" s="43" t="n"/>
      <c r="E143" s="78">
        <f>IFERROR(+C143*D143, 0)</f>
        <v/>
      </c>
      <c r="F143" s="14" t="n"/>
      <c r="G143" s="15" t="n"/>
      <c r="H143" s="16">
        <f>IFERROR(F143*G143, 0)</f>
        <v/>
      </c>
      <c r="I143" s="14" t="n"/>
      <c r="J143" s="15" t="n"/>
      <c r="K143" s="16">
        <f>IFERROR(I143*J143, 0)</f>
        <v/>
      </c>
      <c r="L143" s="14" t="n"/>
      <c r="M143" s="15" t="n"/>
      <c r="N143" s="16">
        <f>IFERROR(L143*M143, 0)</f>
        <v/>
      </c>
      <c r="O143" s="14" t="n"/>
      <c r="P143" s="15" t="n"/>
      <c r="Q143" s="16">
        <f>IFERROR(O143*P143, 0)</f>
        <v/>
      </c>
      <c r="R143" s="14" t="n"/>
      <c r="S143" s="15" t="n"/>
      <c r="T143" s="16">
        <f>IFERROR(R143*S143, 0)</f>
        <v/>
      </c>
      <c r="U143" s="14" t="n"/>
      <c r="V143" s="15" t="n"/>
      <c r="W143" s="16">
        <f>IFERROR(U143*V143, 0)</f>
        <v/>
      </c>
      <c r="X143" s="14" t="n"/>
      <c r="Y143" s="15" t="n"/>
      <c r="Z143" s="16">
        <f>IFERROR(X143*Y143, 0)</f>
        <v/>
      </c>
      <c r="AA143" s="14" t="n"/>
      <c r="AB143" s="15" t="n"/>
      <c r="AC143" s="16">
        <f>IFERROR(AA143*AB143, 0)</f>
        <v/>
      </c>
      <c r="AD143" s="14" t="n"/>
      <c r="AE143" s="15" t="n"/>
      <c r="AF143" s="16">
        <f>IFERROR(AD143*AE143, 0)</f>
        <v/>
      </c>
      <c r="AG143" s="14" t="n"/>
      <c r="AH143" s="15" t="n"/>
      <c r="AI143" s="16">
        <f>IFERROR(AG143*AH143, 0)</f>
        <v/>
      </c>
      <c r="AJ143" s="14" t="n"/>
      <c r="AK143" s="15" t="n"/>
      <c r="AL143" s="16">
        <f>IFERROR(AJ143*AK143, 0)</f>
        <v/>
      </c>
      <c r="AM143" s="14" t="n"/>
      <c r="AN143" s="15" t="n"/>
      <c r="AO143" s="16">
        <f>IFERROR(AM143*AN143, 0)</f>
        <v/>
      </c>
      <c r="AP143" s="14" t="n"/>
      <c r="AQ143" s="15" t="n"/>
      <c r="AR143" s="16">
        <f>IFERROR(AP143*AQ143, 0)</f>
        <v/>
      </c>
      <c r="AS143" s="14" t="n"/>
      <c r="AT143" s="15" t="n"/>
      <c r="AU143" s="16">
        <f>IFERROR(AS143*AT143, 0)</f>
        <v/>
      </c>
      <c r="AV143" s="14" t="n"/>
      <c r="AW143" s="15" t="n"/>
      <c r="AX143" s="16">
        <f>IFERROR(AV143*AW143, 0)</f>
        <v/>
      </c>
      <c r="AY143" s="14" t="n"/>
      <c r="AZ143" s="15" t="n"/>
      <c r="BA143" s="16">
        <f>IFERROR(AY143*AZ143, 0)</f>
        <v/>
      </c>
      <c r="BB143" s="14" t="n"/>
      <c r="BC143" s="15" t="n"/>
      <c r="BD143" s="16">
        <f>IFERROR(BB143*BC143, 0)</f>
        <v/>
      </c>
      <c r="BE143" s="14" t="n"/>
      <c r="BF143" s="15" t="n"/>
      <c r="BG143" s="16">
        <f>IFERROR(BE143*BF143, 0)</f>
        <v/>
      </c>
      <c r="BH143" s="14" t="n"/>
      <c r="BI143" s="15" t="n"/>
      <c r="BJ143" s="16">
        <f>IFERROR(BH143*BI143, 0)</f>
        <v/>
      </c>
      <c r="BK143" s="14" t="n"/>
      <c r="BL143" s="15" t="n"/>
      <c r="BM143" s="16">
        <f>IFERROR(BK143*BL143, 0)</f>
        <v/>
      </c>
      <c r="BN143" s="14" t="n"/>
      <c r="BO143" s="15" t="n"/>
      <c r="BP143" s="16">
        <f>IFERROR(BN143*BO143, 0)</f>
        <v/>
      </c>
      <c r="BQ143" s="14" t="n"/>
      <c r="BR143" s="15" t="n"/>
      <c r="BS143" s="16">
        <f>IFERROR(BQ143*BR143, 0)</f>
        <v/>
      </c>
      <c r="BT143" s="14" t="n"/>
      <c r="BU143" s="15" t="n"/>
      <c r="BV143" s="16">
        <f>IFERROR(BT143*BU143, 0)</f>
        <v/>
      </c>
      <c r="BW143" s="14" t="n"/>
      <c r="BX143" s="15" t="n"/>
      <c r="BY143" s="16">
        <f>IFERROR(BW143*BX143, 0)</f>
        <v/>
      </c>
      <c r="BZ143" s="14" t="n"/>
      <c r="CA143" s="15" t="n"/>
      <c r="CB143" s="16">
        <f>IFERROR(BZ143*CA143, 0)</f>
        <v/>
      </c>
      <c r="CC143" s="14" t="n"/>
      <c r="CD143" s="15" t="n"/>
      <c r="CE143" s="16">
        <f>IFERROR(CC143*CD143, 0)</f>
        <v/>
      </c>
      <c r="CF143" s="14" t="n"/>
      <c r="CG143" s="15" t="n"/>
      <c r="CH143" s="16">
        <f>IFERROR(CF143*CG143, 0)</f>
        <v/>
      </c>
      <c r="CI143" s="14" t="n"/>
      <c r="CJ143" s="15" t="n"/>
      <c r="CK143" s="16">
        <f>IFERROR(CI143*CJ143, 0)</f>
        <v/>
      </c>
      <c r="CL143" s="14" t="n"/>
      <c r="CM143" s="15" t="n"/>
      <c r="CN143" s="16">
        <f>IFERROR(CL143*CM143, 0)</f>
        <v/>
      </c>
      <c r="CO143" s="14" t="n"/>
      <c r="CP143" s="15" t="n"/>
      <c r="CQ143" s="16">
        <f>IFERROR(CO143*CP143, 0)</f>
        <v/>
      </c>
      <c r="CR143" s="14" t="n"/>
      <c r="CS143" s="15" t="n"/>
      <c r="CT143" s="16">
        <f>IFERROR(CR143*CS143, 0)</f>
        <v/>
      </c>
      <c r="CU143" s="17">
        <f>IFERROR(SUM(F143,I143,L143,O143,R143,U143,X143,AA143,AD143,AG143,AJ143,AM143,AP143,AS143,AV143,AY143,BB143,BE143,BH143,BK143,BN143,BQ143,BT143,BW143,BZ143,CC143,CF143,CI143,CL143,CO143,CR143), 0)</f>
        <v/>
      </c>
      <c r="CV143" s="16">
        <f>IFERROR(AVERAGE(G143,J143,M143,P143,S143,V143,Y143,AB143,AE143,AH143,AK143,AN143,AQ143,AT143,AW143,AZ143,BC143,BF143,BI143,BL143,BO143,BR143,BU143,BX143,CA143,CD143,CG143,CJ143,CM143,CP143,CS143), 0)</f>
        <v/>
      </c>
      <c r="CW143" s="16">
        <f>CU143*CV143</f>
        <v/>
      </c>
    </row>
    <row r="144">
      <c r="A144" s="76" t="inlineStr">
        <is>
          <t>Cuchillo YIWU #1</t>
        </is>
      </c>
      <c r="B144" s="41" t="inlineStr">
        <is>
          <t>Und</t>
        </is>
      </c>
      <c r="C144" s="42" t="n"/>
      <c r="D144" s="43" t="n"/>
      <c r="E144" s="78">
        <f>IFERROR(+C144*D144, 0)</f>
        <v/>
      </c>
      <c r="F144" s="14" t="n"/>
      <c r="G144" s="15" t="n"/>
      <c r="H144" s="16">
        <f>IFERROR(F144*G144, 0)</f>
        <v/>
      </c>
      <c r="I144" s="14" t="n"/>
      <c r="J144" s="15" t="n"/>
      <c r="K144" s="16">
        <f>IFERROR(I144*J144, 0)</f>
        <v/>
      </c>
      <c r="L144" s="14" t="n"/>
      <c r="M144" s="15" t="n"/>
      <c r="N144" s="16">
        <f>IFERROR(L144*M144, 0)</f>
        <v/>
      </c>
      <c r="O144" s="14" t="n"/>
      <c r="P144" s="15" t="n"/>
      <c r="Q144" s="16">
        <f>IFERROR(O144*P144, 0)</f>
        <v/>
      </c>
      <c r="R144" s="14" t="n"/>
      <c r="S144" s="15" t="n"/>
      <c r="T144" s="16">
        <f>IFERROR(R144*S144, 0)</f>
        <v/>
      </c>
      <c r="U144" s="14" t="n"/>
      <c r="V144" s="15" t="n"/>
      <c r="W144" s="16">
        <f>IFERROR(U144*V144, 0)</f>
        <v/>
      </c>
      <c r="X144" s="14" t="n"/>
      <c r="Y144" s="15" t="n"/>
      <c r="Z144" s="16">
        <f>IFERROR(X144*Y144, 0)</f>
        <v/>
      </c>
      <c r="AA144" s="14" t="n"/>
      <c r="AB144" s="15" t="n"/>
      <c r="AC144" s="16">
        <f>IFERROR(AA144*AB144, 0)</f>
        <v/>
      </c>
      <c r="AD144" s="14" t="n"/>
      <c r="AE144" s="15" t="n"/>
      <c r="AF144" s="16">
        <f>IFERROR(AD144*AE144, 0)</f>
        <v/>
      </c>
      <c r="AG144" s="14" t="n"/>
      <c r="AH144" s="15" t="n"/>
      <c r="AI144" s="16">
        <f>IFERROR(AG144*AH144, 0)</f>
        <v/>
      </c>
      <c r="AJ144" s="14" t="n"/>
      <c r="AK144" s="15" t="n"/>
      <c r="AL144" s="16">
        <f>IFERROR(AJ144*AK144, 0)</f>
        <v/>
      </c>
      <c r="AM144" s="14" t="n"/>
      <c r="AN144" s="15" t="n"/>
      <c r="AO144" s="16">
        <f>IFERROR(AM144*AN144, 0)</f>
        <v/>
      </c>
      <c r="AP144" s="14" t="n"/>
      <c r="AQ144" s="15" t="n"/>
      <c r="AR144" s="16">
        <f>IFERROR(AP144*AQ144, 0)</f>
        <v/>
      </c>
      <c r="AS144" s="14" t="n"/>
      <c r="AT144" s="15" t="n"/>
      <c r="AU144" s="16">
        <f>IFERROR(AS144*AT144, 0)</f>
        <v/>
      </c>
      <c r="AV144" s="14" t="n"/>
      <c r="AW144" s="15" t="n"/>
      <c r="AX144" s="16">
        <f>IFERROR(AV144*AW144, 0)</f>
        <v/>
      </c>
      <c r="AY144" s="14" t="n"/>
      <c r="AZ144" s="15" t="n"/>
      <c r="BA144" s="16">
        <f>IFERROR(AY144*AZ144, 0)</f>
        <v/>
      </c>
      <c r="BB144" s="14" t="n"/>
      <c r="BC144" s="15" t="n"/>
      <c r="BD144" s="16">
        <f>IFERROR(BB144*BC144, 0)</f>
        <v/>
      </c>
      <c r="BE144" s="14" t="n"/>
      <c r="BF144" s="15" t="n"/>
      <c r="BG144" s="16">
        <f>IFERROR(BE144*BF144, 0)</f>
        <v/>
      </c>
      <c r="BH144" s="14" t="n"/>
      <c r="BI144" s="15" t="n"/>
      <c r="BJ144" s="16">
        <f>IFERROR(BH144*BI144, 0)</f>
        <v/>
      </c>
      <c r="BK144" s="14" t="n"/>
      <c r="BL144" s="15" t="n"/>
      <c r="BM144" s="16">
        <f>IFERROR(BK144*BL144, 0)</f>
        <v/>
      </c>
      <c r="BN144" s="14" t="n"/>
      <c r="BO144" s="15" t="n"/>
      <c r="BP144" s="16">
        <f>IFERROR(BN144*BO144, 0)</f>
        <v/>
      </c>
      <c r="BQ144" s="14" t="n"/>
      <c r="BR144" s="15" t="n"/>
      <c r="BS144" s="16">
        <f>IFERROR(BQ144*BR144, 0)</f>
        <v/>
      </c>
      <c r="BT144" s="14" t="n"/>
      <c r="BU144" s="15" t="n"/>
      <c r="BV144" s="16">
        <f>IFERROR(BT144*BU144, 0)</f>
        <v/>
      </c>
      <c r="BW144" s="14" t="n"/>
      <c r="BX144" s="15" t="n"/>
      <c r="BY144" s="16">
        <f>IFERROR(BW144*BX144, 0)</f>
        <v/>
      </c>
      <c r="BZ144" s="14" t="n"/>
      <c r="CA144" s="15" t="n"/>
      <c r="CB144" s="16">
        <f>IFERROR(BZ144*CA144, 0)</f>
        <v/>
      </c>
      <c r="CC144" s="14" t="n"/>
      <c r="CD144" s="15" t="n"/>
      <c r="CE144" s="16">
        <f>IFERROR(CC144*CD144, 0)</f>
        <v/>
      </c>
      <c r="CF144" s="14" t="n"/>
      <c r="CG144" s="15" t="n"/>
      <c r="CH144" s="16">
        <f>IFERROR(CF144*CG144, 0)</f>
        <v/>
      </c>
      <c r="CI144" s="14" t="n"/>
      <c r="CJ144" s="15" t="n"/>
      <c r="CK144" s="16">
        <f>IFERROR(CI144*CJ144, 0)</f>
        <v/>
      </c>
      <c r="CL144" s="14" t="n"/>
      <c r="CM144" s="15" t="n"/>
      <c r="CN144" s="16">
        <f>IFERROR(CL144*CM144, 0)</f>
        <v/>
      </c>
      <c r="CO144" s="14" t="n"/>
      <c r="CP144" s="15" t="n"/>
      <c r="CQ144" s="16">
        <f>IFERROR(CO144*CP144, 0)</f>
        <v/>
      </c>
      <c r="CR144" s="14" t="n"/>
      <c r="CS144" s="15" t="n"/>
      <c r="CT144" s="16">
        <f>IFERROR(CR144*CS144, 0)</f>
        <v/>
      </c>
      <c r="CU144" s="17">
        <f>IFERROR(SUM(F144,I144,L144,O144,R144,U144,X144,AA144,AD144,AG144,AJ144,AM144,AP144,AS144,AV144,AY144,BB144,BE144,BH144,BK144,BN144,BQ144,BT144,BW144,BZ144,CC144,CF144,CI144,CL144,CO144,CR144), 0)</f>
        <v/>
      </c>
      <c r="CV144" s="16">
        <f>IFERROR(AVERAGE(G144,J144,M144,P144,S144,V144,Y144,AB144,AE144,AH144,AK144,AN144,AQ144,AT144,AW144,AZ144,BC144,BF144,BI144,BL144,BO144,BR144,BU144,BX144,CA144,CD144,CG144,CJ144,CM144,CP144,CS144), 0)</f>
        <v/>
      </c>
      <c r="CW144" s="16">
        <f>CU144*CV144</f>
        <v/>
      </c>
    </row>
    <row r="145">
      <c r="A145" s="76" t="inlineStr">
        <is>
          <t>Cuchillo YIWU #2</t>
        </is>
      </c>
      <c r="B145" s="41" t="inlineStr">
        <is>
          <t>Und</t>
        </is>
      </c>
      <c r="C145" s="42" t="n"/>
      <c r="D145" s="43" t="n"/>
      <c r="E145" s="78">
        <f>IFERROR(+C145*D145, 0)</f>
        <v/>
      </c>
      <c r="F145" s="14" t="n"/>
      <c r="G145" s="15" t="n"/>
      <c r="H145" s="16">
        <f>IFERROR(F145*G145, 0)</f>
        <v/>
      </c>
      <c r="I145" s="14" t="n"/>
      <c r="J145" s="15" t="n"/>
      <c r="K145" s="16">
        <f>IFERROR(I145*J145, 0)</f>
        <v/>
      </c>
      <c r="L145" s="14" t="n"/>
      <c r="M145" s="15" t="n"/>
      <c r="N145" s="16">
        <f>IFERROR(L145*M145, 0)</f>
        <v/>
      </c>
      <c r="O145" s="14" t="n"/>
      <c r="P145" s="15" t="n"/>
      <c r="Q145" s="16">
        <f>IFERROR(O145*P145, 0)</f>
        <v/>
      </c>
      <c r="R145" s="14" t="n"/>
      <c r="S145" s="15" t="n"/>
      <c r="T145" s="16">
        <f>IFERROR(R145*S145, 0)</f>
        <v/>
      </c>
      <c r="U145" s="14" t="n"/>
      <c r="V145" s="15" t="n"/>
      <c r="W145" s="16">
        <f>IFERROR(U145*V145, 0)</f>
        <v/>
      </c>
      <c r="X145" s="14" t="n"/>
      <c r="Y145" s="15" t="n"/>
      <c r="Z145" s="16">
        <f>IFERROR(X145*Y145, 0)</f>
        <v/>
      </c>
      <c r="AA145" s="14" t="n"/>
      <c r="AB145" s="15" t="n"/>
      <c r="AC145" s="16">
        <f>IFERROR(AA145*AB145, 0)</f>
        <v/>
      </c>
      <c r="AD145" s="14" t="n"/>
      <c r="AE145" s="15" t="n"/>
      <c r="AF145" s="16">
        <f>IFERROR(AD145*AE145, 0)</f>
        <v/>
      </c>
      <c r="AG145" s="14" t="n"/>
      <c r="AH145" s="15" t="n"/>
      <c r="AI145" s="16">
        <f>IFERROR(AG145*AH145, 0)</f>
        <v/>
      </c>
      <c r="AJ145" s="14" t="n"/>
      <c r="AK145" s="15" t="n"/>
      <c r="AL145" s="16">
        <f>IFERROR(AJ145*AK145, 0)</f>
        <v/>
      </c>
      <c r="AM145" s="14" t="n"/>
      <c r="AN145" s="15" t="n"/>
      <c r="AO145" s="16">
        <f>IFERROR(AM145*AN145, 0)</f>
        <v/>
      </c>
      <c r="AP145" s="14" t="n"/>
      <c r="AQ145" s="15" t="n"/>
      <c r="AR145" s="16">
        <f>IFERROR(AP145*AQ145, 0)</f>
        <v/>
      </c>
      <c r="AS145" s="14" t="n"/>
      <c r="AT145" s="15" t="n"/>
      <c r="AU145" s="16">
        <f>IFERROR(AS145*AT145, 0)</f>
        <v/>
      </c>
      <c r="AV145" s="14" t="n"/>
      <c r="AW145" s="15" t="n"/>
      <c r="AX145" s="16">
        <f>IFERROR(AV145*AW145, 0)</f>
        <v/>
      </c>
      <c r="AY145" s="14" t="n"/>
      <c r="AZ145" s="15" t="n"/>
      <c r="BA145" s="16">
        <f>IFERROR(AY145*AZ145, 0)</f>
        <v/>
      </c>
      <c r="BB145" s="14" t="n"/>
      <c r="BC145" s="15" t="n"/>
      <c r="BD145" s="16">
        <f>IFERROR(BB145*BC145, 0)</f>
        <v/>
      </c>
      <c r="BE145" s="14" t="n"/>
      <c r="BF145" s="15" t="n"/>
      <c r="BG145" s="16">
        <f>IFERROR(BE145*BF145, 0)</f>
        <v/>
      </c>
      <c r="BH145" s="14" t="n"/>
      <c r="BI145" s="15" t="n"/>
      <c r="BJ145" s="16">
        <f>IFERROR(BH145*BI145, 0)</f>
        <v/>
      </c>
      <c r="BK145" s="14" t="n"/>
      <c r="BL145" s="15" t="n"/>
      <c r="BM145" s="16">
        <f>IFERROR(BK145*BL145, 0)</f>
        <v/>
      </c>
      <c r="BN145" s="14" t="n"/>
      <c r="BO145" s="15" t="n"/>
      <c r="BP145" s="16">
        <f>IFERROR(BN145*BO145, 0)</f>
        <v/>
      </c>
      <c r="BQ145" s="14" t="n"/>
      <c r="BR145" s="15" t="n"/>
      <c r="BS145" s="16">
        <f>IFERROR(BQ145*BR145, 0)</f>
        <v/>
      </c>
      <c r="BT145" s="14" t="n"/>
      <c r="BU145" s="15" t="n"/>
      <c r="BV145" s="16">
        <f>IFERROR(BT145*BU145, 0)</f>
        <v/>
      </c>
      <c r="BW145" s="14" t="n"/>
      <c r="BX145" s="15" t="n"/>
      <c r="BY145" s="16">
        <f>IFERROR(BW145*BX145, 0)</f>
        <v/>
      </c>
      <c r="BZ145" s="14" t="n"/>
      <c r="CA145" s="15" t="n"/>
      <c r="CB145" s="16">
        <f>IFERROR(BZ145*CA145, 0)</f>
        <v/>
      </c>
      <c r="CC145" s="14" t="n"/>
      <c r="CD145" s="15" t="n"/>
      <c r="CE145" s="16">
        <f>IFERROR(CC145*CD145, 0)</f>
        <v/>
      </c>
      <c r="CF145" s="14" t="n"/>
      <c r="CG145" s="15" t="n"/>
      <c r="CH145" s="16">
        <f>IFERROR(CF145*CG145, 0)</f>
        <v/>
      </c>
      <c r="CI145" s="14" t="n"/>
      <c r="CJ145" s="15" t="n"/>
      <c r="CK145" s="16">
        <f>IFERROR(CI145*CJ145, 0)</f>
        <v/>
      </c>
      <c r="CL145" s="14" t="n"/>
      <c r="CM145" s="15" t="n"/>
      <c r="CN145" s="16">
        <f>IFERROR(CL145*CM145, 0)</f>
        <v/>
      </c>
      <c r="CO145" s="14" t="n"/>
      <c r="CP145" s="15" t="n"/>
      <c r="CQ145" s="16">
        <f>IFERROR(CO145*CP145, 0)</f>
        <v/>
      </c>
      <c r="CR145" s="14" t="n"/>
      <c r="CS145" s="15" t="n"/>
      <c r="CT145" s="16">
        <f>IFERROR(CR145*CS145, 0)</f>
        <v/>
      </c>
      <c r="CU145" s="17">
        <f>IFERROR(SUM(F145,I145,L145,O145,R145,U145,X145,AA145,AD145,AG145,AJ145,AM145,AP145,AS145,AV145,AY145,BB145,BE145,BH145,BK145,BN145,BQ145,BT145,BW145,BZ145,CC145,CF145,CI145,CL145,CO145,CR145), 0)</f>
        <v/>
      </c>
      <c r="CV145" s="16">
        <f>IFERROR(AVERAGE(G145,J145,M145,P145,S145,V145,Y145,AB145,AE145,AH145,AK145,AN145,AQ145,AT145,AW145,AZ145,BC145,BF145,BI145,BL145,BO145,BR145,BU145,BX145,CA145,CD145,CG145,CJ145,CM145,CP145,CS145), 0)</f>
        <v/>
      </c>
      <c r="CW145" s="16">
        <f>CU145*CV145</f>
        <v/>
      </c>
    </row>
    <row r="146">
      <c r="A146" s="76" t="inlineStr">
        <is>
          <t>Bicarbonato La Mansion</t>
        </is>
      </c>
      <c r="B146" s="41" t="inlineStr">
        <is>
          <t>Und</t>
        </is>
      </c>
      <c r="C146" s="42" t="n"/>
      <c r="D146" s="43" t="n"/>
      <c r="E146" s="78">
        <f>IFERROR(+C146*D146, 0)</f>
        <v/>
      </c>
      <c r="F146" s="14" t="n"/>
      <c r="G146" s="15" t="n"/>
      <c r="H146" s="16">
        <f>IFERROR(F146*G146, 0)</f>
        <v/>
      </c>
      <c r="I146" s="14" t="n"/>
      <c r="J146" s="15" t="n"/>
      <c r="K146" s="16">
        <f>IFERROR(I146*J146, 0)</f>
        <v/>
      </c>
      <c r="L146" s="14" t="n"/>
      <c r="M146" s="15" t="n"/>
      <c r="N146" s="16">
        <f>IFERROR(L146*M146, 0)</f>
        <v/>
      </c>
      <c r="O146" s="14" t="n"/>
      <c r="P146" s="15" t="n"/>
      <c r="Q146" s="16">
        <f>IFERROR(O146*P146, 0)</f>
        <v/>
      </c>
      <c r="R146" s="14" t="n"/>
      <c r="S146" s="15" t="n"/>
      <c r="T146" s="16">
        <f>IFERROR(R146*S146, 0)</f>
        <v/>
      </c>
      <c r="U146" s="14" t="n"/>
      <c r="V146" s="15" t="n"/>
      <c r="W146" s="16">
        <f>IFERROR(U146*V146, 0)</f>
        <v/>
      </c>
      <c r="X146" s="14" t="n"/>
      <c r="Y146" s="15" t="n"/>
      <c r="Z146" s="16">
        <f>IFERROR(X146*Y146, 0)</f>
        <v/>
      </c>
      <c r="AA146" s="14" t="n"/>
      <c r="AB146" s="15" t="n"/>
      <c r="AC146" s="16">
        <f>IFERROR(AA146*AB146, 0)</f>
        <v/>
      </c>
      <c r="AD146" s="14" t="n"/>
      <c r="AE146" s="15" t="n"/>
      <c r="AF146" s="16">
        <f>IFERROR(AD146*AE146, 0)</f>
        <v/>
      </c>
      <c r="AG146" s="14" t="n"/>
      <c r="AH146" s="15" t="n"/>
      <c r="AI146" s="16">
        <f>IFERROR(AG146*AH146, 0)</f>
        <v/>
      </c>
      <c r="AJ146" s="14" t="n"/>
      <c r="AK146" s="15" t="n"/>
      <c r="AL146" s="16">
        <f>IFERROR(AJ146*AK146, 0)</f>
        <v/>
      </c>
      <c r="AM146" s="14" t="n"/>
      <c r="AN146" s="15" t="n"/>
      <c r="AO146" s="16">
        <f>IFERROR(AM146*AN146, 0)</f>
        <v/>
      </c>
      <c r="AP146" s="14" t="n"/>
      <c r="AQ146" s="15" t="n"/>
      <c r="AR146" s="16">
        <f>IFERROR(AP146*AQ146, 0)</f>
        <v/>
      </c>
      <c r="AS146" s="14" t="n"/>
      <c r="AT146" s="15" t="n"/>
      <c r="AU146" s="16">
        <f>IFERROR(AS146*AT146, 0)</f>
        <v/>
      </c>
      <c r="AV146" s="14" t="n"/>
      <c r="AW146" s="15" t="n"/>
      <c r="AX146" s="16">
        <f>IFERROR(AV146*AW146, 0)</f>
        <v/>
      </c>
      <c r="AY146" s="14" t="n"/>
      <c r="AZ146" s="15" t="n"/>
      <c r="BA146" s="16">
        <f>IFERROR(AY146*AZ146, 0)</f>
        <v/>
      </c>
      <c r="BB146" s="14" t="n"/>
      <c r="BC146" s="15" t="n"/>
      <c r="BD146" s="16">
        <f>IFERROR(BB146*BC146, 0)</f>
        <v/>
      </c>
      <c r="BE146" s="14" t="n"/>
      <c r="BF146" s="15" t="n"/>
      <c r="BG146" s="16">
        <f>IFERROR(BE146*BF146, 0)</f>
        <v/>
      </c>
      <c r="BH146" s="14" t="n"/>
      <c r="BI146" s="15" t="n"/>
      <c r="BJ146" s="16">
        <f>IFERROR(BH146*BI146, 0)</f>
        <v/>
      </c>
      <c r="BK146" s="14" t="n"/>
      <c r="BL146" s="15" t="n"/>
      <c r="BM146" s="16">
        <f>IFERROR(BK146*BL146, 0)</f>
        <v/>
      </c>
      <c r="BN146" s="14" t="n"/>
      <c r="BO146" s="15" t="n"/>
      <c r="BP146" s="16">
        <f>IFERROR(BN146*BO146, 0)</f>
        <v/>
      </c>
      <c r="BQ146" s="14" t="n"/>
      <c r="BR146" s="15" t="n"/>
      <c r="BS146" s="16">
        <f>IFERROR(BQ146*BR146, 0)</f>
        <v/>
      </c>
      <c r="BT146" s="14" t="n"/>
      <c r="BU146" s="15" t="n"/>
      <c r="BV146" s="16">
        <f>IFERROR(BT146*BU146, 0)</f>
        <v/>
      </c>
      <c r="BW146" s="14" t="n"/>
      <c r="BX146" s="15" t="n"/>
      <c r="BY146" s="16">
        <f>IFERROR(BW146*BX146, 0)</f>
        <v/>
      </c>
      <c r="BZ146" s="14" t="n"/>
      <c r="CA146" s="15" t="n"/>
      <c r="CB146" s="16">
        <f>IFERROR(BZ146*CA146, 0)</f>
        <v/>
      </c>
      <c r="CC146" s="14" t="n"/>
      <c r="CD146" s="15" t="n"/>
      <c r="CE146" s="16">
        <f>IFERROR(CC146*CD146, 0)</f>
        <v/>
      </c>
      <c r="CF146" s="14" t="n"/>
      <c r="CG146" s="15" t="n"/>
      <c r="CH146" s="16">
        <f>IFERROR(CF146*CG146, 0)</f>
        <v/>
      </c>
      <c r="CI146" s="14" t="n"/>
      <c r="CJ146" s="15" t="n"/>
      <c r="CK146" s="16">
        <f>IFERROR(CI146*CJ146, 0)</f>
        <v/>
      </c>
      <c r="CL146" s="14" t="n"/>
      <c r="CM146" s="15" t="n"/>
      <c r="CN146" s="16">
        <f>IFERROR(CL146*CM146, 0)</f>
        <v/>
      </c>
      <c r="CO146" s="14" t="n"/>
      <c r="CP146" s="15" t="n"/>
      <c r="CQ146" s="16">
        <f>IFERROR(CO146*CP146, 0)</f>
        <v/>
      </c>
      <c r="CR146" s="14" t="n"/>
      <c r="CS146" s="15" t="n"/>
      <c r="CT146" s="16">
        <f>IFERROR(CR146*CS146, 0)</f>
        <v/>
      </c>
      <c r="CU146" s="17">
        <f>IFERROR(SUM(F146,I146,L146,O146,R146,U146,X146,AA146,AD146,AG146,AJ146,AM146,AP146,AS146,AV146,AY146,BB146,BE146,BH146,BK146,BN146,BQ146,BT146,BW146,BZ146,CC146,CF146,CI146,CL146,CO146,CR146), 0)</f>
        <v/>
      </c>
      <c r="CV146" s="16">
        <f>IFERROR(AVERAGE(G146,J146,M146,P146,S146,V146,Y146,AB146,AE146,AH146,AK146,AN146,AQ146,AT146,AW146,AZ146,BC146,BF146,BI146,BL146,BO146,BR146,BU146,BX146,CA146,CD146,CG146,CJ146,CM146,CP146,CS146), 0)</f>
        <v/>
      </c>
      <c r="CW146" s="16">
        <f>CU146*CV146</f>
        <v/>
      </c>
    </row>
    <row r="147">
      <c r="A147" s="76" t="inlineStr">
        <is>
          <t>Mini Brownies</t>
        </is>
      </c>
      <c r="B147" s="41" t="inlineStr">
        <is>
          <t>Und</t>
        </is>
      </c>
      <c r="C147" s="42" t="n"/>
      <c r="D147" s="43" t="n"/>
      <c r="E147" s="78">
        <f>IFERROR(+C147*D147, 0)</f>
        <v/>
      </c>
      <c r="F147" s="14" t="n"/>
      <c r="G147" s="15" t="n"/>
      <c r="H147" s="16">
        <f>IFERROR(F147*G147, 0)</f>
        <v/>
      </c>
      <c r="I147" s="14" t="n"/>
      <c r="J147" s="15" t="n"/>
      <c r="K147" s="16">
        <f>IFERROR(I147*J147, 0)</f>
        <v/>
      </c>
      <c r="L147" s="14" t="n"/>
      <c r="M147" s="15" t="n"/>
      <c r="N147" s="16">
        <f>IFERROR(L147*M147, 0)</f>
        <v/>
      </c>
      <c r="O147" s="14" t="n"/>
      <c r="P147" s="15" t="n"/>
      <c r="Q147" s="16">
        <f>IFERROR(O147*P147, 0)</f>
        <v/>
      </c>
      <c r="R147" s="14" t="n"/>
      <c r="S147" s="15" t="n"/>
      <c r="T147" s="16">
        <f>IFERROR(R147*S147, 0)</f>
        <v/>
      </c>
      <c r="U147" s="14" t="n"/>
      <c r="V147" s="15" t="n"/>
      <c r="W147" s="16">
        <f>IFERROR(U147*V147, 0)</f>
        <v/>
      </c>
      <c r="X147" s="14" t="n"/>
      <c r="Y147" s="15" t="n"/>
      <c r="Z147" s="16">
        <f>IFERROR(X147*Y147, 0)</f>
        <v/>
      </c>
      <c r="AA147" s="14" t="n"/>
      <c r="AB147" s="15" t="n"/>
      <c r="AC147" s="16">
        <f>IFERROR(AA147*AB147, 0)</f>
        <v/>
      </c>
      <c r="AD147" s="14" t="n"/>
      <c r="AE147" s="15" t="n"/>
      <c r="AF147" s="16">
        <f>IFERROR(AD147*AE147, 0)</f>
        <v/>
      </c>
      <c r="AG147" s="14" t="n"/>
      <c r="AH147" s="15" t="n"/>
      <c r="AI147" s="16">
        <f>IFERROR(AG147*AH147, 0)</f>
        <v/>
      </c>
      <c r="AJ147" s="14" t="n"/>
      <c r="AK147" s="15" t="n"/>
      <c r="AL147" s="16">
        <f>IFERROR(AJ147*AK147, 0)</f>
        <v/>
      </c>
      <c r="AM147" s="14" t="n"/>
      <c r="AN147" s="15" t="n"/>
      <c r="AO147" s="16">
        <f>IFERROR(AM147*AN147, 0)</f>
        <v/>
      </c>
      <c r="AP147" s="14" t="n"/>
      <c r="AQ147" s="15" t="n"/>
      <c r="AR147" s="16">
        <f>IFERROR(AP147*AQ147, 0)</f>
        <v/>
      </c>
      <c r="AS147" s="14" t="n"/>
      <c r="AT147" s="15" t="n"/>
      <c r="AU147" s="16">
        <f>IFERROR(AS147*AT147, 0)</f>
        <v/>
      </c>
      <c r="AV147" s="14" t="n"/>
      <c r="AW147" s="15" t="n"/>
      <c r="AX147" s="16">
        <f>IFERROR(AV147*AW147, 0)</f>
        <v/>
      </c>
      <c r="AY147" s="14" t="n"/>
      <c r="AZ147" s="15" t="n"/>
      <c r="BA147" s="16">
        <f>IFERROR(AY147*AZ147, 0)</f>
        <v/>
      </c>
      <c r="BB147" s="14" t="n"/>
      <c r="BC147" s="15" t="n"/>
      <c r="BD147" s="16">
        <f>IFERROR(BB147*BC147, 0)</f>
        <v/>
      </c>
      <c r="BE147" s="14" t="n"/>
      <c r="BF147" s="15" t="n"/>
      <c r="BG147" s="16">
        <f>IFERROR(BE147*BF147, 0)</f>
        <v/>
      </c>
      <c r="BH147" s="14" t="n"/>
      <c r="BI147" s="15" t="n"/>
      <c r="BJ147" s="16">
        <f>IFERROR(BH147*BI147, 0)</f>
        <v/>
      </c>
      <c r="BK147" s="14" t="n"/>
      <c r="BL147" s="15" t="n"/>
      <c r="BM147" s="16">
        <f>IFERROR(BK147*BL147, 0)</f>
        <v/>
      </c>
      <c r="BN147" s="14" t="n"/>
      <c r="BO147" s="15" t="n"/>
      <c r="BP147" s="16">
        <f>IFERROR(BN147*BO147, 0)</f>
        <v/>
      </c>
      <c r="BQ147" s="14" t="n"/>
      <c r="BR147" s="15" t="n"/>
      <c r="BS147" s="16">
        <f>IFERROR(BQ147*BR147, 0)</f>
        <v/>
      </c>
      <c r="BT147" s="14" t="n"/>
      <c r="BU147" s="15" t="n"/>
      <c r="BV147" s="16">
        <f>IFERROR(BT147*BU147, 0)</f>
        <v/>
      </c>
      <c r="BW147" s="14" t="n"/>
      <c r="BX147" s="15" t="n"/>
      <c r="BY147" s="16">
        <f>IFERROR(BW147*BX147, 0)</f>
        <v/>
      </c>
      <c r="BZ147" s="14" t="n"/>
      <c r="CA147" s="15" t="n"/>
      <c r="CB147" s="16">
        <f>IFERROR(BZ147*CA147, 0)</f>
        <v/>
      </c>
      <c r="CC147" s="14" t="n"/>
      <c r="CD147" s="15" t="n"/>
      <c r="CE147" s="16">
        <f>IFERROR(CC147*CD147, 0)</f>
        <v/>
      </c>
      <c r="CF147" s="14" t="n"/>
      <c r="CG147" s="15" t="n"/>
      <c r="CH147" s="16">
        <f>IFERROR(CF147*CG147, 0)</f>
        <v/>
      </c>
      <c r="CI147" s="14" t="n"/>
      <c r="CJ147" s="15" t="n"/>
      <c r="CK147" s="16">
        <f>IFERROR(CI147*CJ147, 0)</f>
        <v/>
      </c>
      <c r="CL147" s="14" t="n"/>
      <c r="CM147" s="15" t="n"/>
      <c r="CN147" s="16">
        <f>IFERROR(CL147*CM147, 0)</f>
        <v/>
      </c>
      <c r="CO147" s="14" t="n"/>
      <c r="CP147" s="15" t="n"/>
      <c r="CQ147" s="16">
        <f>IFERROR(CO147*CP147, 0)</f>
        <v/>
      </c>
      <c r="CR147" s="14" t="n"/>
      <c r="CS147" s="15" t="n"/>
      <c r="CT147" s="16">
        <f>IFERROR(CR147*CS147, 0)</f>
        <v/>
      </c>
      <c r="CU147" s="17">
        <f>IFERROR(SUM(F147,I147,L147,O147,R147,U147,X147,AA147,AD147,AG147,AJ147,AM147,AP147,AS147,AV147,AY147,BB147,BE147,BH147,BK147,BN147,BQ147,BT147,BW147,BZ147,CC147,CF147,CI147,CL147,CO147,CR147), 0)</f>
        <v/>
      </c>
      <c r="CV147" s="16">
        <f>IFERROR(AVERAGE(G147,J147,M147,P147,S147,V147,Y147,AB147,AE147,AH147,AK147,AN147,AQ147,AT147,AW147,AZ147,BC147,BF147,BI147,BL147,BO147,BR147,BU147,BX147,CA147,CD147,CG147,CJ147,CM147,CP147,CS147), 0)</f>
        <v/>
      </c>
      <c r="CW147" s="16">
        <f>CU147*CV147</f>
        <v/>
      </c>
    </row>
    <row r="148">
      <c r="A148" s="76" t="inlineStr">
        <is>
          <t>Extension PT Naranja</t>
        </is>
      </c>
      <c r="B148" s="41" t="inlineStr">
        <is>
          <t>Und</t>
        </is>
      </c>
      <c r="C148" s="42" t="n"/>
      <c r="D148" s="43" t="n"/>
      <c r="E148" s="78">
        <f>IFERROR(+C148*D148, 0)</f>
        <v/>
      </c>
      <c r="F148" s="14" t="n"/>
      <c r="G148" s="15" t="n"/>
      <c r="H148" s="16">
        <f>IFERROR(F148*G148, 0)</f>
        <v/>
      </c>
      <c r="I148" s="14" t="n"/>
      <c r="J148" s="15" t="n"/>
      <c r="K148" s="16">
        <f>IFERROR(I148*J148, 0)</f>
        <v/>
      </c>
      <c r="L148" s="14" t="n"/>
      <c r="M148" s="15" t="n"/>
      <c r="N148" s="16">
        <f>IFERROR(L148*M148, 0)</f>
        <v/>
      </c>
      <c r="O148" s="14" t="n"/>
      <c r="P148" s="15" t="n"/>
      <c r="Q148" s="16">
        <f>IFERROR(O148*P148, 0)</f>
        <v/>
      </c>
      <c r="R148" s="14" t="n"/>
      <c r="S148" s="15" t="n"/>
      <c r="T148" s="16">
        <f>IFERROR(R148*S148, 0)</f>
        <v/>
      </c>
      <c r="U148" s="14" t="n"/>
      <c r="V148" s="15" t="n"/>
      <c r="W148" s="16">
        <f>IFERROR(U148*V148, 0)</f>
        <v/>
      </c>
      <c r="X148" s="14" t="n"/>
      <c r="Y148" s="15" t="n"/>
      <c r="Z148" s="16">
        <f>IFERROR(X148*Y148, 0)</f>
        <v/>
      </c>
      <c r="AA148" s="14" t="n"/>
      <c r="AB148" s="15" t="n"/>
      <c r="AC148" s="16">
        <f>IFERROR(AA148*AB148, 0)</f>
        <v/>
      </c>
      <c r="AD148" s="14" t="n"/>
      <c r="AE148" s="15" t="n"/>
      <c r="AF148" s="16">
        <f>IFERROR(AD148*AE148, 0)</f>
        <v/>
      </c>
      <c r="AG148" s="14" t="n"/>
      <c r="AH148" s="15" t="n"/>
      <c r="AI148" s="16">
        <f>IFERROR(AG148*AH148, 0)</f>
        <v/>
      </c>
      <c r="AJ148" s="14" t="n"/>
      <c r="AK148" s="15" t="n"/>
      <c r="AL148" s="16">
        <f>IFERROR(AJ148*AK148, 0)</f>
        <v/>
      </c>
      <c r="AM148" s="14" t="n"/>
      <c r="AN148" s="15" t="n"/>
      <c r="AO148" s="16">
        <f>IFERROR(AM148*AN148, 0)</f>
        <v/>
      </c>
      <c r="AP148" s="14" t="n"/>
      <c r="AQ148" s="15" t="n"/>
      <c r="AR148" s="16">
        <f>IFERROR(AP148*AQ148, 0)</f>
        <v/>
      </c>
      <c r="AS148" s="14" t="n"/>
      <c r="AT148" s="15" t="n"/>
      <c r="AU148" s="16">
        <f>IFERROR(AS148*AT148, 0)</f>
        <v/>
      </c>
      <c r="AV148" s="14" t="n"/>
      <c r="AW148" s="15" t="n"/>
      <c r="AX148" s="16">
        <f>IFERROR(AV148*AW148, 0)</f>
        <v/>
      </c>
      <c r="AY148" s="14" t="n"/>
      <c r="AZ148" s="15" t="n"/>
      <c r="BA148" s="16">
        <f>IFERROR(AY148*AZ148, 0)</f>
        <v/>
      </c>
      <c r="BB148" s="14" t="n"/>
      <c r="BC148" s="15" t="n"/>
      <c r="BD148" s="16">
        <f>IFERROR(BB148*BC148, 0)</f>
        <v/>
      </c>
      <c r="BE148" s="14" t="n"/>
      <c r="BF148" s="15" t="n"/>
      <c r="BG148" s="16">
        <f>IFERROR(BE148*BF148, 0)</f>
        <v/>
      </c>
      <c r="BH148" s="14" t="n"/>
      <c r="BI148" s="15" t="n"/>
      <c r="BJ148" s="16">
        <f>IFERROR(BH148*BI148, 0)</f>
        <v/>
      </c>
      <c r="BK148" s="14" t="n"/>
      <c r="BL148" s="15" t="n"/>
      <c r="BM148" s="16">
        <f>IFERROR(BK148*BL148, 0)</f>
        <v/>
      </c>
      <c r="BN148" s="14" t="n"/>
      <c r="BO148" s="15" t="n"/>
      <c r="BP148" s="16">
        <f>IFERROR(BN148*BO148, 0)</f>
        <v/>
      </c>
      <c r="BQ148" s="14" t="n"/>
      <c r="BR148" s="15" t="n"/>
      <c r="BS148" s="16">
        <f>IFERROR(BQ148*BR148, 0)</f>
        <v/>
      </c>
      <c r="BT148" s="14" t="n"/>
      <c r="BU148" s="15" t="n"/>
      <c r="BV148" s="16">
        <f>IFERROR(BT148*BU148, 0)</f>
        <v/>
      </c>
      <c r="BW148" s="14" t="n"/>
      <c r="BX148" s="15" t="n"/>
      <c r="BY148" s="16">
        <f>IFERROR(BW148*BX148, 0)</f>
        <v/>
      </c>
      <c r="BZ148" s="14" t="n"/>
      <c r="CA148" s="15" t="n"/>
      <c r="CB148" s="16">
        <f>IFERROR(BZ148*CA148, 0)</f>
        <v/>
      </c>
      <c r="CC148" s="14" t="n"/>
      <c r="CD148" s="15" t="n"/>
      <c r="CE148" s="16">
        <f>IFERROR(CC148*CD148, 0)</f>
        <v/>
      </c>
      <c r="CF148" s="14" t="n"/>
      <c r="CG148" s="15" t="n"/>
      <c r="CH148" s="16">
        <f>IFERROR(CF148*CG148, 0)</f>
        <v/>
      </c>
      <c r="CI148" s="14" t="n"/>
      <c r="CJ148" s="15" t="n"/>
      <c r="CK148" s="16">
        <f>IFERROR(CI148*CJ148, 0)</f>
        <v/>
      </c>
      <c r="CL148" s="14" t="n"/>
      <c r="CM148" s="15" t="n"/>
      <c r="CN148" s="16">
        <f>IFERROR(CL148*CM148, 0)</f>
        <v/>
      </c>
      <c r="CO148" s="14" t="n"/>
      <c r="CP148" s="15" t="n"/>
      <c r="CQ148" s="16">
        <f>IFERROR(CO148*CP148, 0)</f>
        <v/>
      </c>
      <c r="CR148" s="14" t="n"/>
      <c r="CS148" s="15" t="n"/>
      <c r="CT148" s="16">
        <f>IFERROR(CR148*CS148, 0)</f>
        <v/>
      </c>
      <c r="CU148" s="17">
        <f>IFERROR(SUM(F148,I148,L148,O148,R148,U148,X148,AA148,AD148,AG148,AJ148,AM148,AP148,AS148,AV148,AY148,BB148,BE148,BH148,BK148,BN148,BQ148,BT148,BW148,BZ148,CC148,CF148,CI148,CL148,CO148,CR148), 0)</f>
        <v/>
      </c>
      <c r="CV148" s="16">
        <f>IFERROR(AVERAGE(G148,J148,M148,P148,S148,V148,Y148,AB148,AE148,AH148,AK148,AN148,AQ148,AT148,AW148,AZ148,BC148,BF148,BI148,BL148,BO148,BR148,BU148,BX148,CA148,CD148,CG148,CJ148,CM148,CP148,CS148), 0)</f>
        <v/>
      </c>
      <c r="CW148" s="16">
        <f>CU148*CV148</f>
        <v/>
      </c>
    </row>
    <row r="149">
      <c r="A149" s="76" t="inlineStr">
        <is>
          <t>miga</t>
        </is>
      </c>
      <c r="B149" s="41" t="inlineStr">
        <is>
          <t>Und</t>
        </is>
      </c>
      <c r="C149" s="42" t="n"/>
      <c r="D149" s="43" t="n"/>
      <c r="E149" s="78">
        <f>IFERROR(+C149*D149, 0)</f>
        <v/>
      </c>
      <c r="F149" s="14" t="n"/>
      <c r="G149" s="15" t="n"/>
      <c r="H149" s="16">
        <f>IFERROR(F149*G149, 0)</f>
        <v/>
      </c>
      <c r="I149" s="14" t="n"/>
      <c r="J149" s="15" t="n"/>
      <c r="K149" s="16">
        <f>IFERROR(I149*J149, 0)</f>
        <v/>
      </c>
      <c r="L149" s="14" t="n"/>
      <c r="M149" s="15" t="n"/>
      <c r="N149" s="16">
        <f>IFERROR(L149*M149, 0)</f>
        <v/>
      </c>
      <c r="O149" s="14" t="n"/>
      <c r="P149" s="15" t="n"/>
      <c r="Q149" s="16">
        <f>IFERROR(O149*P149, 0)</f>
        <v/>
      </c>
      <c r="R149" s="14" t="n"/>
      <c r="S149" s="15" t="n"/>
      <c r="T149" s="16">
        <f>IFERROR(R149*S149, 0)</f>
        <v/>
      </c>
      <c r="U149" s="14" t="n"/>
      <c r="V149" s="15" t="n"/>
      <c r="W149" s="16">
        <f>IFERROR(U149*V149, 0)</f>
        <v/>
      </c>
      <c r="X149" s="14" t="n"/>
      <c r="Y149" s="15" t="n"/>
      <c r="Z149" s="16">
        <f>IFERROR(X149*Y149, 0)</f>
        <v/>
      </c>
      <c r="AA149" s="14" t="n"/>
      <c r="AB149" s="15" t="n"/>
      <c r="AC149" s="16">
        <f>IFERROR(AA149*AB149, 0)</f>
        <v/>
      </c>
      <c r="AD149" s="14" t="n"/>
      <c r="AE149" s="15" t="n"/>
      <c r="AF149" s="16">
        <f>IFERROR(AD149*AE149, 0)</f>
        <v/>
      </c>
      <c r="AG149" s="14" t="n"/>
      <c r="AH149" s="15" t="n"/>
      <c r="AI149" s="16">
        <f>IFERROR(AG149*AH149, 0)</f>
        <v/>
      </c>
      <c r="AJ149" s="14" t="n"/>
      <c r="AK149" s="15" t="n"/>
      <c r="AL149" s="16">
        <f>IFERROR(AJ149*AK149, 0)</f>
        <v/>
      </c>
      <c r="AM149" s="14" t="n"/>
      <c r="AN149" s="15" t="n"/>
      <c r="AO149" s="16">
        <f>IFERROR(AM149*AN149, 0)</f>
        <v/>
      </c>
      <c r="AP149" s="14" t="n"/>
      <c r="AQ149" s="15" t="n"/>
      <c r="AR149" s="16">
        <f>IFERROR(AP149*AQ149, 0)</f>
        <v/>
      </c>
      <c r="AS149" s="14" t="n"/>
      <c r="AT149" s="15" t="n"/>
      <c r="AU149" s="16">
        <f>IFERROR(AS149*AT149, 0)</f>
        <v/>
      </c>
      <c r="AV149" s="14" t="n"/>
      <c r="AW149" s="15" t="n"/>
      <c r="AX149" s="16">
        <f>IFERROR(AV149*AW149, 0)</f>
        <v/>
      </c>
      <c r="AY149" s="14" t="n"/>
      <c r="AZ149" s="15" t="n"/>
      <c r="BA149" s="16">
        <f>IFERROR(AY149*AZ149, 0)</f>
        <v/>
      </c>
      <c r="BB149" s="14" t="n"/>
      <c r="BC149" s="15" t="n"/>
      <c r="BD149" s="16">
        <f>IFERROR(BB149*BC149, 0)</f>
        <v/>
      </c>
      <c r="BE149" s="14" t="n"/>
      <c r="BF149" s="15" t="n"/>
      <c r="BG149" s="16">
        <f>IFERROR(BE149*BF149, 0)</f>
        <v/>
      </c>
      <c r="BH149" s="14" t="n"/>
      <c r="BI149" s="15" t="n"/>
      <c r="BJ149" s="16">
        <f>IFERROR(BH149*BI149, 0)</f>
        <v/>
      </c>
      <c r="BK149" s="14" t="n"/>
      <c r="BL149" s="15" t="n"/>
      <c r="BM149" s="16">
        <f>IFERROR(BK149*BL149, 0)</f>
        <v/>
      </c>
      <c r="BN149" s="14" t="n"/>
      <c r="BO149" s="15" t="n"/>
      <c r="BP149" s="16">
        <f>IFERROR(BN149*BO149, 0)</f>
        <v/>
      </c>
      <c r="BQ149" s="14" t="n"/>
      <c r="BR149" s="15" t="n"/>
      <c r="BS149" s="16">
        <f>IFERROR(BQ149*BR149, 0)</f>
        <v/>
      </c>
      <c r="BT149" s="14" t="n"/>
      <c r="BU149" s="15" t="n"/>
      <c r="BV149" s="16">
        <f>IFERROR(BT149*BU149, 0)</f>
        <v/>
      </c>
      <c r="BW149" s="14" t="n"/>
      <c r="BX149" s="15" t="n"/>
      <c r="BY149" s="16">
        <f>IFERROR(BW149*BX149, 0)</f>
        <v/>
      </c>
      <c r="BZ149" s="14" t="n"/>
      <c r="CA149" s="15" t="n"/>
      <c r="CB149" s="16">
        <f>IFERROR(BZ149*CA149, 0)</f>
        <v/>
      </c>
      <c r="CC149" s="14" t="n"/>
      <c r="CD149" s="15" t="n"/>
      <c r="CE149" s="16">
        <f>IFERROR(CC149*CD149, 0)</f>
        <v/>
      </c>
      <c r="CF149" s="14" t="n"/>
      <c r="CG149" s="15" t="n"/>
      <c r="CH149" s="16">
        <f>IFERROR(CF149*CG149, 0)</f>
        <v/>
      </c>
      <c r="CI149" s="14" t="n"/>
      <c r="CJ149" s="15" t="n"/>
      <c r="CK149" s="16">
        <f>IFERROR(CI149*CJ149, 0)</f>
        <v/>
      </c>
      <c r="CL149" s="14" t="n"/>
      <c r="CM149" s="15" t="n"/>
      <c r="CN149" s="16">
        <f>IFERROR(CL149*CM149, 0)</f>
        <v/>
      </c>
      <c r="CO149" s="14" t="n"/>
      <c r="CP149" s="15" t="n"/>
      <c r="CQ149" s="16">
        <f>IFERROR(CO149*CP149, 0)</f>
        <v/>
      </c>
      <c r="CR149" s="14" t="n"/>
      <c r="CS149" s="15" t="n"/>
      <c r="CT149" s="16">
        <f>IFERROR(CR149*CS149, 0)</f>
        <v/>
      </c>
      <c r="CU149" s="17">
        <f>IFERROR(SUM(F149,I149,L149,O149,R149,U149,X149,AA149,AD149,AG149,AJ149,AM149,AP149,AS149,AV149,AY149,BB149,BE149,BH149,BK149,BN149,BQ149,BT149,BW149,BZ149,CC149,CF149,CI149,CL149,CO149,CR149), 0)</f>
        <v/>
      </c>
      <c r="CV149" s="16">
        <f>IFERROR(AVERAGE(G149,J149,M149,P149,S149,V149,Y149,AB149,AE149,AH149,AK149,AN149,AQ149,AT149,AW149,AZ149,BC149,BF149,BI149,BL149,BO149,BR149,BU149,BX149,CA149,CD149,CG149,CJ149,CM149,CP149,CS149), 0)</f>
        <v/>
      </c>
      <c r="CW149" s="16">
        <f>CU149*CV149</f>
        <v/>
      </c>
    </row>
    <row r="150">
      <c r="A150" s="76" t="inlineStr">
        <is>
          <t>Accesorios Maquina Moler</t>
        </is>
      </c>
      <c r="B150" s="41" t="inlineStr">
        <is>
          <t>Und</t>
        </is>
      </c>
      <c r="C150" s="42" t="n"/>
      <c r="D150" s="43" t="n"/>
      <c r="E150" s="78">
        <f>IFERROR(+C150*D150, 0)</f>
        <v/>
      </c>
      <c r="F150" s="14" t="n"/>
      <c r="G150" s="15" t="n"/>
      <c r="H150" s="16">
        <f>IFERROR(F150*G150, 0)</f>
        <v/>
      </c>
      <c r="I150" s="14" t="n"/>
      <c r="J150" s="15" t="n"/>
      <c r="K150" s="16">
        <f>IFERROR(I150*J150, 0)</f>
        <v/>
      </c>
      <c r="L150" s="14" t="n"/>
      <c r="M150" s="15" t="n"/>
      <c r="N150" s="16">
        <f>IFERROR(L150*M150, 0)</f>
        <v/>
      </c>
      <c r="O150" s="14" t="n"/>
      <c r="P150" s="15" t="n"/>
      <c r="Q150" s="16">
        <f>IFERROR(O150*P150, 0)</f>
        <v/>
      </c>
      <c r="R150" s="14" t="n"/>
      <c r="S150" s="15" t="n"/>
      <c r="T150" s="16">
        <f>IFERROR(R150*S150, 0)</f>
        <v/>
      </c>
      <c r="U150" s="14" t="n"/>
      <c r="V150" s="15" t="n"/>
      <c r="W150" s="16">
        <f>IFERROR(U150*V150, 0)</f>
        <v/>
      </c>
      <c r="X150" s="14" t="n"/>
      <c r="Y150" s="15" t="n"/>
      <c r="Z150" s="16">
        <f>IFERROR(X150*Y150, 0)</f>
        <v/>
      </c>
      <c r="AA150" s="14" t="n"/>
      <c r="AB150" s="15" t="n"/>
      <c r="AC150" s="16">
        <f>IFERROR(AA150*AB150, 0)</f>
        <v/>
      </c>
      <c r="AD150" s="14" t="n"/>
      <c r="AE150" s="15" t="n"/>
      <c r="AF150" s="16">
        <f>IFERROR(AD150*AE150, 0)</f>
        <v/>
      </c>
      <c r="AG150" s="14" t="n"/>
      <c r="AH150" s="15" t="n"/>
      <c r="AI150" s="16">
        <f>IFERROR(AG150*AH150, 0)</f>
        <v/>
      </c>
      <c r="AJ150" s="14" t="n"/>
      <c r="AK150" s="15" t="n"/>
      <c r="AL150" s="16">
        <f>IFERROR(AJ150*AK150, 0)</f>
        <v/>
      </c>
      <c r="AM150" s="14" t="n"/>
      <c r="AN150" s="15" t="n"/>
      <c r="AO150" s="16">
        <f>IFERROR(AM150*AN150, 0)</f>
        <v/>
      </c>
      <c r="AP150" s="14" t="n"/>
      <c r="AQ150" s="15" t="n"/>
      <c r="AR150" s="16">
        <f>IFERROR(AP150*AQ150, 0)</f>
        <v/>
      </c>
      <c r="AS150" s="14" t="n"/>
      <c r="AT150" s="15" t="n"/>
      <c r="AU150" s="16">
        <f>IFERROR(AS150*AT150, 0)</f>
        <v/>
      </c>
      <c r="AV150" s="14" t="n"/>
      <c r="AW150" s="15" t="n"/>
      <c r="AX150" s="16">
        <f>IFERROR(AV150*AW150, 0)</f>
        <v/>
      </c>
      <c r="AY150" s="14" t="n"/>
      <c r="AZ150" s="15" t="n"/>
      <c r="BA150" s="16">
        <f>IFERROR(AY150*AZ150, 0)</f>
        <v/>
      </c>
      <c r="BB150" s="14" t="n"/>
      <c r="BC150" s="15" t="n"/>
      <c r="BD150" s="16">
        <f>IFERROR(BB150*BC150, 0)</f>
        <v/>
      </c>
      <c r="BE150" s="14" t="n"/>
      <c r="BF150" s="15" t="n"/>
      <c r="BG150" s="16">
        <f>IFERROR(BE150*BF150, 0)</f>
        <v/>
      </c>
      <c r="BH150" s="14" t="n"/>
      <c r="BI150" s="15" t="n"/>
      <c r="BJ150" s="16">
        <f>IFERROR(BH150*BI150, 0)</f>
        <v/>
      </c>
      <c r="BK150" s="14" t="n"/>
      <c r="BL150" s="15" t="n"/>
      <c r="BM150" s="16">
        <f>IFERROR(BK150*BL150, 0)</f>
        <v/>
      </c>
      <c r="BN150" s="14" t="n"/>
      <c r="BO150" s="15" t="n"/>
      <c r="BP150" s="16">
        <f>IFERROR(BN150*BO150, 0)</f>
        <v/>
      </c>
      <c r="BQ150" s="14" t="n"/>
      <c r="BR150" s="15" t="n"/>
      <c r="BS150" s="16">
        <f>IFERROR(BQ150*BR150, 0)</f>
        <v/>
      </c>
      <c r="BT150" s="14" t="n"/>
      <c r="BU150" s="15" t="n"/>
      <c r="BV150" s="16">
        <f>IFERROR(BT150*BU150, 0)</f>
        <v/>
      </c>
      <c r="BW150" s="14" t="n"/>
      <c r="BX150" s="15" t="n"/>
      <c r="BY150" s="16">
        <f>IFERROR(BW150*BX150, 0)</f>
        <v/>
      </c>
      <c r="BZ150" s="14" t="n"/>
      <c r="CA150" s="15" t="n"/>
      <c r="CB150" s="16">
        <f>IFERROR(BZ150*CA150, 0)</f>
        <v/>
      </c>
      <c r="CC150" s="14" t="n"/>
      <c r="CD150" s="15" t="n"/>
      <c r="CE150" s="16">
        <f>IFERROR(CC150*CD150, 0)</f>
        <v/>
      </c>
      <c r="CF150" s="14" t="n"/>
      <c r="CG150" s="15" t="n"/>
      <c r="CH150" s="16">
        <f>IFERROR(CF150*CG150, 0)</f>
        <v/>
      </c>
      <c r="CI150" s="14" t="n"/>
      <c r="CJ150" s="15" t="n"/>
      <c r="CK150" s="16">
        <f>IFERROR(CI150*CJ150, 0)</f>
        <v/>
      </c>
      <c r="CL150" s="14" t="n"/>
      <c r="CM150" s="15" t="n"/>
      <c r="CN150" s="16">
        <f>IFERROR(CL150*CM150, 0)</f>
        <v/>
      </c>
      <c r="CO150" s="14" t="n"/>
      <c r="CP150" s="15" t="n"/>
      <c r="CQ150" s="16">
        <f>IFERROR(CO150*CP150, 0)</f>
        <v/>
      </c>
      <c r="CR150" s="14" t="n"/>
      <c r="CS150" s="15" t="n"/>
      <c r="CT150" s="16">
        <f>IFERROR(CR150*CS150, 0)</f>
        <v/>
      </c>
      <c r="CU150" s="17">
        <f>IFERROR(SUM(F150,I150,L150,O150,R150,U150,X150,AA150,AD150,AG150,AJ150,AM150,AP150,AS150,AV150,AY150,BB150,BE150,BH150,BK150,BN150,BQ150,BT150,BW150,BZ150,CC150,CF150,CI150,CL150,CO150,CR150), 0)</f>
        <v/>
      </c>
      <c r="CV150" s="16">
        <f>IFERROR(AVERAGE(G150,J150,M150,P150,S150,V150,Y150,AB150,AE150,AH150,AK150,AN150,AQ150,AT150,AW150,AZ150,BC150,BF150,BI150,BL150,BO150,BR150,BU150,BX150,CA150,CD150,CG150,CJ150,CM150,CP150,CS150), 0)</f>
        <v/>
      </c>
      <c r="CW150" s="16">
        <f>CU150*CV150</f>
        <v/>
      </c>
    </row>
    <row r="151">
      <c r="A151" s="76" t="inlineStr">
        <is>
          <t>Desechables Doña Mery</t>
        </is>
      </c>
      <c r="B151" s="41" t="inlineStr">
        <is>
          <t>Und</t>
        </is>
      </c>
      <c r="C151" s="42" t="n"/>
      <c r="D151" s="43" t="n"/>
      <c r="E151" s="78">
        <f>IFERROR(+C151*D151, 0)</f>
        <v/>
      </c>
      <c r="F151" s="14" t="n"/>
      <c r="G151" s="15" t="n"/>
      <c r="H151" s="16">
        <f>IFERROR(F151*G151, 0)</f>
        <v/>
      </c>
      <c r="I151" s="14" t="n"/>
      <c r="J151" s="15" t="n"/>
      <c r="K151" s="16">
        <f>IFERROR(I151*J151, 0)</f>
        <v/>
      </c>
      <c r="L151" s="14" t="n"/>
      <c r="M151" s="15" t="n"/>
      <c r="N151" s="16">
        <f>IFERROR(L151*M151, 0)</f>
        <v/>
      </c>
      <c r="O151" s="14" t="n"/>
      <c r="P151" s="15" t="n"/>
      <c r="Q151" s="16">
        <f>IFERROR(O151*P151, 0)</f>
        <v/>
      </c>
      <c r="R151" s="14" t="n"/>
      <c r="S151" s="15" t="n"/>
      <c r="T151" s="16">
        <f>IFERROR(R151*S151, 0)</f>
        <v/>
      </c>
      <c r="U151" s="14" t="n"/>
      <c r="V151" s="15" t="n"/>
      <c r="W151" s="16">
        <f>IFERROR(U151*V151, 0)</f>
        <v/>
      </c>
      <c r="X151" s="14" t="n"/>
      <c r="Y151" s="15" t="n"/>
      <c r="Z151" s="16">
        <f>IFERROR(X151*Y151, 0)</f>
        <v/>
      </c>
      <c r="AA151" s="14" t="n"/>
      <c r="AB151" s="15" t="n"/>
      <c r="AC151" s="16">
        <f>IFERROR(AA151*AB151, 0)</f>
        <v/>
      </c>
      <c r="AD151" s="14" t="n"/>
      <c r="AE151" s="15" t="n"/>
      <c r="AF151" s="16">
        <f>IFERROR(AD151*AE151, 0)</f>
        <v/>
      </c>
      <c r="AG151" s="14" t="n"/>
      <c r="AH151" s="15" t="n"/>
      <c r="AI151" s="16">
        <f>IFERROR(AG151*AH151, 0)</f>
        <v/>
      </c>
      <c r="AJ151" s="14" t="n"/>
      <c r="AK151" s="15" t="n"/>
      <c r="AL151" s="16">
        <f>IFERROR(AJ151*AK151, 0)</f>
        <v/>
      </c>
      <c r="AM151" s="14" t="n"/>
      <c r="AN151" s="15" t="n"/>
      <c r="AO151" s="16">
        <f>IFERROR(AM151*AN151, 0)</f>
        <v/>
      </c>
      <c r="AP151" s="14" t="n"/>
      <c r="AQ151" s="15" t="n"/>
      <c r="AR151" s="16">
        <f>IFERROR(AP151*AQ151, 0)</f>
        <v/>
      </c>
      <c r="AS151" s="14" t="n"/>
      <c r="AT151" s="15" t="n"/>
      <c r="AU151" s="16">
        <f>IFERROR(AS151*AT151, 0)</f>
        <v/>
      </c>
      <c r="AV151" s="14" t="n"/>
      <c r="AW151" s="15" t="n"/>
      <c r="AX151" s="16">
        <f>IFERROR(AV151*AW151, 0)</f>
        <v/>
      </c>
      <c r="AY151" s="14" t="n"/>
      <c r="AZ151" s="15" t="n"/>
      <c r="BA151" s="16">
        <f>IFERROR(AY151*AZ151, 0)</f>
        <v/>
      </c>
      <c r="BB151" s="14" t="n"/>
      <c r="BC151" s="15" t="n"/>
      <c r="BD151" s="16">
        <f>IFERROR(BB151*BC151, 0)</f>
        <v/>
      </c>
      <c r="BE151" s="14" t="n"/>
      <c r="BF151" s="15" t="n"/>
      <c r="BG151" s="16">
        <f>IFERROR(BE151*BF151, 0)</f>
        <v/>
      </c>
      <c r="BH151" s="14" t="n"/>
      <c r="BI151" s="15" t="n"/>
      <c r="BJ151" s="16">
        <f>IFERROR(BH151*BI151, 0)</f>
        <v/>
      </c>
      <c r="BK151" s="14" t="n"/>
      <c r="BL151" s="15" t="n"/>
      <c r="BM151" s="16">
        <f>IFERROR(BK151*BL151, 0)</f>
        <v/>
      </c>
      <c r="BN151" s="14" t="n"/>
      <c r="BO151" s="15" t="n"/>
      <c r="BP151" s="16">
        <f>IFERROR(BN151*BO151, 0)</f>
        <v/>
      </c>
      <c r="BQ151" s="14" t="n"/>
      <c r="BR151" s="15" t="n"/>
      <c r="BS151" s="16">
        <f>IFERROR(BQ151*BR151, 0)</f>
        <v/>
      </c>
      <c r="BT151" s="14" t="n"/>
      <c r="BU151" s="15" t="n"/>
      <c r="BV151" s="16">
        <f>IFERROR(BT151*BU151, 0)</f>
        <v/>
      </c>
      <c r="BW151" s="14" t="n"/>
      <c r="BX151" s="15" t="n"/>
      <c r="BY151" s="16">
        <f>IFERROR(BW151*BX151, 0)</f>
        <v/>
      </c>
      <c r="BZ151" s="14" t="n"/>
      <c r="CA151" s="15" t="n"/>
      <c r="CB151" s="16">
        <f>IFERROR(BZ151*CA151, 0)</f>
        <v/>
      </c>
      <c r="CC151" s="14" t="n"/>
      <c r="CD151" s="15" t="n"/>
      <c r="CE151" s="16">
        <f>IFERROR(CC151*CD151, 0)</f>
        <v/>
      </c>
      <c r="CF151" s="14" t="n"/>
      <c r="CG151" s="15" t="n"/>
      <c r="CH151" s="16">
        <f>IFERROR(CF151*CG151, 0)</f>
        <v/>
      </c>
      <c r="CI151" s="14" t="n"/>
      <c r="CJ151" s="15" t="n"/>
      <c r="CK151" s="16">
        <f>IFERROR(CI151*CJ151, 0)</f>
        <v/>
      </c>
      <c r="CL151" s="14" t="n"/>
      <c r="CM151" s="15" t="n"/>
      <c r="CN151" s="16">
        <f>IFERROR(CL151*CM151, 0)</f>
        <v/>
      </c>
      <c r="CO151" s="14" t="n"/>
      <c r="CP151" s="15" t="n"/>
      <c r="CQ151" s="16">
        <f>IFERROR(CO151*CP151, 0)</f>
        <v/>
      </c>
      <c r="CR151" s="14" t="n"/>
      <c r="CS151" s="15" t="n"/>
      <c r="CT151" s="16">
        <f>IFERROR(CR151*CS151, 0)</f>
        <v/>
      </c>
      <c r="CU151" s="17">
        <f>IFERROR(SUM(F151,I151,L151,O151,R151,U151,X151,AA151,AD151,AG151,AJ151,AM151,AP151,AS151,AV151,AY151,BB151,BE151,BH151,BK151,BN151,BQ151,BT151,BW151,BZ151,CC151,CF151,CI151,CL151,CO151,CR151), 0)</f>
        <v/>
      </c>
      <c r="CV151" s="16">
        <f>IFERROR(AVERAGE(G151,J151,M151,P151,S151,V151,Y151,AB151,AE151,AH151,AK151,AN151,AQ151,AT151,AW151,AZ151,BC151,BF151,BI151,BL151,BO151,BR151,BU151,BX151,CA151,CD151,CG151,CJ151,CM151,CP151,CS151), 0)</f>
        <v/>
      </c>
      <c r="CW151" s="16">
        <f>CU151*CV151</f>
        <v/>
      </c>
    </row>
    <row r="152">
      <c r="A152" t="inlineStr">
        <is>
          <t>Rejilla</t>
        </is>
      </c>
    </row>
    <row r="153">
      <c r="A153" t="inlineStr">
        <is>
          <t>Brocha uduke 3'</t>
        </is>
      </c>
    </row>
  </sheetData>
  <autoFilter ref="A2:CW151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CW60"/>
  <sheetViews>
    <sheetView topLeftCell="A28" zoomScaleNormal="100" workbookViewId="0">
      <pane xSplit="1" topLeftCell="BZ1" activePane="topRight" state="frozen"/>
      <selection pane="topRight" activeCell="CW2" sqref="CW2"/>
    </sheetView>
  </sheetViews>
  <sheetFormatPr baseColWidth="10" defaultColWidth="11.453125" defaultRowHeight="15.5"/>
  <cols>
    <col width="39.1796875" bestFit="1" customWidth="1" style="39" min="1" max="1"/>
    <col width="9.54296875" customWidth="1" style="39" min="2" max="2"/>
    <col width="10.26953125" customWidth="1" style="39" min="3" max="3"/>
    <col width="7.1796875" customWidth="1" style="39" min="4" max="4"/>
    <col width="6.81640625" customWidth="1" style="39" min="5" max="5"/>
    <col width="10.453125" customWidth="1" style="39" min="6" max="6"/>
    <col width="13.7265625" customWidth="1" style="39" min="7" max="7"/>
    <col width="14.26953125" customWidth="1" style="39" min="8" max="8"/>
    <col width="10.453125" customWidth="1" style="39" min="9" max="9"/>
    <col width="13.7265625" customWidth="1" style="39" min="10" max="10"/>
    <col width="14.26953125" customWidth="1" style="39" min="11" max="11"/>
    <col width="10.453125" customWidth="1" style="39" min="12" max="12"/>
    <col width="13.7265625" customWidth="1" style="39" min="13" max="13"/>
    <col width="14.26953125" customWidth="1" style="39" min="14" max="14"/>
    <col width="10.453125" customWidth="1" style="39" min="15" max="15"/>
    <col width="13.7265625" customWidth="1" style="39" min="16" max="16"/>
    <col width="14.26953125" customWidth="1" style="39" min="17" max="17"/>
    <col width="10.453125" customWidth="1" style="39" min="18" max="18"/>
    <col width="13" bestFit="1" customWidth="1" style="39" min="19" max="19"/>
    <col width="14.26953125" customWidth="1" style="39" min="20" max="20"/>
    <col width="10.453125" customWidth="1" style="39" min="21" max="21"/>
    <col width="13.7265625" customWidth="1" style="39" min="22" max="22"/>
    <col width="14.26953125" customWidth="1" style="39" min="23" max="23"/>
    <col width="10.453125" customWidth="1" style="39" min="24" max="24"/>
    <col width="13.7265625" customWidth="1" style="39" min="25" max="25"/>
    <col width="14.26953125" customWidth="1" style="39" min="26" max="26"/>
    <col width="10.453125" customWidth="1" style="39" min="27" max="27"/>
    <col width="13.7265625" customWidth="1" style="39" min="28" max="28"/>
    <col width="14.26953125" customWidth="1" style="39" min="29" max="29"/>
    <col width="10.453125" customWidth="1" style="23" min="30" max="30"/>
    <col width="13.7265625" customWidth="1" style="23" min="31" max="31"/>
    <col width="14.26953125" customWidth="1" style="23" min="32" max="32"/>
    <col width="10.453125" customWidth="1" style="39" min="33" max="33"/>
    <col width="13.7265625" customWidth="1" style="39" min="34" max="34"/>
    <col width="14.26953125" customWidth="1" style="39" min="35" max="35"/>
    <col width="10.453125" bestFit="1" customWidth="1" style="39" min="36" max="36"/>
    <col width="13.7265625" bestFit="1" customWidth="1" style="39" min="37" max="37"/>
    <col width="14.26953125" bestFit="1" customWidth="1" style="39" min="38" max="38"/>
    <col width="10.453125" bestFit="1" customWidth="1" style="39" min="39" max="39"/>
    <col width="13.7265625" bestFit="1" customWidth="1" style="39" min="40" max="40"/>
    <col width="14.26953125" bestFit="1" customWidth="1" style="39" min="41" max="41"/>
    <col width="10.453125" bestFit="1" customWidth="1" style="39" min="42" max="42"/>
    <col width="11.81640625" bestFit="1" customWidth="1" style="39" min="43" max="43"/>
    <col width="14.26953125" bestFit="1" customWidth="1" style="39" min="44" max="44"/>
    <col width="10.453125" bestFit="1" customWidth="1" style="39" min="45" max="45"/>
    <col width="13.7265625" bestFit="1" customWidth="1" style="39" min="46" max="46"/>
    <col width="14.26953125" bestFit="1" customWidth="1" style="39" min="47" max="47"/>
    <col width="10.453125" bestFit="1" customWidth="1" style="39" min="48" max="48"/>
    <col width="13.7265625" bestFit="1" customWidth="1" style="39" min="49" max="49"/>
    <col width="14.26953125" bestFit="1" customWidth="1" style="39" min="50" max="50"/>
    <col width="10.453125" bestFit="1" customWidth="1" style="39" min="51" max="51"/>
    <col width="13.7265625" bestFit="1" customWidth="1" style="39" min="52" max="52"/>
    <col width="14.26953125" bestFit="1" customWidth="1" style="39" min="53" max="53"/>
    <col width="10.453125" bestFit="1" customWidth="1" style="39" min="54" max="54"/>
    <col width="13.7265625" bestFit="1" customWidth="1" style="39" min="55" max="55"/>
    <col width="14.26953125" bestFit="1" customWidth="1" style="39" min="56" max="56"/>
    <col width="10.453125" bestFit="1" customWidth="1" style="39" min="57" max="57"/>
    <col width="13.7265625" bestFit="1" customWidth="1" style="39" min="58" max="58"/>
    <col width="14.26953125" bestFit="1" customWidth="1" style="39" min="59" max="59"/>
    <col width="10.453125" bestFit="1" customWidth="1" style="39" min="60" max="60"/>
    <col width="13.7265625" bestFit="1" customWidth="1" style="39" min="61" max="61"/>
    <col width="14.26953125" bestFit="1" customWidth="1" style="39" min="62" max="62"/>
    <col width="10.453125" bestFit="1" customWidth="1" style="39" min="63" max="63"/>
    <col width="13.7265625" bestFit="1" customWidth="1" style="39" min="64" max="64"/>
    <col width="14.26953125" bestFit="1" customWidth="1" style="39" min="65" max="65"/>
    <col width="10.453125" bestFit="1" customWidth="1" style="39" min="66" max="66"/>
    <col width="13" bestFit="1" customWidth="1" style="39" min="67" max="67"/>
    <col width="14.26953125" bestFit="1" customWidth="1" style="39" min="68" max="68"/>
    <col width="10.453125" bestFit="1" customWidth="1" style="39" min="69" max="69"/>
    <col width="13.7265625" bestFit="1" customWidth="1" style="39" min="70" max="70"/>
    <col width="14.26953125" bestFit="1" customWidth="1" style="39" min="71" max="71"/>
    <col width="10.453125" bestFit="1" customWidth="1" style="39" min="72" max="72"/>
    <col width="13.7265625" bestFit="1" customWidth="1" style="39" min="73" max="73"/>
    <col width="14.26953125" bestFit="1" customWidth="1" style="39" min="74" max="74"/>
    <col width="10.453125" bestFit="1" customWidth="1" style="39" min="75" max="75"/>
    <col width="13.7265625" bestFit="1" customWidth="1" style="39" min="76" max="76"/>
    <col width="14.26953125" bestFit="1" customWidth="1" style="39" min="77" max="77"/>
    <col width="10.453125" bestFit="1" customWidth="1" style="39" min="78" max="78"/>
    <col width="13.7265625" bestFit="1" customWidth="1" style="39" min="79" max="79"/>
    <col width="14.26953125" bestFit="1" customWidth="1" style="39" min="80" max="80"/>
    <col width="10.453125" bestFit="1" customWidth="1" style="39" min="81" max="81"/>
    <col width="13.7265625" bestFit="1" customWidth="1" style="39" min="82" max="82"/>
    <col width="14.26953125" bestFit="1" customWidth="1" style="39" min="83" max="83"/>
    <col width="10.453125" bestFit="1" customWidth="1" style="39" min="84" max="84"/>
    <col width="13.7265625" bestFit="1" customWidth="1" style="39" min="85" max="85"/>
    <col width="14.26953125" bestFit="1" customWidth="1" style="39" min="86" max="86"/>
    <col width="10.453125" bestFit="1" customWidth="1" style="39" min="87" max="87"/>
    <col width="13.7265625" bestFit="1" customWidth="1" style="39" min="88" max="88"/>
    <col width="14.26953125" bestFit="1" customWidth="1" style="39" min="89" max="89"/>
    <col width="10.453125" bestFit="1" customWidth="1" style="39" min="90" max="90"/>
    <col width="11.81640625" bestFit="1" customWidth="1" style="39" min="91" max="91"/>
    <col width="14.26953125" bestFit="1" customWidth="1" style="39" min="92" max="92"/>
    <col width="10.453125" bestFit="1" customWidth="1" style="39" min="93" max="93"/>
    <col width="13.7265625" bestFit="1" customWidth="1" style="39" min="94" max="94"/>
    <col width="14.26953125" bestFit="1" customWidth="1" style="39" min="95" max="95"/>
    <col width="10.453125" bestFit="1" customWidth="1" style="39" min="96" max="96"/>
    <col width="13.7265625" bestFit="1" customWidth="1" style="39" min="97" max="97"/>
    <col width="14.26953125" bestFit="1" customWidth="1" style="39" min="98" max="98"/>
    <col width="10.453125" bestFit="1" customWidth="1" style="39" min="99" max="99"/>
    <col width="13.7265625" bestFit="1" customWidth="1" style="39" min="100" max="100"/>
    <col width="14.26953125" bestFit="1" customWidth="1" style="39" min="101" max="101"/>
    <col width="15.54296875" customWidth="1" style="39" min="102" max="107"/>
    <col width="18.54296875" customWidth="1" style="39" min="108" max="108"/>
    <col width="14.453125" customWidth="1" style="39" min="109" max="109"/>
    <col width="16" customWidth="1" style="39" min="110" max="111"/>
    <col width="11.453125" customWidth="1" style="39" min="112" max="124"/>
    <col width="11.453125" customWidth="1" style="39" min="125" max="16384"/>
  </cols>
  <sheetData>
    <row r="1" ht="15.75" customHeight="1">
      <c r="A1" s="125" t="inlineStr">
        <is>
          <t>Licores</t>
        </is>
      </c>
      <c r="B1" s="52" t="n"/>
      <c r="C1" s="52" t="n"/>
      <c r="D1" s="52" t="n"/>
      <c r="E1" s="52" t="n"/>
      <c r="F1" s="120" t="n">
        <v>1</v>
      </c>
      <c r="G1" s="121" t="n"/>
      <c r="H1" s="122" t="n"/>
      <c r="I1" s="120" t="n">
        <v>2</v>
      </c>
      <c r="J1" s="121" t="n"/>
      <c r="K1" s="122" t="n"/>
      <c r="L1" s="120" t="n">
        <v>3</v>
      </c>
      <c r="M1" s="121" t="n"/>
      <c r="N1" s="122" t="n"/>
      <c r="O1" s="120" t="n">
        <v>4</v>
      </c>
      <c r="P1" s="121" t="n"/>
      <c r="Q1" s="122" t="n"/>
      <c r="R1" s="120" t="n">
        <v>5</v>
      </c>
      <c r="S1" s="121" t="n"/>
      <c r="T1" s="122" t="n"/>
      <c r="U1" s="120" t="n">
        <v>6</v>
      </c>
      <c r="V1" s="121" t="n"/>
      <c r="W1" s="122" t="n"/>
      <c r="X1" s="120" t="n">
        <v>7</v>
      </c>
      <c r="Y1" s="121" t="n"/>
      <c r="Z1" s="122" t="n"/>
      <c r="AA1" s="120" t="n">
        <v>8</v>
      </c>
      <c r="AB1" s="121" t="n"/>
      <c r="AC1" s="122" t="n"/>
      <c r="AD1" s="120" t="n">
        <v>9</v>
      </c>
      <c r="AE1" s="121" t="n"/>
      <c r="AF1" s="122" t="n"/>
      <c r="AG1" s="120" t="n">
        <v>10</v>
      </c>
      <c r="AH1" s="121" t="n"/>
      <c r="AI1" s="122" t="n"/>
      <c r="AJ1" s="120" t="n">
        <v>11</v>
      </c>
      <c r="AK1" s="121" t="n"/>
      <c r="AL1" s="122" t="n"/>
      <c r="AM1" s="120" t="n">
        <v>12</v>
      </c>
      <c r="AN1" s="121" t="n"/>
      <c r="AO1" s="122" t="n"/>
      <c r="AP1" s="120" t="n">
        <v>13</v>
      </c>
      <c r="AQ1" s="121" t="n"/>
      <c r="AR1" s="122" t="n"/>
      <c r="AS1" s="120" t="n">
        <v>14</v>
      </c>
      <c r="AT1" s="121" t="n"/>
      <c r="AU1" s="122" t="n"/>
      <c r="AV1" s="120" t="n">
        <v>15</v>
      </c>
      <c r="AW1" s="121" t="n"/>
      <c r="AX1" s="122" t="n"/>
      <c r="AY1" s="120" t="n">
        <v>16</v>
      </c>
      <c r="AZ1" s="121" t="n"/>
      <c r="BA1" s="122" t="n"/>
      <c r="BB1" s="120" t="n">
        <v>17</v>
      </c>
      <c r="BC1" s="121" t="n"/>
      <c r="BD1" s="122" t="n"/>
      <c r="BE1" s="120" t="n">
        <v>18</v>
      </c>
      <c r="BF1" s="121" t="n"/>
      <c r="BG1" s="122" t="n"/>
      <c r="BH1" s="120" t="n">
        <v>19</v>
      </c>
      <c r="BI1" s="121" t="n"/>
      <c r="BJ1" s="122" t="n"/>
      <c r="BK1" s="120" t="n">
        <v>20</v>
      </c>
      <c r="BL1" s="121" t="n"/>
      <c r="BM1" s="122" t="n"/>
      <c r="BN1" s="120" t="n">
        <v>21</v>
      </c>
      <c r="BO1" s="121" t="n"/>
      <c r="BP1" s="122" t="n"/>
      <c r="BQ1" s="120" t="n">
        <v>22</v>
      </c>
      <c r="BR1" s="121" t="n"/>
      <c r="BS1" s="122" t="n"/>
      <c r="BT1" s="120" t="n">
        <v>23</v>
      </c>
      <c r="BU1" s="121" t="n"/>
      <c r="BV1" s="122" t="n"/>
      <c r="BW1" s="120" t="n">
        <v>24</v>
      </c>
      <c r="BX1" s="121" t="n"/>
      <c r="BY1" s="122" t="n"/>
      <c r="BZ1" s="120" t="n">
        <v>25</v>
      </c>
      <c r="CA1" s="121" t="n"/>
      <c r="CB1" s="122" t="n"/>
      <c r="CC1" s="120" t="n">
        <v>26</v>
      </c>
      <c r="CD1" s="121" t="n"/>
      <c r="CE1" s="122" t="n"/>
      <c r="CF1" s="120" t="n">
        <v>27</v>
      </c>
      <c r="CG1" s="121" t="n"/>
      <c r="CH1" s="122" t="n"/>
      <c r="CI1" s="120" t="n">
        <v>28</v>
      </c>
      <c r="CJ1" s="121" t="n"/>
      <c r="CK1" s="122" t="n"/>
      <c r="CL1" s="120" t="n">
        <v>29</v>
      </c>
      <c r="CM1" s="121" t="n"/>
      <c r="CN1" s="122" t="n"/>
      <c r="CO1" s="120" t="n">
        <v>30</v>
      </c>
      <c r="CP1" s="121" t="n"/>
      <c r="CQ1" s="122" t="n"/>
      <c r="CR1" s="120" t="n">
        <v>31</v>
      </c>
      <c r="CS1" s="121" t="n"/>
      <c r="CT1" s="122" t="n"/>
      <c r="CU1" s="125" t="inlineStr">
        <is>
          <t>Total mes</t>
        </is>
      </c>
      <c r="CV1" s="121" t="n"/>
      <c r="CW1" s="122" t="n"/>
    </row>
    <row r="2" ht="15.75" customHeight="1">
      <c r="A2" s="53" t="inlineStr">
        <is>
          <t>Producto</t>
        </is>
      </c>
      <c r="B2" s="54" t="inlineStr">
        <is>
          <t>Medida</t>
        </is>
      </c>
      <c r="C2" s="54" t="inlineStr">
        <is>
          <t>Cantidad</t>
        </is>
      </c>
      <c r="D2" s="54" t="inlineStr">
        <is>
          <t>Valor</t>
        </is>
      </c>
      <c r="E2" s="54" t="inlineStr">
        <is>
          <t>Total</t>
        </is>
      </c>
      <c r="F2" s="53" t="inlineStr">
        <is>
          <t>Cantid</t>
        </is>
      </c>
      <c r="G2" s="53" t="inlineStr">
        <is>
          <t>Costo unit</t>
        </is>
      </c>
      <c r="H2" s="53" t="inlineStr">
        <is>
          <t>Vr. compra</t>
        </is>
      </c>
      <c r="I2" s="53" t="inlineStr">
        <is>
          <t>Cantid</t>
        </is>
      </c>
      <c r="J2" s="53" t="inlineStr">
        <is>
          <t>Costo unit</t>
        </is>
      </c>
      <c r="K2" s="53" t="inlineStr">
        <is>
          <t>Vr. compra</t>
        </is>
      </c>
      <c r="L2" s="53" t="inlineStr">
        <is>
          <t>Cantid</t>
        </is>
      </c>
      <c r="M2" s="53" t="inlineStr">
        <is>
          <t>Costo unit</t>
        </is>
      </c>
      <c r="N2" s="53" t="inlineStr">
        <is>
          <t>Vr. compra</t>
        </is>
      </c>
      <c r="O2" s="53" t="inlineStr">
        <is>
          <t>Cantid</t>
        </is>
      </c>
      <c r="P2" s="53" t="inlineStr">
        <is>
          <t>Costo unit</t>
        </is>
      </c>
      <c r="Q2" s="53" t="inlineStr">
        <is>
          <t>Vr. compra</t>
        </is>
      </c>
      <c r="R2" s="53" t="inlineStr">
        <is>
          <t>Cantid</t>
        </is>
      </c>
      <c r="S2" s="53" t="inlineStr">
        <is>
          <t>Costo</t>
        </is>
      </c>
      <c r="T2" s="53" t="inlineStr">
        <is>
          <t>Vr. compra</t>
        </is>
      </c>
      <c r="U2" s="53" t="inlineStr">
        <is>
          <t>Cantid</t>
        </is>
      </c>
      <c r="V2" s="53" t="inlineStr">
        <is>
          <t>Costo unit</t>
        </is>
      </c>
      <c r="W2" s="53" t="inlineStr">
        <is>
          <t>Vr. compra</t>
        </is>
      </c>
      <c r="X2" s="53" t="inlineStr">
        <is>
          <t>Cantid</t>
        </is>
      </c>
      <c r="Y2" s="53" t="inlineStr">
        <is>
          <t>Costo unit</t>
        </is>
      </c>
      <c r="Z2" s="53" t="inlineStr">
        <is>
          <t>Vr. compra</t>
        </is>
      </c>
      <c r="AA2" s="53" t="inlineStr">
        <is>
          <t>Cantid</t>
        </is>
      </c>
      <c r="AB2" s="53" t="inlineStr">
        <is>
          <t>Costo unit</t>
        </is>
      </c>
      <c r="AC2" s="53" t="inlineStr">
        <is>
          <t>Vr. compra</t>
        </is>
      </c>
      <c r="AD2" s="53" t="inlineStr">
        <is>
          <t>Cantid</t>
        </is>
      </c>
      <c r="AE2" s="53" t="inlineStr">
        <is>
          <t>Costo unit</t>
        </is>
      </c>
      <c r="AF2" s="53" t="inlineStr">
        <is>
          <t>Vr. compra</t>
        </is>
      </c>
      <c r="AG2" s="53" t="inlineStr">
        <is>
          <t>Cantid</t>
        </is>
      </c>
      <c r="AH2" s="53" t="inlineStr">
        <is>
          <t>Costo unit</t>
        </is>
      </c>
      <c r="AI2" s="53" t="inlineStr">
        <is>
          <t>Vr. compra</t>
        </is>
      </c>
      <c r="AJ2" s="53" t="inlineStr">
        <is>
          <t>Cantid</t>
        </is>
      </c>
      <c r="AK2" s="53" t="inlineStr">
        <is>
          <t>Costo unit</t>
        </is>
      </c>
      <c r="AL2" s="53" t="inlineStr">
        <is>
          <t>Vr. compra</t>
        </is>
      </c>
      <c r="AM2" s="53" t="inlineStr">
        <is>
          <t>Cantid</t>
        </is>
      </c>
      <c r="AN2" s="53" t="inlineStr">
        <is>
          <t>Costo unit</t>
        </is>
      </c>
      <c r="AO2" s="53" t="inlineStr">
        <is>
          <t>Vr. compra</t>
        </is>
      </c>
      <c r="AP2" s="53" t="inlineStr">
        <is>
          <t>Cantid</t>
        </is>
      </c>
      <c r="AQ2" s="53" t="inlineStr">
        <is>
          <t>Costo</t>
        </is>
      </c>
      <c r="AR2" s="53" t="inlineStr">
        <is>
          <t>Vr. compra</t>
        </is>
      </c>
      <c r="AS2" s="53" t="inlineStr">
        <is>
          <t>Cantid</t>
        </is>
      </c>
      <c r="AT2" s="53" t="inlineStr">
        <is>
          <t>Costo unit</t>
        </is>
      </c>
      <c r="AU2" s="53" t="inlineStr">
        <is>
          <t>Vr. compra</t>
        </is>
      </c>
      <c r="AV2" s="53" t="inlineStr">
        <is>
          <t>Cantid</t>
        </is>
      </c>
      <c r="AW2" s="53" t="inlineStr">
        <is>
          <t>Costo unit</t>
        </is>
      </c>
      <c r="AX2" s="53" t="inlineStr">
        <is>
          <t>Vr. compra</t>
        </is>
      </c>
      <c r="AY2" s="53" t="inlineStr">
        <is>
          <t>Cantid</t>
        </is>
      </c>
      <c r="AZ2" s="53" t="inlineStr">
        <is>
          <t>Costo unit</t>
        </is>
      </c>
      <c r="BA2" s="53" t="inlineStr">
        <is>
          <t>Vr. compra</t>
        </is>
      </c>
      <c r="BB2" s="53" t="inlineStr">
        <is>
          <t>Cantid</t>
        </is>
      </c>
      <c r="BC2" s="53" t="inlineStr">
        <is>
          <t>Costo unit</t>
        </is>
      </c>
      <c r="BD2" s="53" t="inlineStr">
        <is>
          <t>Vr. compra</t>
        </is>
      </c>
      <c r="BE2" s="53" t="inlineStr">
        <is>
          <t>Cantid</t>
        </is>
      </c>
      <c r="BF2" s="53" t="inlineStr">
        <is>
          <t>Costo unit</t>
        </is>
      </c>
      <c r="BG2" s="53" t="inlineStr">
        <is>
          <t>Vr. compra</t>
        </is>
      </c>
      <c r="BH2" s="53" t="inlineStr">
        <is>
          <t>Cantid</t>
        </is>
      </c>
      <c r="BI2" s="53" t="inlineStr">
        <is>
          <t>Costo unit</t>
        </is>
      </c>
      <c r="BJ2" s="53" t="inlineStr">
        <is>
          <t>Vr. compra</t>
        </is>
      </c>
      <c r="BK2" s="53" t="inlineStr">
        <is>
          <t>Cantid</t>
        </is>
      </c>
      <c r="BL2" s="53" t="inlineStr">
        <is>
          <t>Costo unit</t>
        </is>
      </c>
      <c r="BM2" s="53" t="inlineStr">
        <is>
          <t>Vr. compra</t>
        </is>
      </c>
      <c r="BN2" s="53" t="inlineStr">
        <is>
          <t>Cantid</t>
        </is>
      </c>
      <c r="BO2" s="53" t="inlineStr">
        <is>
          <t>Costo</t>
        </is>
      </c>
      <c r="BP2" s="53" t="inlineStr">
        <is>
          <t>Vr. compra</t>
        </is>
      </c>
      <c r="BQ2" s="53" t="inlineStr">
        <is>
          <t>Cantid</t>
        </is>
      </c>
      <c r="BR2" s="53" t="inlineStr">
        <is>
          <t>Costo unit</t>
        </is>
      </c>
      <c r="BS2" s="53" t="inlineStr">
        <is>
          <t>Vr. compra</t>
        </is>
      </c>
      <c r="BT2" s="53" t="inlineStr">
        <is>
          <t>Cantid</t>
        </is>
      </c>
      <c r="BU2" s="53" t="inlineStr">
        <is>
          <t>Costo unit</t>
        </is>
      </c>
      <c r="BV2" s="53" t="inlineStr">
        <is>
          <t>Vr. compra</t>
        </is>
      </c>
      <c r="BW2" s="53" t="inlineStr">
        <is>
          <t>Cantid</t>
        </is>
      </c>
      <c r="BX2" s="53" t="inlineStr">
        <is>
          <t>Costo unit</t>
        </is>
      </c>
      <c r="BY2" s="53" t="inlineStr">
        <is>
          <t>Vr. compra</t>
        </is>
      </c>
      <c r="BZ2" s="53" t="inlineStr">
        <is>
          <t>Cantid</t>
        </is>
      </c>
      <c r="CA2" s="53" t="inlineStr">
        <is>
          <t>Costo unit</t>
        </is>
      </c>
      <c r="CB2" s="53" t="inlineStr">
        <is>
          <t>Vr. compra</t>
        </is>
      </c>
      <c r="CC2" s="53" t="inlineStr">
        <is>
          <t>Cantid</t>
        </is>
      </c>
      <c r="CD2" s="53" t="inlineStr">
        <is>
          <t>Costo unit</t>
        </is>
      </c>
      <c r="CE2" s="53" t="inlineStr">
        <is>
          <t>Vr. compra</t>
        </is>
      </c>
      <c r="CF2" s="53" t="inlineStr">
        <is>
          <t>Cantid</t>
        </is>
      </c>
      <c r="CG2" s="53" t="inlineStr">
        <is>
          <t>Costo unit</t>
        </is>
      </c>
      <c r="CH2" s="53" t="inlineStr">
        <is>
          <t>Vr. compra</t>
        </is>
      </c>
      <c r="CI2" s="53" t="inlineStr">
        <is>
          <t>Cantid</t>
        </is>
      </c>
      <c r="CJ2" s="53" t="inlineStr">
        <is>
          <t>Costo unit</t>
        </is>
      </c>
      <c r="CK2" s="53" t="inlineStr">
        <is>
          <t>Vr. compra</t>
        </is>
      </c>
      <c r="CL2" s="53" t="inlineStr">
        <is>
          <t>Cantid</t>
        </is>
      </c>
      <c r="CM2" s="53" t="inlineStr">
        <is>
          <t>Costo</t>
        </is>
      </c>
      <c r="CN2" s="53" t="inlineStr">
        <is>
          <t>Vr. compra</t>
        </is>
      </c>
      <c r="CO2" s="53" t="inlineStr">
        <is>
          <t>Cantid</t>
        </is>
      </c>
      <c r="CP2" s="53" t="inlineStr">
        <is>
          <t>Costo unit</t>
        </is>
      </c>
      <c r="CQ2" s="53" t="inlineStr">
        <is>
          <t>Vr. compra</t>
        </is>
      </c>
      <c r="CR2" s="53" t="inlineStr">
        <is>
          <t>Cantid</t>
        </is>
      </c>
      <c r="CS2" s="53" t="inlineStr">
        <is>
          <t>Costo unit</t>
        </is>
      </c>
      <c r="CT2" s="53" t="inlineStr">
        <is>
          <t>Vr. compra</t>
        </is>
      </c>
      <c r="CU2" s="53" t="inlineStr">
        <is>
          <t>Cantid</t>
        </is>
      </c>
      <c r="CV2" s="53" t="inlineStr">
        <is>
          <t>Costo unit</t>
        </is>
      </c>
      <c r="CW2" s="53" t="inlineStr">
        <is>
          <t>Vr. compra</t>
        </is>
      </c>
    </row>
    <row r="3" ht="15.75" customHeight="1">
      <c r="A3" s="53" t="inlineStr">
        <is>
          <t>Poker</t>
        </is>
      </c>
      <c r="B3" s="53" t="inlineStr">
        <is>
          <t>Und</t>
        </is>
      </c>
      <c r="C3" s="55" t="n"/>
      <c r="D3" s="56" t="n"/>
      <c r="E3" s="57">
        <f>IFERROR(C3*D3, 0)</f>
        <v/>
      </c>
      <c r="F3" s="55" t="n"/>
      <c r="G3" s="56" t="n"/>
      <c r="H3" s="57">
        <f>IFERROR(F3*G3, 0)</f>
        <v/>
      </c>
      <c r="I3" s="55" t="n"/>
      <c r="J3" s="56" t="n"/>
      <c r="K3" s="57">
        <f>IFERROR(I3*J3, 0)</f>
        <v/>
      </c>
      <c r="L3" s="55" t="n"/>
      <c r="M3" s="56" t="n"/>
      <c r="N3" s="57">
        <f>IFERROR(L3*M3, 0)</f>
        <v/>
      </c>
      <c r="O3" s="55" t="n"/>
      <c r="P3" s="56" t="n"/>
      <c r="Q3" s="57">
        <f>IFERROR(O3*P3, 0)</f>
        <v/>
      </c>
      <c r="R3" s="55" t="n"/>
      <c r="S3" s="56" t="n"/>
      <c r="T3" s="57">
        <f>IFERROR(R3*S3, 0)</f>
        <v/>
      </c>
      <c r="U3" s="55" t="n"/>
      <c r="V3" s="56" t="n"/>
      <c r="W3" s="57">
        <f>IFERROR(U3*V3, 0)</f>
        <v/>
      </c>
      <c r="X3" s="55" t="n"/>
      <c r="Y3" s="56" t="n"/>
      <c r="Z3" s="57">
        <f>IFERROR(X3*Y3, 0)</f>
        <v/>
      </c>
      <c r="AA3" s="55" t="n"/>
      <c r="AB3" s="56" t="n"/>
      <c r="AC3" s="57">
        <f>IFERROR(AA3*AB3, 0)</f>
        <v/>
      </c>
      <c r="AD3" s="55" t="n"/>
      <c r="AE3" s="56" t="n"/>
      <c r="AF3" s="57">
        <f>IFERROR(AD3*AE3, 0)</f>
        <v/>
      </c>
      <c r="AG3" s="55" t="n"/>
      <c r="AH3" s="56" t="n"/>
      <c r="AI3" s="57">
        <f>IFERROR(AG3*AH3, 0)</f>
        <v/>
      </c>
      <c r="AJ3" s="55" t="n">
        <v>1</v>
      </c>
      <c r="AK3" s="56" t="n">
        <v>74500</v>
      </c>
      <c r="AL3" s="57" t="n">
        <v>74500</v>
      </c>
      <c r="AM3" s="55" t="n"/>
      <c r="AN3" s="56" t="n"/>
      <c r="AO3" s="57">
        <f>IFERROR(AM3*AN3, 0)</f>
        <v/>
      </c>
      <c r="AP3" s="55" t="n"/>
      <c r="AQ3" s="56" t="n"/>
      <c r="AR3" s="57">
        <f>IFERROR(AP3*AQ3, 0)</f>
        <v/>
      </c>
      <c r="AS3" s="55" t="n"/>
      <c r="AT3" s="56" t="n"/>
      <c r="AU3" s="57">
        <f>IFERROR(AS3*AT3, 0)</f>
        <v/>
      </c>
      <c r="AV3" s="55" t="n"/>
      <c r="AW3" s="56" t="n"/>
      <c r="AX3" s="57">
        <f>IFERROR(AV3*AW3, 0)</f>
        <v/>
      </c>
      <c r="AY3" s="55" t="n"/>
      <c r="AZ3" s="56" t="n"/>
      <c r="BA3" s="57">
        <f>IFERROR(AY3*AZ3, 0)</f>
        <v/>
      </c>
      <c r="BB3" s="55" t="n"/>
      <c r="BC3" s="56" t="n"/>
      <c r="BD3" s="57">
        <f>IFERROR(BB3*BC3, 0)</f>
        <v/>
      </c>
      <c r="BE3" s="55" t="n"/>
      <c r="BF3" s="56" t="n"/>
      <c r="BG3" s="57">
        <f>IFERROR(BE3*BF3, 0)</f>
        <v/>
      </c>
      <c r="BH3" s="55" t="n"/>
      <c r="BI3" s="56" t="n"/>
      <c r="BJ3" s="57">
        <f>IFERROR(BH3*BI3, 0)</f>
        <v/>
      </c>
      <c r="BK3" s="55" t="n"/>
      <c r="BL3" s="56" t="n"/>
      <c r="BM3" s="57">
        <f>IFERROR(BK3*BL3, 0)</f>
        <v/>
      </c>
      <c r="BN3" s="55" t="n"/>
      <c r="BO3" s="56" t="n"/>
      <c r="BP3" s="57">
        <f>IFERROR(BN3*BO3, 0)</f>
        <v/>
      </c>
      <c r="BQ3" s="55" t="n"/>
      <c r="BR3" s="56" t="n"/>
      <c r="BS3" s="57">
        <f>IFERROR(BQ3*BR3, 0)</f>
        <v/>
      </c>
      <c r="BT3" s="55" t="n"/>
      <c r="BU3" s="56" t="n"/>
      <c r="BV3" s="57">
        <f>IFERROR(BT3*BU3, 0)</f>
        <v/>
      </c>
      <c r="BW3" s="55" t="n"/>
      <c r="BX3" s="56" t="n"/>
      <c r="BY3" s="57">
        <f>IFERROR(BW3*BX3, 0)</f>
        <v/>
      </c>
      <c r="BZ3" s="55" t="n"/>
      <c r="CA3" s="56" t="n"/>
      <c r="CB3" s="57">
        <f>IFERROR(BZ3*CA3, 0)</f>
        <v/>
      </c>
      <c r="CC3" s="55" t="n"/>
      <c r="CD3" s="56" t="n"/>
      <c r="CE3" s="57">
        <f>IFERROR(CC3*CD3, 0)</f>
        <v/>
      </c>
      <c r="CF3" s="55" t="n"/>
      <c r="CG3" s="56" t="n"/>
      <c r="CH3" s="57">
        <f>IFERROR(CF3*CG3, 0)</f>
        <v/>
      </c>
      <c r="CI3" s="55" t="n"/>
      <c r="CJ3" s="56" t="n"/>
      <c r="CK3" s="57">
        <f>IFERROR(CI3*CJ3, 0)</f>
        <v/>
      </c>
      <c r="CL3" s="55" t="n"/>
      <c r="CM3" s="56" t="n"/>
      <c r="CN3" s="57">
        <f>IFERROR(CL3*CM3, 0)</f>
        <v/>
      </c>
      <c r="CO3" s="55" t="n"/>
      <c r="CP3" s="56" t="n"/>
      <c r="CQ3" s="57">
        <f>IFERROR(CO3*CP3, 0)</f>
        <v/>
      </c>
      <c r="CR3" s="55" t="n"/>
      <c r="CS3" s="56" t="n"/>
      <c r="CT3" s="57">
        <f>IFERROR(CR3*CS3, 0)</f>
        <v/>
      </c>
      <c r="CU3" s="58">
        <f>IFERROR(SUM(F3,I3,L3,O3,R3,U3,X3,AA3,AD3,AG3,AJ3,AM3,AP3,AS3,AV3,AY3,BB3,BE3,BH3,BK3,BN3,BQ3,BT3,BW3,BZ3,CC3,CF3,CI3,CL3,CO3,CR3), 0)</f>
        <v/>
      </c>
      <c r="CV3" s="57">
        <f>IFERROR(AVERAGE(G3,J3,M3,P3,S3,V3,Y3,AB3,AE3,AH3,AK3,AN3,AQ3,AT3,AW3,AZ3,BC3,BF3,BI3,BL3,BO3,BR3,BU3,BX3,CA3,CD3,CG3,CJ3,CM3,CP3,CS3), 0)</f>
        <v/>
      </c>
      <c r="CW3" s="57">
        <f>CU3*CV3</f>
        <v/>
      </c>
    </row>
    <row r="4" ht="15.75" customHeight="1">
      <c r="A4" s="53" t="inlineStr">
        <is>
          <t>Club colombia</t>
        </is>
      </c>
      <c r="B4" s="53" t="inlineStr">
        <is>
          <t>Und</t>
        </is>
      </c>
      <c r="C4" s="55" t="n"/>
      <c r="D4" s="56" t="n"/>
      <c r="E4" s="57">
        <f>IFERROR(C4*D4, 0)</f>
        <v/>
      </c>
      <c r="F4" s="55" t="n"/>
      <c r="G4" s="56" t="n"/>
      <c r="H4" s="57">
        <f>IFERROR(F4*G4, 0)</f>
        <v/>
      </c>
      <c r="I4" s="55" t="n"/>
      <c r="J4" s="56" t="n"/>
      <c r="K4" s="57">
        <f>IFERROR(I4*J4, 0)</f>
        <v/>
      </c>
      <c r="L4" s="55" t="n"/>
      <c r="M4" s="56" t="n"/>
      <c r="N4" s="57">
        <f>IFERROR(L4*M4, 0)</f>
        <v/>
      </c>
      <c r="O4" s="55" t="n"/>
      <c r="P4" s="56" t="n"/>
      <c r="Q4" s="57">
        <f>IFERROR(O4*P4, 0)</f>
        <v/>
      </c>
      <c r="R4" s="55" t="n"/>
      <c r="S4" s="56" t="n"/>
      <c r="T4" s="57">
        <f>IFERROR(R4*S4, 0)</f>
        <v/>
      </c>
      <c r="U4" s="55" t="n"/>
      <c r="V4" s="56" t="n"/>
      <c r="W4" s="57">
        <f>IFERROR(U4*V4, 0)</f>
        <v/>
      </c>
      <c r="X4" s="55" t="n"/>
      <c r="Y4" s="56" t="n"/>
      <c r="Z4" s="57">
        <f>IFERROR(X4*Y4, 0)</f>
        <v/>
      </c>
      <c r="AA4" s="55" t="n"/>
      <c r="AB4" s="56" t="n"/>
      <c r="AC4" s="57">
        <f>IFERROR(AA4*AB4, 0)</f>
        <v/>
      </c>
      <c r="AD4" s="55" t="n"/>
      <c r="AE4" s="56" t="n"/>
      <c r="AF4" s="57">
        <f>IFERROR(AD4*AE4, 0)</f>
        <v/>
      </c>
      <c r="AG4" s="55" t="n"/>
      <c r="AH4" s="56" t="n"/>
      <c r="AI4" s="57">
        <f>IFERROR(AG4*AH4, 0)</f>
        <v/>
      </c>
      <c r="AJ4" s="55" t="n">
        <v>1</v>
      </c>
      <c r="AK4" s="56" t="n">
        <v>77500</v>
      </c>
      <c r="AL4" s="57" t="n">
        <v>77500</v>
      </c>
      <c r="AM4" s="55" t="n"/>
      <c r="AN4" s="56" t="n"/>
      <c r="AO4" s="57">
        <f>IFERROR(AM4*AN4, 0)</f>
        <v/>
      </c>
      <c r="AP4" s="55" t="n"/>
      <c r="AQ4" s="56" t="n"/>
      <c r="AR4" s="57">
        <f>IFERROR(AP4*AQ4, 0)</f>
        <v/>
      </c>
      <c r="AS4" s="55" t="n"/>
      <c r="AT4" s="56" t="n"/>
      <c r="AU4" s="57">
        <f>IFERROR(AS4*AT4, 0)</f>
        <v/>
      </c>
      <c r="AV4" s="55" t="n"/>
      <c r="AW4" s="56" t="n"/>
      <c r="AX4" s="57">
        <f>IFERROR(AV4*AW4, 0)</f>
        <v/>
      </c>
      <c r="AY4" s="55" t="n"/>
      <c r="AZ4" s="56" t="n"/>
      <c r="BA4" s="57">
        <f>IFERROR(AY4*AZ4, 0)</f>
        <v/>
      </c>
      <c r="BB4" s="55" t="n">
        <v>1</v>
      </c>
      <c r="BC4" s="56" t="n">
        <v>90500</v>
      </c>
      <c r="BD4" s="57" t="n">
        <v>90500</v>
      </c>
      <c r="BE4" s="55" t="n"/>
      <c r="BF4" s="56" t="n"/>
      <c r="BG4" s="57">
        <f>IFERROR(BE4*BF4, 0)</f>
        <v/>
      </c>
      <c r="BH4" s="55" t="n"/>
      <c r="BI4" s="56" t="n"/>
      <c r="BJ4" s="57">
        <f>IFERROR(BH4*BI4, 0)</f>
        <v/>
      </c>
      <c r="BK4" s="55" t="n"/>
      <c r="BL4" s="56" t="n"/>
      <c r="BM4" s="57">
        <f>IFERROR(BK4*BL4, 0)</f>
        <v/>
      </c>
      <c r="BN4" s="55" t="n"/>
      <c r="BO4" s="56" t="n"/>
      <c r="BP4" s="57">
        <f>IFERROR(BN4*BO4, 0)</f>
        <v/>
      </c>
      <c r="BQ4" s="55" t="n"/>
      <c r="BR4" s="56" t="n"/>
      <c r="BS4" s="57">
        <f>IFERROR(BQ4*BR4, 0)</f>
        <v/>
      </c>
      <c r="BT4" s="55" t="n"/>
      <c r="BU4" s="56" t="n"/>
      <c r="BV4" s="57">
        <f>IFERROR(BT4*BU4, 0)</f>
        <v/>
      </c>
      <c r="BW4" s="55" t="n"/>
      <c r="BX4" s="56" t="n"/>
      <c r="BY4" s="57">
        <f>IFERROR(BW4*BX4, 0)</f>
        <v/>
      </c>
      <c r="BZ4" s="55" t="n"/>
      <c r="CA4" s="56" t="n"/>
      <c r="CB4" s="57">
        <f>IFERROR(BZ4*CA4, 0)</f>
        <v/>
      </c>
      <c r="CC4" s="55" t="n"/>
      <c r="CD4" s="56" t="n"/>
      <c r="CE4" s="57">
        <f>IFERROR(CC4*CD4, 0)</f>
        <v/>
      </c>
      <c r="CF4" s="55" t="n"/>
      <c r="CG4" s="56" t="n"/>
      <c r="CH4" s="57">
        <f>IFERROR(CF4*CG4, 0)</f>
        <v/>
      </c>
      <c r="CI4" s="55" t="n"/>
      <c r="CJ4" s="56" t="n"/>
      <c r="CK4" s="57">
        <f>IFERROR(CI4*CJ4, 0)</f>
        <v/>
      </c>
      <c r="CL4" s="55" t="n"/>
      <c r="CM4" s="56" t="n"/>
      <c r="CN4" s="57">
        <f>IFERROR(CL4*CM4, 0)</f>
        <v/>
      </c>
      <c r="CO4" s="55" t="n"/>
      <c r="CP4" s="56" t="n"/>
      <c r="CQ4" s="57">
        <f>IFERROR(CO4*CP4, 0)</f>
        <v/>
      </c>
      <c r="CR4" s="55" t="n"/>
      <c r="CS4" s="56" t="n"/>
      <c r="CT4" s="57">
        <f>IFERROR(CR4*CS4, 0)</f>
        <v/>
      </c>
      <c r="CU4" s="58">
        <f>IFERROR(SUM(F4,I4,L4,O4,R4,U4,X4,AA4,AD4,AG4,AJ4,AM4,AP4,AS4,AV4,AY4,BB4,BE4,BH4,BK4,BN4,BQ4,BT4,BW4,BZ4,CC4,CF4,CI4,CL4,CO4,CR4), 0)</f>
        <v/>
      </c>
      <c r="CV4" s="57">
        <f>IFERROR(AVERAGE(G4,J4,M4,P4,S4,V4,Y4,AB4,AE4,AH4,AK4,AN4,AQ4,AT4,AW4,AZ4,BC4,BF4,BI4,BL4,BO4,BR4,BU4,BX4,CA4,CD4,CG4,CJ4,CM4,CP4,CS4), 0)</f>
        <v/>
      </c>
      <c r="CW4" s="57">
        <f>CU4*CV4</f>
        <v/>
      </c>
    </row>
    <row r="5" ht="15.75" customHeight="1">
      <c r="A5" s="53" t="inlineStr">
        <is>
          <t>Corona</t>
        </is>
      </c>
      <c r="B5" s="53" t="inlineStr">
        <is>
          <t>Und</t>
        </is>
      </c>
      <c r="C5" s="55" t="n"/>
      <c r="D5" s="56" t="n"/>
      <c r="E5" s="57">
        <f>IFERROR(C5*D5, 0)</f>
        <v/>
      </c>
      <c r="F5" s="55" t="n"/>
      <c r="G5" s="56" t="n"/>
      <c r="H5" s="57">
        <f>IFERROR(F5*G5, 0)</f>
        <v/>
      </c>
      <c r="I5" s="55" t="n"/>
      <c r="J5" s="56" t="n"/>
      <c r="K5" s="57">
        <f>IFERROR(I5*J5, 0)</f>
        <v/>
      </c>
      <c r="L5" s="55" t="n"/>
      <c r="M5" s="56" t="n"/>
      <c r="N5" s="57">
        <f>IFERROR(L5*M5, 0)</f>
        <v/>
      </c>
      <c r="O5" s="55" t="n"/>
      <c r="P5" s="56" t="n"/>
      <c r="Q5" s="57">
        <f>IFERROR(O5*P5, 0)</f>
        <v/>
      </c>
      <c r="R5" s="55" t="n"/>
      <c r="S5" s="56" t="n"/>
      <c r="T5" s="57">
        <f>IFERROR(R5*S5, 0)</f>
        <v/>
      </c>
      <c r="U5" s="55" t="n"/>
      <c r="V5" s="56" t="n"/>
      <c r="W5" s="57">
        <f>IFERROR(U5*V5, 0)</f>
        <v/>
      </c>
      <c r="X5" s="55" t="n"/>
      <c r="Y5" s="56" t="n"/>
      <c r="Z5" s="57">
        <f>IFERROR(X5*Y5, 0)</f>
        <v/>
      </c>
      <c r="AA5" s="55" t="n"/>
      <c r="AB5" s="56" t="n"/>
      <c r="AC5" s="57">
        <f>IFERROR(AA5*AB5, 0)</f>
        <v/>
      </c>
      <c r="AD5" s="55" t="n"/>
      <c r="AE5" s="56" t="n"/>
      <c r="AF5" s="57">
        <f>IFERROR(AD5*AE5, 0)</f>
        <v/>
      </c>
      <c r="AG5" s="55" t="n"/>
      <c r="AH5" s="56" t="n"/>
      <c r="AI5" s="57">
        <f>IFERROR(AG5*AH5, 0)</f>
        <v/>
      </c>
      <c r="AJ5" s="55" t="n">
        <v>2</v>
      </c>
      <c r="AK5" s="56" t="n">
        <v>74500</v>
      </c>
      <c r="AL5" s="57" t="n">
        <v>167500</v>
      </c>
      <c r="AM5" s="55" t="n"/>
      <c r="AN5" s="56" t="n"/>
      <c r="AO5" s="57">
        <f>IFERROR(AM5*AN5, 0)</f>
        <v/>
      </c>
      <c r="AP5" s="55" t="n"/>
      <c r="AQ5" s="56" t="n"/>
      <c r="AR5" s="57">
        <f>IFERROR(AP5*AQ5, 0)</f>
        <v/>
      </c>
      <c r="AS5" s="55" t="n"/>
      <c r="AT5" s="56" t="n"/>
      <c r="AU5" s="57">
        <f>IFERROR(AS5*AT5, 0)</f>
        <v/>
      </c>
      <c r="AV5" s="55" t="n"/>
      <c r="AW5" s="56" t="n"/>
      <c r="AX5" s="57">
        <f>IFERROR(AV5*AW5, 0)</f>
        <v/>
      </c>
      <c r="AY5" s="55" t="n"/>
      <c r="AZ5" s="56" t="n"/>
      <c r="BA5" s="57">
        <f>IFERROR(AY5*AZ5, 0)</f>
        <v/>
      </c>
      <c r="BB5" s="55" t="n">
        <v>1</v>
      </c>
      <c r="BC5" s="56" t="n">
        <v>74500</v>
      </c>
      <c r="BD5" s="57" t="n">
        <v>74500</v>
      </c>
      <c r="BE5" s="55" t="n"/>
      <c r="BF5" s="56" t="n"/>
      <c r="BG5" s="57">
        <f>IFERROR(BE5*BF5, 0)</f>
        <v/>
      </c>
      <c r="BH5" s="55" t="n"/>
      <c r="BI5" s="56" t="n"/>
      <c r="BJ5" s="57">
        <f>IFERROR(BH5*BI5, 0)</f>
        <v/>
      </c>
      <c r="BK5" s="55" t="n"/>
      <c r="BL5" s="56" t="n"/>
      <c r="BM5" s="57">
        <f>IFERROR(BK5*BL5, 0)</f>
        <v/>
      </c>
      <c r="BN5" s="55" t="n"/>
      <c r="BO5" s="56" t="n"/>
      <c r="BP5" s="57">
        <f>IFERROR(BN5*BO5, 0)</f>
        <v/>
      </c>
      <c r="BQ5" s="55" t="n"/>
      <c r="BR5" s="56" t="n"/>
      <c r="BS5" s="57">
        <f>IFERROR(BQ5*BR5, 0)</f>
        <v/>
      </c>
      <c r="BT5" s="55" t="n"/>
      <c r="BU5" s="56" t="n"/>
      <c r="BV5" s="57">
        <f>IFERROR(BT5*BU5, 0)</f>
        <v/>
      </c>
      <c r="BW5" s="55" t="n"/>
      <c r="BX5" s="56" t="n"/>
      <c r="BY5" s="57">
        <f>IFERROR(BW5*BX5, 0)</f>
        <v/>
      </c>
      <c r="BZ5" s="55" t="n"/>
      <c r="CA5" s="56" t="n"/>
      <c r="CB5" s="57">
        <f>IFERROR(BZ5*CA5, 0)</f>
        <v/>
      </c>
      <c r="CC5" s="55" t="n"/>
      <c r="CD5" s="56" t="n"/>
      <c r="CE5" s="57">
        <f>IFERROR(CC5*CD5, 0)</f>
        <v/>
      </c>
      <c r="CF5" s="55" t="n"/>
      <c r="CG5" s="56" t="n"/>
      <c r="CH5" s="57">
        <f>IFERROR(CF5*CG5, 0)</f>
        <v/>
      </c>
      <c r="CI5" s="55" t="n"/>
      <c r="CJ5" s="56" t="n"/>
      <c r="CK5" s="57">
        <f>IFERROR(CI5*CJ5, 0)</f>
        <v/>
      </c>
      <c r="CL5" s="55" t="n"/>
      <c r="CM5" s="56" t="n"/>
      <c r="CN5" s="57">
        <f>IFERROR(CL5*CM5, 0)</f>
        <v/>
      </c>
      <c r="CO5" s="55" t="n"/>
      <c r="CP5" s="56" t="n"/>
      <c r="CQ5" s="57">
        <f>IFERROR(CO5*CP5, 0)</f>
        <v/>
      </c>
      <c r="CR5" s="55" t="n"/>
      <c r="CS5" s="56" t="n"/>
      <c r="CT5" s="57">
        <f>IFERROR(CR5*CS5, 0)</f>
        <v/>
      </c>
      <c r="CU5" s="58">
        <f>IFERROR(SUM(F5,I5,L5,O5,R5,U5,X5,AA5,AD5,AG5,AJ5,AM5,AP5,AS5,AV5,AY5,BB5,BE5,BH5,BK5,BN5,BQ5,BT5,BW5,BZ5,CC5,CF5,CI5,CL5,CO5,CR5), 0)</f>
        <v/>
      </c>
      <c r="CV5" s="57">
        <f>IFERROR(AVERAGE(G5,J5,M5,P5,S5,V5,Y5,AB5,AE5,AH5,AK5,AN5,AQ5,AT5,AW5,AZ5,BC5,BF5,BI5,BL5,BO5,BR5,BU5,BX5,CA5,CD5,CG5,CJ5,CM5,CP5,CS5), 0)</f>
        <v/>
      </c>
      <c r="CW5" s="57">
        <f>CU5*CV5</f>
        <v/>
      </c>
    </row>
    <row r="6" ht="15.75" customHeight="1">
      <c r="A6" s="53" t="inlineStr">
        <is>
          <t>Costeñita</t>
        </is>
      </c>
      <c r="B6" s="53" t="inlineStr">
        <is>
          <t>Und</t>
        </is>
      </c>
      <c r="C6" s="55" t="n"/>
      <c r="D6" s="56" t="n"/>
      <c r="E6" s="57">
        <f>IFERROR(C6*D6, 0)</f>
        <v/>
      </c>
      <c r="F6" s="55" t="n"/>
      <c r="G6" s="56" t="n"/>
      <c r="H6" s="57">
        <f>IFERROR(F6*G6, 0)</f>
        <v/>
      </c>
      <c r="I6" s="55" t="n"/>
      <c r="J6" s="56" t="n"/>
      <c r="K6" s="57">
        <f>IFERROR(I6*J6, 0)</f>
        <v/>
      </c>
      <c r="L6" s="55" t="n"/>
      <c r="M6" s="56" t="n"/>
      <c r="N6" s="57">
        <f>IFERROR(L6*M6, 0)</f>
        <v/>
      </c>
      <c r="O6" s="55" t="n"/>
      <c r="P6" s="56" t="n"/>
      <c r="Q6" s="57">
        <f>IFERROR(O6*P6, 0)</f>
        <v/>
      </c>
      <c r="R6" s="55" t="n"/>
      <c r="S6" s="56" t="n"/>
      <c r="T6" s="57">
        <f>IFERROR(R6*S6, 0)</f>
        <v/>
      </c>
      <c r="U6" s="55" t="n"/>
      <c r="V6" s="56" t="n"/>
      <c r="W6" s="57">
        <f>IFERROR(U6*V6, 0)</f>
        <v/>
      </c>
      <c r="X6" s="55" t="n"/>
      <c r="Y6" s="56" t="n"/>
      <c r="Z6" s="57">
        <f>IFERROR(X6*Y6, 0)</f>
        <v/>
      </c>
      <c r="AA6" s="55" t="n"/>
      <c r="AB6" s="56" t="n"/>
      <c r="AC6" s="57">
        <f>IFERROR(AA6*AB6, 0)</f>
        <v/>
      </c>
      <c r="AD6" s="55" t="n"/>
      <c r="AE6" s="56" t="n"/>
      <c r="AF6" s="57">
        <f>IFERROR(AD6*AE6, 0)</f>
        <v/>
      </c>
      <c r="AG6" s="55" t="n"/>
      <c r="AH6" s="56" t="n"/>
      <c r="AI6" s="57">
        <f>IFERROR(AG6*AH6, 0)</f>
        <v/>
      </c>
      <c r="AJ6" s="55" t="n">
        <v>1</v>
      </c>
      <c r="AK6" s="56" t="n">
        <v>69700</v>
      </c>
      <c r="AL6" s="57" t="n">
        <v>69700</v>
      </c>
      <c r="AM6" s="55" t="n"/>
      <c r="AN6" s="56" t="n"/>
      <c r="AO6" s="57">
        <f>IFERROR(AM6*AN6, 0)</f>
        <v/>
      </c>
      <c r="AP6" s="55" t="n"/>
      <c r="AQ6" s="56" t="n"/>
      <c r="AR6" s="57">
        <f>IFERROR(AP6*AQ6, 0)</f>
        <v/>
      </c>
      <c r="AS6" s="55" t="n"/>
      <c r="AT6" s="56" t="n"/>
      <c r="AU6" s="57">
        <f>IFERROR(AS6*AT6, 0)</f>
        <v/>
      </c>
      <c r="AV6" s="55" t="n"/>
      <c r="AW6" s="56" t="n"/>
      <c r="AX6" s="57">
        <f>IFERROR(AV6*AW6, 0)</f>
        <v/>
      </c>
      <c r="AY6" s="55" t="n"/>
      <c r="AZ6" s="56" t="n"/>
      <c r="BA6" s="57">
        <f>IFERROR(AY6*AZ6, 0)</f>
        <v/>
      </c>
      <c r="BB6" s="55" t="n">
        <v>1</v>
      </c>
      <c r="BC6" s="56" t="n">
        <v>69700</v>
      </c>
      <c r="BD6" s="57" t="n">
        <v>69700</v>
      </c>
      <c r="BE6" s="55" t="n"/>
      <c r="BF6" s="56" t="n"/>
      <c r="BG6" s="57">
        <f>IFERROR(BE6*BF6, 0)</f>
        <v/>
      </c>
      <c r="BH6" s="55" t="n"/>
      <c r="BI6" s="56" t="n"/>
      <c r="BJ6" s="57">
        <f>IFERROR(BH6*BI6, 0)</f>
        <v/>
      </c>
      <c r="BK6" s="55" t="n"/>
      <c r="BL6" s="56" t="n"/>
      <c r="BM6" s="57">
        <f>IFERROR(BK6*BL6, 0)</f>
        <v/>
      </c>
      <c r="BN6" s="55" t="n"/>
      <c r="BO6" s="56" t="n"/>
      <c r="BP6" s="57">
        <f>IFERROR(BN6*BO6, 0)</f>
        <v/>
      </c>
      <c r="BQ6" s="55" t="n"/>
      <c r="BR6" s="56" t="n"/>
      <c r="BS6" s="57">
        <f>IFERROR(BQ6*BR6, 0)</f>
        <v/>
      </c>
      <c r="BT6" s="55" t="n">
        <v>2</v>
      </c>
      <c r="BU6" s="56" t="n">
        <v>69700</v>
      </c>
      <c r="BV6" s="57" t="n">
        <v>139400</v>
      </c>
      <c r="BW6" s="55" t="n"/>
      <c r="BX6" s="56" t="n"/>
      <c r="BY6" s="57">
        <f>IFERROR(BW6*BX6, 0)</f>
        <v/>
      </c>
      <c r="BZ6" s="55" t="n"/>
      <c r="CA6" s="56" t="n"/>
      <c r="CB6" s="57">
        <f>IFERROR(BZ6*CA6, 0)</f>
        <v/>
      </c>
      <c r="CC6" s="55" t="n"/>
      <c r="CD6" s="56" t="n"/>
      <c r="CE6" s="57">
        <f>IFERROR(CC6*CD6, 0)</f>
        <v/>
      </c>
      <c r="CF6" s="55" t="n"/>
      <c r="CG6" s="56" t="n"/>
      <c r="CH6" s="57">
        <f>IFERROR(CF6*CG6, 0)</f>
        <v/>
      </c>
      <c r="CI6" s="55" t="n"/>
      <c r="CJ6" s="56" t="n"/>
      <c r="CK6" s="57">
        <f>IFERROR(CI6*CJ6, 0)</f>
        <v/>
      </c>
      <c r="CL6" s="55" t="n"/>
      <c r="CM6" s="56" t="n"/>
      <c r="CN6" s="57">
        <f>IFERROR(CL6*CM6, 0)</f>
        <v/>
      </c>
      <c r="CO6" s="55" t="n"/>
      <c r="CP6" s="56" t="n"/>
      <c r="CQ6" s="57">
        <f>IFERROR(CO6*CP6, 0)</f>
        <v/>
      </c>
      <c r="CR6" s="55" t="n"/>
      <c r="CS6" s="56" t="n"/>
      <c r="CT6" s="57">
        <f>IFERROR(CR6*CS6, 0)</f>
        <v/>
      </c>
      <c r="CU6" s="58">
        <f>IFERROR(SUM(F6,I6,L6,O6,R6,U6,X6,AA6,AD6,AG6,AJ6,AM6,AP6,AS6,AV6,AY6,BB6,BE6,BH6,BK6,BN6,BQ6,BT6,BW6,BZ6,CC6,CF6,CI6,CL6,CO6,CR6), 0)</f>
        <v/>
      </c>
      <c r="CV6" s="57">
        <f>IFERROR(AVERAGE(G6,J6,M6,P6,S6,V6,Y6,AB6,AE6,AH6,AK6,AN6,AQ6,AT6,AW6,AZ6,BC6,BF6,BI6,BL6,BO6,BR6,BU6,BX6,CA6,CD6,CG6,CJ6,CM6,CP6,CS6), 0)</f>
        <v/>
      </c>
      <c r="CW6" s="57">
        <f>CU6*CV6</f>
        <v/>
      </c>
    </row>
    <row r="7" ht="15.75" customHeight="1">
      <c r="A7" s="53" t="inlineStr">
        <is>
          <t xml:space="preserve">Stella </t>
        </is>
      </c>
      <c r="B7" s="53" t="inlineStr">
        <is>
          <t>Und</t>
        </is>
      </c>
      <c r="C7" s="55" t="n"/>
      <c r="D7" s="56" t="n"/>
      <c r="E7" s="57">
        <f>IFERROR(C7*D7, 0)</f>
        <v/>
      </c>
      <c r="F7" s="55" t="n"/>
      <c r="G7" s="56" t="n"/>
      <c r="H7" s="57">
        <f>IFERROR(F7*G7, 0)</f>
        <v/>
      </c>
      <c r="I7" s="55" t="n"/>
      <c r="J7" s="56" t="n"/>
      <c r="K7" s="57">
        <f>IFERROR(I7*J7, 0)</f>
        <v/>
      </c>
      <c r="L7" s="55" t="n"/>
      <c r="M7" s="56" t="n"/>
      <c r="N7" s="57">
        <f>IFERROR(L7*M7, 0)</f>
        <v/>
      </c>
      <c r="O7" s="55" t="n"/>
      <c r="P7" s="56" t="n"/>
      <c r="Q7" s="57">
        <f>IFERROR(O7*P7, 0)</f>
        <v/>
      </c>
      <c r="R7" s="55" t="n"/>
      <c r="S7" s="56" t="n"/>
      <c r="T7" s="57">
        <f>IFERROR(R7*S7, 0)</f>
        <v/>
      </c>
      <c r="U7" s="55" t="n"/>
      <c r="V7" s="56" t="n"/>
      <c r="W7" s="57">
        <f>IFERROR(U7*V7, 0)</f>
        <v/>
      </c>
      <c r="X7" s="55" t="n"/>
      <c r="Y7" s="56" t="n"/>
      <c r="Z7" s="57">
        <f>IFERROR(X7*Y7, 0)</f>
        <v/>
      </c>
      <c r="AA7" s="55" t="n"/>
      <c r="AB7" s="56" t="n"/>
      <c r="AC7" s="57">
        <f>IFERROR(AA7*AB7, 0)</f>
        <v/>
      </c>
      <c r="AD7" s="55" t="n"/>
      <c r="AE7" s="56" t="n"/>
      <c r="AF7" s="57">
        <f>IFERROR(AD7*AE7, 0)</f>
        <v/>
      </c>
      <c r="AG7" s="55" t="n"/>
      <c r="AH7" s="56" t="n"/>
      <c r="AI7" s="57">
        <f>IFERROR(AG7*AH7, 0)</f>
        <v/>
      </c>
      <c r="AJ7" s="55" t="n"/>
      <c r="AK7" s="56" t="n"/>
      <c r="AL7" s="57">
        <f>IFERROR(AJ7*AK7, 0)</f>
        <v/>
      </c>
      <c r="AM7" s="55" t="n"/>
      <c r="AN7" s="56" t="n"/>
      <c r="AO7" s="57">
        <f>IFERROR(AM7*AN7, 0)</f>
        <v/>
      </c>
      <c r="AP7" s="55" t="n"/>
      <c r="AQ7" s="56" t="n"/>
      <c r="AR7" s="57">
        <f>IFERROR(AP7*AQ7, 0)</f>
        <v/>
      </c>
      <c r="AS7" s="55" t="n"/>
      <c r="AT7" s="56" t="n"/>
      <c r="AU7" s="57">
        <f>IFERROR(AS7*AT7, 0)</f>
        <v/>
      </c>
      <c r="AV7" s="55" t="n"/>
      <c r="AW7" s="56" t="n"/>
      <c r="AX7" s="57">
        <f>IFERROR(AV7*AW7, 0)</f>
        <v/>
      </c>
      <c r="AY7" s="55" t="n"/>
      <c r="AZ7" s="56" t="n"/>
      <c r="BA7" s="57">
        <f>IFERROR(AY7*AZ7, 0)</f>
        <v/>
      </c>
      <c r="BB7" s="55" t="n"/>
      <c r="BC7" s="56" t="n"/>
      <c r="BD7" s="57">
        <f>IFERROR(BB7*BC7, 0)</f>
        <v/>
      </c>
      <c r="BE7" s="55" t="n"/>
      <c r="BF7" s="56" t="n"/>
      <c r="BG7" s="57">
        <f>IFERROR(BE7*BF7, 0)</f>
        <v/>
      </c>
      <c r="BH7" s="55" t="n"/>
      <c r="BI7" s="56" t="n"/>
      <c r="BJ7" s="57">
        <f>IFERROR(BH7*BI7, 0)</f>
        <v/>
      </c>
      <c r="BK7" s="55" t="n"/>
      <c r="BL7" s="56" t="n"/>
      <c r="BM7" s="57">
        <f>IFERROR(BK7*BL7, 0)</f>
        <v/>
      </c>
      <c r="BN7" s="55" t="n"/>
      <c r="BO7" s="56" t="n"/>
      <c r="BP7" s="57">
        <f>IFERROR(BN7*BO7, 0)</f>
        <v/>
      </c>
      <c r="BQ7" s="55" t="n"/>
      <c r="BR7" s="56" t="n"/>
      <c r="BS7" s="57">
        <f>IFERROR(BQ7*BR7, 0)</f>
        <v/>
      </c>
      <c r="BT7" s="55" t="n"/>
      <c r="BU7" s="56" t="n"/>
      <c r="BV7" s="57">
        <f>IFERROR(BT7*BU7, 0)</f>
        <v/>
      </c>
      <c r="BW7" s="55" t="n"/>
      <c r="BX7" s="56" t="n"/>
      <c r="BY7" s="57">
        <f>IFERROR(BW7*BX7, 0)</f>
        <v/>
      </c>
      <c r="BZ7" s="55" t="n"/>
      <c r="CA7" s="56" t="n"/>
      <c r="CB7" s="57">
        <f>IFERROR(BZ7*CA7, 0)</f>
        <v/>
      </c>
      <c r="CC7" s="55" t="n"/>
      <c r="CD7" s="56" t="n"/>
      <c r="CE7" s="57">
        <f>IFERROR(CC7*CD7, 0)</f>
        <v/>
      </c>
      <c r="CF7" s="55" t="n"/>
      <c r="CG7" s="56" t="n"/>
      <c r="CH7" s="57">
        <f>IFERROR(CF7*CG7, 0)</f>
        <v/>
      </c>
      <c r="CI7" s="55" t="n"/>
      <c r="CJ7" s="56" t="n"/>
      <c r="CK7" s="57">
        <f>IFERROR(CI7*CJ7, 0)</f>
        <v/>
      </c>
      <c r="CL7" s="55" t="n"/>
      <c r="CM7" s="56" t="n"/>
      <c r="CN7" s="57">
        <f>IFERROR(CL7*CM7, 0)</f>
        <v/>
      </c>
      <c r="CO7" s="55" t="n"/>
      <c r="CP7" s="56" t="n"/>
      <c r="CQ7" s="57">
        <f>IFERROR(CO7*CP7, 0)</f>
        <v/>
      </c>
      <c r="CR7" s="55" t="n"/>
      <c r="CS7" s="56" t="n"/>
      <c r="CT7" s="57">
        <f>IFERROR(CR7*CS7, 0)</f>
        <v/>
      </c>
      <c r="CU7" s="58">
        <f>IFERROR(SUM(F7,I7,L7,O7,R7,U7,X7,AA7,AD7,AG7,AJ7,AM7,AP7,AS7,AV7,AY7,BB7,BE7,BH7,BK7,BN7,BQ7,BT7,BW7,BZ7,CC7,CF7,CI7,CL7,CO7,CR7), 0)</f>
        <v/>
      </c>
      <c r="CV7" s="57">
        <f>IFERROR(AVERAGE(G7,J7,M7,P7,S7,V7,Y7,AB7,AE7,AH7,AK7,AN7,AQ7,AT7,AW7,AZ7,BC7,BF7,BI7,BL7,BO7,BR7,BU7,BX7,CA7,CD7,CG7,CJ7,CM7,CP7,CS7), 0)</f>
        <v/>
      </c>
      <c r="CW7" s="57">
        <f>CU7*CV7</f>
        <v/>
      </c>
    </row>
    <row r="8" ht="15.75" customHeight="1">
      <c r="A8" s="53" t="inlineStr">
        <is>
          <t>Total</t>
        </is>
      </c>
      <c r="B8" s="59" t="inlineStr">
        <is>
          <t>Und</t>
        </is>
      </c>
      <c r="C8" s="60" t="n"/>
      <c r="D8" s="61" t="n"/>
      <c r="E8" s="57">
        <f>IFERROR(C8*D8, 0)</f>
        <v/>
      </c>
      <c r="F8" s="55" t="n"/>
      <c r="G8" s="56" t="n"/>
      <c r="H8" s="57">
        <f>IFERROR(F8*G8, 0)</f>
        <v/>
      </c>
      <c r="I8" s="55" t="n"/>
      <c r="J8" s="56" t="n"/>
      <c r="K8" s="57">
        <f>IFERROR(I8*J8, 0)</f>
        <v/>
      </c>
      <c r="L8" s="55" t="n"/>
      <c r="M8" s="56" t="n"/>
      <c r="N8" s="57">
        <f>IFERROR(L8*M8, 0)</f>
        <v/>
      </c>
      <c r="O8" s="55" t="n"/>
      <c r="P8" s="56" t="n"/>
      <c r="Q8" s="57">
        <f>IFERROR(O8*P8, 0)</f>
        <v/>
      </c>
      <c r="R8" s="55" t="n"/>
      <c r="S8" s="56" t="n"/>
      <c r="T8" s="57">
        <f>IFERROR(R8*S8, 0)</f>
        <v/>
      </c>
      <c r="U8" s="55" t="n"/>
      <c r="V8" s="56" t="n"/>
      <c r="W8" s="57">
        <f>IFERROR(U8*V8, 0)</f>
        <v/>
      </c>
      <c r="X8" s="55" t="n"/>
      <c r="Y8" s="56" t="n"/>
      <c r="Z8" s="57">
        <f>IFERROR(X8*Y8, 0)</f>
        <v/>
      </c>
      <c r="AA8" s="55" t="n"/>
      <c r="AB8" s="56" t="n"/>
      <c r="AC8" s="57">
        <f>IFERROR(AA8*AB8, 0)</f>
        <v/>
      </c>
      <c r="AD8" s="55" t="n"/>
      <c r="AE8" s="56" t="n"/>
      <c r="AF8" s="57">
        <f>IFERROR(AD8*AE8, 0)</f>
        <v/>
      </c>
      <c r="AG8" s="55" t="n"/>
      <c r="AH8" s="56" t="n"/>
      <c r="AI8" s="57">
        <f>IFERROR(AG8*AH8, 0)</f>
        <v/>
      </c>
      <c r="AJ8" s="55" t="n"/>
      <c r="AK8" s="56" t="n"/>
      <c r="AL8" s="57">
        <f>IFERROR(AJ8*AK8, 0)</f>
        <v/>
      </c>
      <c r="AM8" s="55" t="n"/>
      <c r="AN8" s="56" t="n"/>
      <c r="AO8" s="57">
        <f>IFERROR(AM8*AN8, 0)</f>
        <v/>
      </c>
      <c r="AP8" s="55" t="n"/>
      <c r="AQ8" s="56" t="n"/>
      <c r="AR8" s="57">
        <f>IFERROR(AP8*AQ8, 0)</f>
        <v/>
      </c>
      <c r="AS8" s="55" t="n"/>
      <c r="AT8" s="56" t="n"/>
      <c r="AU8" s="57">
        <f>IFERROR(AS8*AT8, 0)</f>
        <v/>
      </c>
      <c r="AV8" s="55" t="n"/>
      <c r="AW8" s="56" t="n"/>
      <c r="AX8" s="57">
        <f>IFERROR(AV8*AW8, 0)</f>
        <v/>
      </c>
      <c r="AY8" s="55" t="n"/>
      <c r="AZ8" s="56" t="n"/>
      <c r="BA8" s="57">
        <f>IFERROR(AY8*AZ8, 0)</f>
        <v/>
      </c>
      <c r="BB8" s="55" t="n"/>
      <c r="BC8" s="56" t="n"/>
      <c r="BD8" s="57">
        <f>IFERROR(BB8*BC8, 0)</f>
        <v/>
      </c>
      <c r="BE8" s="55" t="n"/>
      <c r="BF8" s="56" t="n"/>
      <c r="BG8" s="57">
        <f>IFERROR(BE8*BF8, 0)</f>
        <v/>
      </c>
      <c r="BH8" s="55" t="n"/>
      <c r="BI8" s="56" t="n"/>
      <c r="BJ8" s="57">
        <f>IFERROR(BH8*BI8, 0)</f>
        <v/>
      </c>
      <c r="BK8" s="55" t="n"/>
      <c r="BL8" s="56" t="n"/>
      <c r="BM8" s="57">
        <f>IFERROR(BK8*BL8, 0)</f>
        <v/>
      </c>
      <c r="BN8" s="55" t="n"/>
      <c r="BO8" s="56" t="n"/>
      <c r="BP8" s="57">
        <f>IFERROR(BN8*BO8, 0)</f>
        <v/>
      </c>
      <c r="BQ8" s="55" t="n"/>
      <c r="BR8" s="56" t="n"/>
      <c r="BS8" s="57">
        <f>IFERROR(BQ8*BR8, 0)</f>
        <v/>
      </c>
      <c r="BT8" s="55" t="n"/>
      <c r="BU8" s="56" t="n"/>
      <c r="BV8" s="57">
        <f>IFERROR(BT8*BU8, 0)</f>
        <v/>
      </c>
      <c r="BW8" s="55" t="n"/>
      <c r="BX8" s="56" t="n"/>
      <c r="BY8" s="57">
        <f>IFERROR(BW8*BX8, 0)</f>
        <v/>
      </c>
      <c r="BZ8" s="55" t="n"/>
      <c r="CA8" s="56" t="n"/>
      <c r="CB8" s="57">
        <f>IFERROR(BZ8*CA8, 0)</f>
        <v/>
      </c>
      <c r="CC8" s="55" t="n"/>
      <c r="CD8" s="56" t="n"/>
      <c r="CE8" s="57">
        <f>IFERROR(CC8*CD8, 0)</f>
        <v/>
      </c>
      <c r="CF8" s="55" t="n"/>
      <c r="CG8" s="56" t="n"/>
      <c r="CH8" s="57">
        <f>IFERROR(CF8*CG8, 0)</f>
        <v/>
      </c>
      <c r="CI8" s="55" t="n"/>
      <c r="CJ8" s="56" t="n"/>
      <c r="CK8" s="57">
        <f>IFERROR(CI8*CJ8, 0)</f>
        <v/>
      </c>
      <c r="CL8" s="55" t="n"/>
      <c r="CM8" s="56" t="n"/>
      <c r="CN8" s="57">
        <f>IFERROR(CL8*CM8, 0)</f>
        <v/>
      </c>
      <c r="CO8" s="55" t="n"/>
      <c r="CP8" s="56" t="n"/>
      <c r="CQ8" s="57">
        <f>IFERROR(CO8*CP8, 0)</f>
        <v/>
      </c>
      <c r="CR8" s="55" t="n"/>
      <c r="CS8" s="56" t="n"/>
      <c r="CT8" s="57">
        <f>IFERROR(CR8*CS8, 0)</f>
        <v/>
      </c>
      <c r="CU8" s="58">
        <f>IFERROR(SUM(F8,I8,L8,O8,R8,U8,X8,AA8,AD8,AG8,AJ8,AM8,AP8,AS8,AV8,AY8,BB8,BE8,BH8,BK8,BN8,BQ8,BT8,BW8,BZ8,CC8,CF8,CI8,CL8,CO8,CR8), 0)</f>
        <v/>
      </c>
      <c r="CV8" s="57">
        <f>IFERROR(AVERAGE(G8,J8,M8,P8,S8,V8,Y8,AB8,AE8,AH8,AK8,AN8,AQ8,AT8,AW8,AZ8,BC8,BF8,BI8,BL8,BO8,BR8,BU8,BX8,CA8,CD8,CG8,CJ8,CM8,CP8,CS8), 0)</f>
        <v/>
      </c>
      <c r="CW8" s="57">
        <f>CU8*CV8</f>
        <v/>
      </c>
    </row>
    <row r="9" ht="15.75" customHeight="1">
      <c r="A9" s="62" t="inlineStr">
        <is>
          <t>Bebidas</t>
        </is>
      </c>
      <c r="B9" s="62" t="inlineStr">
        <is>
          <t>Und</t>
        </is>
      </c>
      <c r="C9" s="63" t="n"/>
      <c r="D9" s="64" t="n"/>
      <c r="E9" s="57">
        <f>IFERROR(C9*D9, 0)</f>
        <v/>
      </c>
      <c r="F9" s="55" t="n"/>
      <c r="G9" s="56" t="n"/>
      <c r="H9" s="57">
        <f>IFERROR(F9*G9, 0)</f>
        <v/>
      </c>
      <c r="I9" s="55" t="n"/>
      <c r="J9" s="56" t="n"/>
      <c r="K9" s="57">
        <f>IFERROR(I9*J9, 0)</f>
        <v/>
      </c>
      <c r="L9" s="55" t="n"/>
      <c r="M9" s="56" t="n"/>
      <c r="N9" s="57">
        <f>IFERROR(L9*M9, 0)</f>
        <v/>
      </c>
      <c r="O9" s="55" t="n"/>
      <c r="P9" s="56" t="n"/>
      <c r="Q9" s="57">
        <f>IFERROR(O9*P9, 0)</f>
        <v/>
      </c>
      <c r="R9" s="55" t="n"/>
      <c r="S9" s="56" t="n"/>
      <c r="T9" s="57">
        <f>IFERROR(R9*S9, 0)</f>
        <v/>
      </c>
      <c r="U9" s="55" t="n"/>
      <c r="V9" s="56" t="n"/>
      <c r="W9" s="57">
        <f>IFERROR(U9*V9, 0)</f>
        <v/>
      </c>
      <c r="X9" s="55" t="n"/>
      <c r="Y9" s="56" t="n"/>
      <c r="Z9" s="57">
        <f>IFERROR(X9*Y9, 0)</f>
        <v/>
      </c>
      <c r="AA9" s="55" t="n"/>
      <c r="AB9" s="56" t="n"/>
      <c r="AC9" s="57">
        <f>IFERROR(AA9*AB9, 0)</f>
        <v/>
      </c>
      <c r="AD9" s="55" t="n"/>
      <c r="AE9" s="56" t="n"/>
      <c r="AF9" s="57">
        <f>IFERROR(AD9*AE9, 0)</f>
        <v/>
      </c>
      <c r="AG9" s="55" t="n"/>
      <c r="AH9" s="56" t="n"/>
      <c r="AI9" s="57">
        <f>IFERROR(AG9*AH9, 0)</f>
        <v/>
      </c>
      <c r="AJ9" s="55" t="n"/>
      <c r="AK9" s="56" t="n"/>
      <c r="AL9" s="57">
        <f>IFERROR(AJ9*AK9, 0)</f>
        <v/>
      </c>
      <c r="AM9" s="55" t="n"/>
      <c r="AN9" s="56" t="n"/>
      <c r="AO9" s="57">
        <f>IFERROR(AM9*AN9, 0)</f>
        <v/>
      </c>
      <c r="AP9" s="55" t="n"/>
      <c r="AQ9" s="56" t="n"/>
      <c r="AR9" s="57">
        <f>IFERROR(AP9*AQ9, 0)</f>
        <v/>
      </c>
      <c r="AS9" s="55" t="n"/>
      <c r="AT9" s="56" t="n"/>
      <c r="AU9" s="57">
        <f>IFERROR(AS9*AT9, 0)</f>
        <v/>
      </c>
      <c r="AV9" s="55" t="n"/>
      <c r="AW9" s="56" t="n"/>
      <c r="AX9" s="57">
        <f>IFERROR(AV9*AW9, 0)</f>
        <v/>
      </c>
      <c r="AY9" s="55" t="n"/>
      <c r="AZ9" s="56" t="n"/>
      <c r="BA9" s="57">
        <f>IFERROR(AY9*AZ9, 0)</f>
        <v/>
      </c>
      <c r="BB9" s="55" t="n"/>
      <c r="BC9" s="56" t="n"/>
      <c r="BD9" s="57">
        <f>IFERROR(BB9*BC9, 0)</f>
        <v/>
      </c>
      <c r="BE9" s="55" t="n"/>
      <c r="BF9" s="56" t="n"/>
      <c r="BG9" s="57">
        <f>IFERROR(BE9*BF9, 0)</f>
        <v/>
      </c>
      <c r="BH9" s="55" t="n">
        <v>2</v>
      </c>
      <c r="BI9" s="56" t="n">
        <v>24800</v>
      </c>
      <c r="BJ9" s="57" t="n">
        <v>49600</v>
      </c>
      <c r="BK9" s="55" t="n"/>
      <c r="BL9" s="56" t="n"/>
      <c r="BM9" s="57">
        <f>IFERROR(BK9*BL9, 0)</f>
        <v/>
      </c>
      <c r="BN9" s="55" t="n"/>
      <c r="BO9" s="56" t="n"/>
      <c r="BP9" s="57">
        <f>IFERROR(BN9*BO9, 0)</f>
        <v/>
      </c>
      <c r="BQ9" s="55" t="n"/>
      <c r="BR9" s="56" t="n"/>
      <c r="BS9" s="57">
        <f>IFERROR(BQ9*BR9, 0)</f>
        <v/>
      </c>
      <c r="BT9" s="55" t="n"/>
      <c r="BU9" s="56" t="n"/>
      <c r="BV9" s="57">
        <f>IFERROR(BT9*BU9, 0)</f>
        <v/>
      </c>
      <c r="BW9" s="55" t="n"/>
      <c r="BX9" s="56" t="n"/>
      <c r="BY9" s="57">
        <f>IFERROR(BW9*BX9, 0)</f>
        <v/>
      </c>
      <c r="BZ9" s="55" t="n"/>
      <c r="CA9" s="56" t="n"/>
      <c r="CB9" s="57">
        <f>IFERROR(BZ9*CA9, 0)</f>
        <v/>
      </c>
      <c r="CC9" s="55" t="n"/>
      <c r="CD9" s="56" t="n"/>
      <c r="CE9" s="57">
        <f>IFERROR(CC9*CD9, 0)</f>
        <v/>
      </c>
      <c r="CF9" s="55" t="n"/>
      <c r="CG9" s="56" t="n"/>
      <c r="CH9" s="57">
        <f>IFERROR(CF9*CG9, 0)</f>
        <v/>
      </c>
      <c r="CI9" s="55" t="n"/>
      <c r="CJ9" s="56" t="n"/>
      <c r="CK9" s="57">
        <f>IFERROR(CI9*CJ9, 0)</f>
        <v/>
      </c>
      <c r="CL9" s="55" t="n"/>
      <c r="CM9" s="56" t="n"/>
      <c r="CN9" s="57">
        <f>IFERROR(CL9*CM9, 0)</f>
        <v/>
      </c>
      <c r="CO9" s="55" t="n"/>
      <c r="CP9" s="56" t="n"/>
      <c r="CQ9" s="57">
        <f>IFERROR(CO9*CP9, 0)</f>
        <v/>
      </c>
      <c r="CR9" s="55" t="n"/>
      <c r="CS9" s="56" t="n"/>
      <c r="CT9" s="57">
        <f>IFERROR(CR9*CS9, 0)</f>
        <v/>
      </c>
      <c r="CU9" s="58">
        <f>IFERROR(SUM(F9,I9,L9,O9,R9,U9,X9,AA9,AD9,AG9,AJ9,AM9,AP9,AS9,AV9,AY9,BB9,BE9,BH9,BK9,BN9,BQ9,BT9,BW9,BZ9,CC9,CF9,CI9,CL9,CO9,CR9), 0)</f>
        <v/>
      </c>
      <c r="CV9" s="57">
        <f>IFERROR(AVERAGE(G9,J9,M9,P9,S9,V9,Y9,AB9,AE9,AH9,AK9,AN9,AQ9,AT9,AW9,AZ9,BC9,BF9,BI9,BL9,BO9,BR9,BU9,BX9,CA9,CD9,CG9,CJ9,CM9,CP9,CS9), 0)</f>
        <v/>
      </c>
      <c r="CW9" s="57">
        <f>CU9*CV9</f>
        <v/>
      </c>
    </row>
    <row r="10" ht="15.75" customHeight="1">
      <c r="A10" s="53" t="inlineStr">
        <is>
          <t>Producto</t>
        </is>
      </c>
      <c r="B10" s="54" t="inlineStr">
        <is>
          <t>Medida</t>
        </is>
      </c>
      <c r="C10" s="65" t="inlineStr">
        <is>
          <t>Cantidad</t>
        </is>
      </c>
      <c r="D10" s="66" t="inlineStr">
        <is>
          <t>Valor</t>
        </is>
      </c>
      <c r="E10" s="57">
        <f>IFERROR(C10*D10, 0)</f>
        <v/>
      </c>
      <c r="F10" s="55" t="n"/>
      <c r="G10" s="56" t="n"/>
      <c r="H10" s="57">
        <f>IFERROR(F10*G10, 0)</f>
        <v/>
      </c>
      <c r="I10" s="55" t="n"/>
      <c r="J10" s="56" t="n"/>
      <c r="K10" s="57">
        <f>IFERROR(I10*J10, 0)</f>
        <v/>
      </c>
      <c r="L10" s="55" t="n"/>
      <c r="M10" s="56" t="n"/>
      <c r="N10" s="57">
        <f>IFERROR(L10*M10, 0)</f>
        <v/>
      </c>
      <c r="O10" s="55" t="n"/>
      <c r="P10" s="56" t="n"/>
      <c r="Q10" s="57">
        <f>IFERROR(O10*P10, 0)</f>
        <v/>
      </c>
      <c r="R10" s="55" t="n"/>
      <c r="S10" s="56" t="n"/>
      <c r="T10" s="57">
        <f>IFERROR(R10*S10, 0)</f>
        <v/>
      </c>
      <c r="U10" s="55" t="n"/>
      <c r="V10" s="56" t="n"/>
      <c r="W10" s="57">
        <f>IFERROR(U10*V10, 0)</f>
        <v/>
      </c>
      <c r="X10" s="55" t="n"/>
      <c r="Y10" s="56" t="n"/>
      <c r="Z10" s="57">
        <f>IFERROR(X10*Y10, 0)</f>
        <v/>
      </c>
      <c r="AA10" s="55" t="n"/>
      <c r="AB10" s="56" t="n"/>
      <c r="AC10" s="57">
        <f>IFERROR(AA10*AB10, 0)</f>
        <v/>
      </c>
      <c r="AD10" s="55" t="n"/>
      <c r="AE10" s="56" t="n"/>
      <c r="AF10" s="57">
        <f>IFERROR(AD10*AE10, 0)</f>
        <v/>
      </c>
      <c r="AG10" s="55" t="n"/>
      <c r="AH10" s="56" t="n"/>
      <c r="AI10" s="57">
        <f>IFERROR(AG10*AH10, 0)</f>
        <v/>
      </c>
      <c r="AJ10" s="55" t="n"/>
      <c r="AK10" s="56" t="n"/>
      <c r="AL10" s="57">
        <f>IFERROR(AJ10*AK10, 0)</f>
        <v/>
      </c>
      <c r="AM10" s="55" t="n"/>
      <c r="AN10" s="56" t="n"/>
      <c r="AO10" s="57">
        <f>IFERROR(AM10*AN10, 0)</f>
        <v/>
      </c>
      <c r="AP10" s="55" t="n"/>
      <c r="AQ10" s="56" t="n"/>
      <c r="AR10" s="57">
        <f>IFERROR(AP10*AQ10, 0)</f>
        <v/>
      </c>
      <c r="AS10" s="55" t="n"/>
      <c r="AT10" s="56" t="n"/>
      <c r="AU10" s="57">
        <f>IFERROR(AS10*AT10, 0)</f>
        <v/>
      </c>
      <c r="AV10" s="55" t="n"/>
      <c r="AW10" s="56" t="n"/>
      <c r="AX10" s="57">
        <f>IFERROR(AV10*AW10, 0)</f>
        <v/>
      </c>
      <c r="AY10" s="55" t="n"/>
      <c r="AZ10" s="56" t="n"/>
      <c r="BA10" s="57">
        <f>IFERROR(AY10*AZ10, 0)</f>
        <v/>
      </c>
      <c r="BB10" s="55" t="n"/>
      <c r="BC10" s="56" t="n"/>
      <c r="BD10" s="57">
        <f>IFERROR(BB10*BC10, 0)</f>
        <v/>
      </c>
      <c r="BE10" s="55" t="n"/>
      <c r="BF10" s="56" t="n"/>
      <c r="BG10" s="57">
        <f>IFERROR(BE10*BF10, 0)</f>
        <v/>
      </c>
      <c r="BH10" s="55" t="n"/>
      <c r="BI10" s="56" t="n"/>
      <c r="BJ10" s="57">
        <f>IFERROR(BH10*BI10, 0)</f>
        <v/>
      </c>
      <c r="BK10" s="55" t="n"/>
      <c r="BL10" s="56" t="n"/>
      <c r="BM10" s="57">
        <f>IFERROR(BK10*BL10, 0)</f>
        <v/>
      </c>
      <c r="BN10" s="55" t="n"/>
      <c r="BO10" s="56" t="n"/>
      <c r="BP10" s="57">
        <f>IFERROR(BN10*BO10, 0)</f>
        <v/>
      </c>
      <c r="BQ10" s="55" t="n"/>
      <c r="BR10" s="56" t="n"/>
      <c r="BS10" s="57">
        <f>IFERROR(BQ10*BR10, 0)</f>
        <v/>
      </c>
      <c r="BT10" s="55" t="n"/>
      <c r="BU10" s="56" t="n"/>
      <c r="BV10" s="57">
        <f>IFERROR(BT10*BU10, 0)</f>
        <v/>
      </c>
      <c r="BW10" s="55" t="n"/>
      <c r="BX10" s="56" t="n"/>
      <c r="BY10" s="57">
        <f>IFERROR(BW10*BX10, 0)</f>
        <v/>
      </c>
      <c r="BZ10" s="55" t="n"/>
      <c r="CA10" s="56" t="n"/>
      <c r="CB10" s="57">
        <f>IFERROR(BZ10*CA10, 0)</f>
        <v/>
      </c>
      <c r="CC10" s="55" t="n"/>
      <c r="CD10" s="56" t="n"/>
      <c r="CE10" s="57">
        <f>IFERROR(CC10*CD10, 0)</f>
        <v/>
      </c>
      <c r="CF10" s="55" t="n"/>
      <c r="CG10" s="56" t="n"/>
      <c r="CH10" s="57">
        <f>IFERROR(CF10*CG10, 0)</f>
        <v/>
      </c>
      <c r="CI10" s="55" t="n"/>
      <c r="CJ10" s="56" t="n"/>
      <c r="CK10" s="57">
        <f>IFERROR(CI10*CJ10, 0)</f>
        <v/>
      </c>
      <c r="CL10" s="55" t="n"/>
      <c r="CM10" s="56" t="n"/>
      <c r="CN10" s="57">
        <f>IFERROR(CL10*CM10, 0)</f>
        <v/>
      </c>
      <c r="CO10" s="55" t="n"/>
      <c r="CP10" s="56" t="n"/>
      <c r="CQ10" s="57">
        <f>IFERROR(CO10*CP10, 0)</f>
        <v/>
      </c>
      <c r="CR10" s="55" t="n"/>
      <c r="CS10" s="56" t="n"/>
      <c r="CT10" s="57">
        <f>IFERROR(CR10*CS10, 0)</f>
        <v/>
      </c>
      <c r="CU10" s="58">
        <f>IFERROR(SUM(F10,I10,L10,O10,R10,U10,X10,AA10,AD10,AG10,AJ10,AM10,AP10,AS10,AV10,AY10,BB10,BE10,BH10,BK10,BN10,BQ10,BT10,BW10,BZ10,CC10,CF10,CI10,CL10,CO10,CR10), 0)</f>
        <v/>
      </c>
      <c r="CV10" s="57">
        <f>IFERROR(AVERAGE(G10,J10,M10,P10,S10,V10,Y10,AB10,AE10,AH10,AK10,AN10,AQ10,AT10,AW10,AZ10,BC10,BF10,BI10,BL10,BO10,BR10,BU10,BX10,CA10,CD10,CG10,CJ10,CM10,CP10,CS10), 0)</f>
        <v/>
      </c>
      <c r="CW10" s="57">
        <f>CU10*CV10</f>
        <v/>
      </c>
    </row>
    <row r="11" ht="15.75" customHeight="1">
      <c r="A11" s="53" t="inlineStr">
        <is>
          <t>Agua</t>
        </is>
      </c>
      <c r="B11" s="53" t="inlineStr">
        <is>
          <t>Und</t>
        </is>
      </c>
      <c r="C11" s="55" t="n"/>
      <c r="D11" s="56" t="n"/>
      <c r="E11" s="57">
        <f>IFERROR(C11*D11, 0)</f>
        <v/>
      </c>
      <c r="F11" s="55" t="n"/>
      <c r="G11" s="56" t="n"/>
      <c r="H11" s="57">
        <f>IFERROR(F11*G11, 0)</f>
        <v/>
      </c>
      <c r="I11" s="55" t="n"/>
      <c r="J11" s="56" t="n"/>
      <c r="K11" s="57">
        <f>IFERROR(I11*J11, 0)</f>
        <v/>
      </c>
      <c r="L11" s="55" t="n"/>
      <c r="M11" s="56" t="n"/>
      <c r="N11" s="57">
        <f>IFERROR(L11*M11, 0)</f>
        <v/>
      </c>
      <c r="O11" s="55" t="n"/>
      <c r="P11" s="56" t="n"/>
      <c r="Q11" s="57">
        <f>IFERROR(O11*P11, 0)</f>
        <v/>
      </c>
      <c r="R11" s="55" t="n"/>
      <c r="S11" s="56" t="n"/>
      <c r="T11" s="57">
        <f>IFERROR(R11*S11, 0)</f>
        <v/>
      </c>
      <c r="U11" s="55" t="n"/>
      <c r="V11" s="56" t="n"/>
      <c r="W11" s="57">
        <f>IFERROR(U11*V11, 0)</f>
        <v/>
      </c>
      <c r="X11" s="55" t="n"/>
      <c r="Y11" s="56" t="n"/>
      <c r="Z11" s="57">
        <f>IFERROR(X11*Y11, 0)</f>
        <v/>
      </c>
      <c r="AA11" s="55" t="n"/>
      <c r="AB11" s="56" t="n"/>
      <c r="AC11" s="57">
        <f>IFERROR(AA11*AB11, 0)</f>
        <v/>
      </c>
      <c r="AD11" s="55" t="n"/>
      <c r="AE11" s="56" t="n"/>
      <c r="AF11" s="57">
        <f>IFERROR(AD11*AE11, 0)</f>
        <v/>
      </c>
      <c r="AG11" s="55" t="n"/>
      <c r="AH11" s="56" t="n"/>
      <c r="AI11" s="57">
        <f>IFERROR(AG11*AH11, 0)</f>
        <v/>
      </c>
      <c r="AJ11" s="55" t="n"/>
      <c r="AK11" s="56" t="n"/>
      <c r="AL11" s="57">
        <f>IFERROR(AJ11*AK11, 0)</f>
        <v/>
      </c>
      <c r="AM11" s="55" t="n"/>
      <c r="AN11" s="56" t="n"/>
      <c r="AO11" s="57">
        <f>IFERROR(AM11*AN11, 0)</f>
        <v/>
      </c>
      <c r="AP11" s="55" t="n"/>
      <c r="AQ11" s="56" t="n"/>
      <c r="AR11" s="57">
        <f>IFERROR(AP11*AQ11, 0)</f>
        <v/>
      </c>
      <c r="AS11" s="55" t="n"/>
      <c r="AT11" s="56" t="n"/>
      <c r="AU11" s="57">
        <f>IFERROR(AS11*AT11, 0)</f>
        <v/>
      </c>
      <c r="AV11" s="55" t="n"/>
      <c r="AW11" s="56" t="n"/>
      <c r="AX11" s="57">
        <f>IFERROR(AV11*AW11, 0)</f>
        <v/>
      </c>
      <c r="AY11" s="55" t="n"/>
      <c r="AZ11" s="56" t="n"/>
      <c r="BA11" s="57">
        <f>IFERROR(AY11*AZ11, 0)</f>
        <v/>
      </c>
      <c r="BB11" s="55" t="n"/>
      <c r="BC11" s="56" t="n"/>
      <c r="BD11" s="57">
        <f>IFERROR(BB11*BC11, 0)</f>
        <v/>
      </c>
      <c r="BE11" s="55" t="n"/>
      <c r="BF11" s="56" t="n"/>
      <c r="BG11" s="57">
        <f>IFERROR(BE11*BF11, 0)</f>
        <v/>
      </c>
      <c r="BH11" s="55" t="n"/>
      <c r="BI11" s="56" t="n"/>
      <c r="BJ11" s="57">
        <f>IFERROR(BH11*BI11, 0)</f>
        <v/>
      </c>
      <c r="BK11" s="55" t="n"/>
      <c r="BL11" s="56" t="n"/>
      <c r="BM11" s="57">
        <f>IFERROR(BK11*BL11, 0)</f>
        <v/>
      </c>
      <c r="BN11" s="55" t="n"/>
      <c r="BO11" s="56" t="n"/>
      <c r="BP11" s="57">
        <f>IFERROR(BN11*BO11, 0)</f>
        <v/>
      </c>
      <c r="BQ11" s="55" t="n"/>
      <c r="BR11" s="56" t="n"/>
      <c r="BS11" s="57">
        <f>IFERROR(BQ11*BR11, 0)</f>
        <v/>
      </c>
      <c r="BT11" s="55" t="n"/>
      <c r="BU11" s="56" t="n"/>
      <c r="BV11" s="57">
        <f>IFERROR(BT11*BU11, 0)</f>
        <v/>
      </c>
      <c r="BW11" s="55" t="n"/>
      <c r="BX11" s="56" t="n"/>
      <c r="BY11" s="57">
        <f>IFERROR(BW11*BX11, 0)</f>
        <v/>
      </c>
      <c r="BZ11" s="55" t="n"/>
      <c r="CA11" s="56" t="n"/>
      <c r="CB11" s="57">
        <f>IFERROR(BZ11*CA11, 0)</f>
        <v/>
      </c>
      <c r="CC11" s="55" t="n"/>
      <c r="CD11" s="56" t="n"/>
      <c r="CE11" s="57">
        <f>IFERROR(CC11*CD11, 0)</f>
        <v/>
      </c>
      <c r="CF11" s="55" t="n"/>
      <c r="CG11" s="56" t="n"/>
      <c r="CH11" s="57">
        <f>IFERROR(CF11*CG11, 0)</f>
        <v/>
      </c>
      <c r="CI11" s="55" t="n"/>
      <c r="CJ11" s="56" t="n"/>
      <c r="CK11" s="57">
        <f>IFERROR(CI11*CJ11, 0)</f>
        <v/>
      </c>
      <c r="CL11" s="55" t="n"/>
      <c r="CM11" s="56" t="n"/>
      <c r="CN11" s="57">
        <f>IFERROR(CL11*CM11, 0)</f>
        <v/>
      </c>
      <c r="CO11" s="55" t="n"/>
      <c r="CP11" s="56" t="n"/>
      <c r="CQ11" s="57">
        <f>IFERROR(CO11*CP11, 0)</f>
        <v/>
      </c>
      <c r="CR11" s="55" t="n"/>
      <c r="CS11" s="56" t="n"/>
      <c r="CT11" s="57">
        <f>IFERROR(CR11*CS11, 0)</f>
        <v/>
      </c>
      <c r="CU11" s="58">
        <f>IFERROR(SUM(F11,I11,L11,O11,R11,U11,X11,AA11,AD11,AG11,AJ11,AM11,AP11,AS11,AV11,AY11,BB11,BE11,BH11,BK11,BN11,BQ11,BT11,BW11,BZ11,CC11,CF11,CI11,CL11,CO11,CR11), 0)</f>
        <v/>
      </c>
      <c r="CV11" s="57">
        <f>IFERROR(AVERAGE(G11,J11,M11,P11,S11,V11,Y11,AB11,AE11,AH11,AK11,AN11,AQ11,AT11,AW11,AZ11,BC11,BF11,BI11,BL11,BO11,BR11,BU11,BX11,CA11,CD11,CG11,CJ11,CM11,CP11,CS11), 0)</f>
        <v/>
      </c>
      <c r="CW11" s="57">
        <f>CU11*CV11</f>
        <v/>
      </c>
    </row>
    <row r="12" ht="15.75" customHeight="1">
      <c r="A12" s="53" t="inlineStr">
        <is>
          <t>Soda bretaña</t>
        </is>
      </c>
      <c r="B12" s="53" t="inlineStr">
        <is>
          <t>Und</t>
        </is>
      </c>
      <c r="C12" s="55" t="n"/>
      <c r="D12" s="56" t="n"/>
      <c r="E12" s="57">
        <f>IFERROR(C12*D12, 0)</f>
        <v/>
      </c>
      <c r="F12" s="55" t="n"/>
      <c r="G12" s="56" t="n"/>
      <c r="H12" s="57">
        <f>IFERROR(F12*G12, 0)</f>
        <v/>
      </c>
      <c r="I12" s="55" t="n"/>
      <c r="J12" s="56" t="n"/>
      <c r="K12" s="57">
        <f>IFERROR(I12*J12, 0)</f>
        <v/>
      </c>
      <c r="L12" s="55" t="n"/>
      <c r="M12" s="56" t="n"/>
      <c r="N12" s="57">
        <f>IFERROR(L12*M12, 0)</f>
        <v/>
      </c>
      <c r="O12" s="55" t="n">
        <v>30</v>
      </c>
      <c r="P12" s="56" t="n">
        <v>1916.67</v>
      </c>
      <c r="Q12" s="57" t="n">
        <v>57500.1</v>
      </c>
      <c r="R12" s="55" t="n"/>
      <c r="S12" s="56" t="n"/>
      <c r="T12" s="57">
        <f>IFERROR(R12*S12, 0)</f>
        <v/>
      </c>
      <c r="U12" s="55" t="n"/>
      <c r="V12" s="56" t="n"/>
      <c r="W12" s="57">
        <f>IFERROR(U12*V12, 0)</f>
        <v/>
      </c>
      <c r="X12" s="55" t="n"/>
      <c r="Y12" s="56" t="n"/>
      <c r="Z12" s="57">
        <f>IFERROR(X12*Y12, 0)</f>
        <v/>
      </c>
      <c r="AA12" s="55" t="n"/>
      <c r="AB12" s="56" t="n"/>
      <c r="AC12" s="57">
        <f>IFERROR(AA12*AB12, 0)</f>
        <v/>
      </c>
      <c r="AD12" s="55" t="n"/>
      <c r="AE12" s="56" t="n"/>
      <c r="AF12" s="57">
        <f>IFERROR(AD12*AE12, 0)</f>
        <v/>
      </c>
      <c r="AG12" s="55" t="n"/>
      <c r="AH12" s="56" t="n"/>
      <c r="AI12" s="57">
        <f>IFERROR(AG12*AH12, 0)</f>
        <v/>
      </c>
      <c r="AJ12" s="55" t="n">
        <v>60</v>
      </c>
      <c r="AK12" s="56" t="n">
        <v>1916.67</v>
      </c>
      <c r="AL12" s="57" t="n">
        <v>115000.2</v>
      </c>
      <c r="AM12" s="55" t="n"/>
      <c r="AN12" s="56" t="n"/>
      <c r="AO12" s="57">
        <f>IFERROR(AM12*AN12, 0)</f>
        <v/>
      </c>
      <c r="AP12" s="55" t="n"/>
      <c r="AQ12" s="56" t="n"/>
      <c r="AR12" s="57">
        <f>IFERROR(AP12*AQ12, 0)</f>
        <v/>
      </c>
      <c r="AS12" s="55" t="n"/>
      <c r="AT12" s="56" t="n"/>
      <c r="AU12" s="57">
        <f>IFERROR(AS12*AT12, 0)</f>
        <v/>
      </c>
      <c r="AV12" s="55" t="n"/>
      <c r="AW12" s="56" t="n"/>
      <c r="AX12" s="57">
        <f>IFERROR(AV12*AW12, 0)</f>
        <v/>
      </c>
      <c r="AY12" s="55" t="n"/>
      <c r="AZ12" s="56" t="n"/>
      <c r="BA12" s="57">
        <f>IFERROR(AY12*AZ12, 0)</f>
        <v/>
      </c>
      <c r="BB12" s="55" t="n"/>
      <c r="BC12" s="56" t="n"/>
      <c r="BD12" s="57">
        <f>IFERROR(BB12*BC12, 0)</f>
        <v/>
      </c>
      <c r="BE12" s="55" t="n"/>
      <c r="BF12" s="56" t="n"/>
      <c r="BG12" s="57">
        <f>IFERROR(BE12*BF12, 0)</f>
        <v/>
      </c>
      <c r="BH12" s="55" t="n"/>
      <c r="BI12" s="56" t="n"/>
      <c r="BJ12" s="57">
        <f>IFERROR(BH12*BI12, 0)</f>
        <v/>
      </c>
      <c r="BK12" s="55" t="n"/>
      <c r="BL12" s="56" t="n"/>
      <c r="BM12" s="57">
        <f>IFERROR(BK12*BL12, 0)</f>
        <v/>
      </c>
      <c r="BN12" s="55" t="n">
        <v>30</v>
      </c>
      <c r="BO12" s="56" t="n">
        <v>1916.67</v>
      </c>
      <c r="BP12" s="57" t="n">
        <v>57500.1</v>
      </c>
      <c r="BQ12" s="55" t="n"/>
      <c r="BR12" s="56" t="n"/>
      <c r="BS12" s="57">
        <f>IFERROR(BQ12*BR12, 0)</f>
        <v/>
      </c>
      <c r="BT12" s="55" t="n"/>
      <c r="BU12" s="56" t="n"/>
      <c r="BV12" s="57">
        <f>IFERROR(BT12*BU12, 0)</f>
        <v/>
      </c>
      <c r="BW12" s="55" t="n"/>
      <c r="BX12" s="56" t="n"/>
      <c r="BY12" s="57">
        <f>IFERROR(BW12*BX12, 0)</f>
        <v/>
      </c>
      <c r="BZ12" s="55" t="n"/>
      <c r="CA12" s="56" t="n"/>
      <c r="CB12" s="57">
        <f>IFERROR(BZ12*CA12, 0)</f>
        <v/>
      </c>
      <c r="CC12" s="55" t="n"/>
      <c r="CD12" s="56" t="n"/>
      <c r="CE12" s="57">
        <f>IFERROR(CC12*CD12, 0)</f>
        <v/>
      </c>
      <c r="CF12" s="55" t="n"/>
      <c r="CG12" s="56" t="n"/>
      <c r="CH12" s="57">
        <f>IFERROR(CF12*CG12, 0)</f>
        <v/>
      </c>
      <c r="CI12" s="55" t="n"/>
      <c r="CJ12" s="56" t="n"/>
      <c r="CK12" s="57">
        <f>IFERROR(CI12*CJ12, 0)</f>
        <v/>
      </c>
      <c r="CL12" s="55" t="n"/>
      <c r="CM12" s="56" t="n"/>
      <c r="CN12" s="57">
        <f>IFERROR(CL12*CM12, 0)</f>
        <v/>
      </c>
      <c r="CO12" s="55" t="n"/>
      <c r="CP12" s="56" t="n"/>
      <c r="CQ12" s="57">
        <f>IFERROR(CO12*CP12, 0)</f>
        <v/>
      </c>
      <c r="CR12" s="55" t="n"/>
      <c r="CS12" s="56" t="n"/>
      <c r="CT12" s="57">
        <f>IFERROR(CR12*CS12, 0)</f>
        <v/>
      </c>
      <c r="CU12" s="58">
        <f>IFERROR(SUM(F12,I12,L12,O12,R12,U12,X12,AA12,AD12,AG12,AJ12,AM12,AP12,AS12,AV12,AY12,BB12,BE12,BH12,BK12,BN12,BQ12,BT12,BW12,BZ12,CC12,CF12,CI12,CL12,CO12,CR12), 0)</f>
        <v/>
      </c>
      <c r="CV12" s="57">
        <f>IFERROR(AVERAGE(G12,J12,M12,P12,S12,V12,Y12,AB12,AE12,AH12,AK12,AN12,AQ12,AT12,AW12,AZ12,BC12,BF12,BI12,BL12,BO12,BR12,BU12,BX12,CA12,CD12,CG12,CJ12,CM12,CP12,CS12), 0)</f>
        <v/>
      </c>
      <c r="CW12" s="57">
        <f>CU12*CV12</f>
        <v/>
      </c>
    </row>
    <row r="13" ht="15.75" customHeight="1">
      <c r="A13" s="62" t="inlineStr">
        <is>
          <t>Brisa 600 ml</t>
        </is>
      </c>
      <c r="B13" s="67" t="inlineStr">
        <is>
          <t>Und</t>
        </is>
      </c>
      <c r="C13" s="68" t="n"/>
      <c r="D13" s="69" t="n"/>
      <c r="E13" s="57">
        <f>IFERROR(C13*D13, 0)</f>
        <v/>
      </c>
      <c r="F13" s="55" t="n"/>
      <c r="G13" s="56" t="n"/>
      <c r="H13" s="57">
        <f>IFERROR(F13*G13, 0)</f>
        <v/>
      </c>
      <c r="I13" s="55" t="n"/>
      <c r="J13" s="56" t="n"/>
      <c r="K13" s="57">
        <f>IFERROR(I13*J13, 0)</f>
        <v/>
      </c>
      <c r="L13" s="55" t="n"/>
      <c r="M13" s="56" t="n"/>
      <c r="N13" s="57">
        <f>IFERROR(L13*M13, 0)</f>
        <v/>
      </c>
      <c r="O13" s="55" t="n"/>
      <c r="P13" s="56" t="n"/>
      <c r="Q13" s="57">
        <f>IFERROR(O13*P13, 0)</f>
        <v/>
      </c>
      <c r="R13" s="55" t="n"/>
      <c r="S13" s="56" t="n"/>
      <c r="T13" s="57">
        <f>IFERROR(R13*S13, 0)</f>
        <v/>
      </c>
      <c r="U13" s="55" t="n"/>
      <c r="V13" s="56" t="n"/>
      <c r="W13" s="57">
        <f>IFERROR(U13*V13, 0)</f>
        <v/>
      </c>
      <c r="X13" s="55" t="n"/>
      <c r="Y13" s="56" t="n"/>
      <c r="Z13" s="57">
        <f>IFERROR(X13*Y13, 0)</f>
        <v/>
      </c>
      <c r="AA13" s="55" t="n"/>
      <c r="AB13" s="56" t="n"/>
      <c r="AC13" s="57">
        <f>IFERROR(AA13*AB13, 0)</f>
        <v/>
      </c>
      <c r="AD13" s="55" t="n"/>
      <c r="AE13" s="56" t="n"/>
      <c r="AF13" s="57">
        <f>IFERROR(AD13*AE13, 0)</f>
        <v/>
      </c>
      <c r="AG13" s="55" t="n"/>
      <c r="AH13" s="56" t="n"/>
      <c r="AI13" s="57">
        <f>IFERROR(AG13*AH13, 0)</f>
        <v/>
      </c>
      <c r="AJ13" s="55" t="n"/>
      <c r="AK13" s="56" t="n"/>
      <c r="AL13" s="57">
        <f>IFERROR(AJ13*AK13, 0)</f>
        <v/>
      </c>
      <c r="AM13" s="55" t="n"/>
      <c r="AN13" s="56" t="n"/>
      <c r="AO13" s="57">
        <f>IFERROR(AM13*AN13, 0)</f>
        <v/>
      </c>
      <c r="AP13" s="55" t="n"/>
      <c r="AQ13" s="56" t="n"/>
      <c r="AR13" s="57">
        <f>IFERROR(AP13*AQ13, 0)</f>
        <v/>
      </c>
      <c r="AS13" s="55" t="n"/>
      <c r="AT13" s="56" t="n"/>
      <c r="AU13" s="57">
        <f>IFERROR(AS13*AT13, 0)</f>
        <v/>
      </c>
      <c r="AV13" s="55" t="n"/>
      <c r="AW13" s="56" t="n"/>
      <c r="AX13" s="57">
        <f>IFERROR(AV13*AW13, 0)</f>
        <v/>
      </c>
      <c r="AY13" s="55" t="n">
        <v>1</v>
      </c>
      <c r="AZ13" s="56" t="n">
        <v>25600</v>
      </c>
      <c r="BA13" s="57" t="n">
        <v>25600</v>
      </c>
      <c r="BB13" s="55" t="n"/>
      <c r="BC13" s="56" t="n"/>
      <c r="BD13" s="57">
        <f>IFERROR(BB13*BC13, 0)</f>
        <v/>
      </c>
      <c r="BE13" s="55" t="n"/>
      <c r="BF13" s="56" t="n"/>
      <c r="BG13" s="57">
        <f>IFERROR(BE13*BF13, 0)</f>
        <v/>
      </c>
      <c r="BH13" s="55" t="n"/>
      <c r="BI13" s="56" t="n"/>
      <c r="BJ13" s="57">
        <f>IFERROR(BH13*BI13, 0)</f>
        <v/>
      </c>
      <c r="BK13" s="55" t="n"/>
      <c r="BL13" s="56" t="n"/>
      <c r="BM13" s="57">
        <f>IFERROR(BK13*BL13, 0)</f>
        <v/>
      </c>
      <c r="BN13" s="55" t="n">
        <v>24</v>
      </c>
      <c r="BO13" s="56" t="n">
        <v>1333.33</v>
      </c>
      <c r="BP13" s="57" t="n">
        <v>31999.92</v>
      </c>
      <c r="BQ13" s="55" t="n"/>
      <c r="BR13" s="56" t="n"/>
      <c r="BS13" s="57">
        <f>IFERROR(BQ13*BR13, 0)</f>
        <v/>
      </c>
      <c r="BT13" s="55" t="n"/>
      <c r="BU13" s="56" t="n"/>
      <c r="BV13" s="57">
        <f>IFERROR(BT13*BU13, 0)</f>
        <v/>
      </c>
      <c r="BW13" s="55" t="n"/>
      <c r="BX13" s="56" t="n"/>
      <c r="BY13" s="57">
        <f>IFERROR(BW13*BX13, 0)</f>
        <v/>
      </c>
      <c r="BZ13" s="55" t="n"/>
      <c r="CA13" s="56" t="n"/>
      <c r="CB13" s="57">
        <f>IFERROR(BZ13*CA13, 0)</f>
        <v/>
      </c>
      <c r="CC13" s="55" t="n"/>
      <c r="CD13" s="56" t="n"/>
      <c r="CE13" s="57">
        <f>IFERROR(CC13*CD13, 0)</f>
        <v/>
      </c>
      <c r="CF13" s="55" t="n"/>
      <c r="CG13" s="56" t="n"/>
      <c r="CH13" s="57">
        <f>IFERROR(CF13*CG13, 0)</f>
        <v/>
      </c>
      <c r="CI13" s="55" t="n"/>
      <c r="CJ13" s="56" t="n"/>
      <c r="CK13" s="57">
        <f>IFERROR(CI13*CJ13, 0)</f>
        <v/>
      </c>
      <c r="CL13" s="55" t="n"/>
      <c r="CM13" s="56" t="n"/>
      <c r="CN13" s="57">
        <f>IFERROR(CL13*CM13, 0)</f>
        <v/>
      </c>
      <c r="CO13" s="55" t="n"/>
      <c r="CP13" s="56" t="n"/>
      <c r="CQ13" s="57">
        <f>IFERROR(CO13*CP13, 0)</f>
        <v/>
      </c>
      <c r="CR13" s="55" t="n"/>
      <c r="CS13" s="56" t="n"/>
      <c r="CT13" s="57">
        <f>IFERROR(CR13*CS13, 0)</f>
        <v/>
      </c>
      <c r="CU13" s="58">
        <f>IFERROR(SUM(F13,I13,L13,O13,R13,U13,X13,AA13,AD13,AG13,AJ13,AM13,AP13,AS13,AV13,AY13,BB13,BE13,BH13,BK13,BN13,BQ13,BT13,BW13,BZ13,CC13,CF13,CI13,CL13,CO13,CR13), 0)</f>
        <v/>
      </c>
      <c r="CV13" s="57">
        <f>IFERROR(AVERAGE(G13,J13,M13,P13,S13,V13,Y13,AB13,AE13,AH13,AK13,AN13,AQ13,AT13,AW13,AZ13,BC13,BF13,BI13,BL13,BO13,BR13,BU13,BX13,CA13,CD13,CG13,CJ13,CM13,CP13,CS13), 0)</f>
        <v/>
      </c>
      <c r="CW13" s="57">
        <f>CU13*CV13</f>
        <v/>
      </c>
    </row>
    <row r="14" ht="15.75" customHeight="1">
      <c r="A14" s="53" t="inlineStr">
        <is>
          <t>Coca cola 350</t>
        </is>
      </c>
      <c r="B14" s="53" t="inlineStr">
        <is>
          <t>Und</t>
        </is>
      </c>
      <c r="C14" s="55" t="n"/>
      <c r="D14" s="56" t="n"/>
      <c r="E14" s="57">
        <f>IFERROR(C14*D14, 0)</f>
        <v/>
      </c>
      <c r="F14" s="55" t="n"/>
      <c r="G14" s="56" t="n"/>
      <c r="H14" s="57">
        <f>IFERROR(F14*G14, 0)</f>
        <v/>
      </c>
      <c r="I14" s="55" t="n"/>
      <c r="J14" s="56" t="n"/>
      <c r="K14" s="57">
        <f>IFERROR(I14*J14, 0)</f>
        <v/>
      </c>
      <c r="L14" s="55" t="n"/>
      <c r="M14" s="56" t="n"/>
      <c r="N14" s="57">
        <f>IFERROR(L14*M14, 0)</f>
        <v/>
      </c>
      <c r="O14" s="55" t="n"/>
      <c r="P14" s="56" t="n"/>
      <c r="Q14" s="57">
        <f>IFERROR(O14*P14, 0)</f>
        <v/>
      </c>
      <c r="R14" s="55" t="n"/>
      <c r="S14" s="56" t="n"/>
      <c r="T14" s="57">
        <f>IFERROR(R14*S14, 0)</f>
        <v/>
      </c>
      <c r="U14" s="55" t="n">
        <v>1</v>
      </c>
      <c r="V14" s="56" t="n">
        <v>46521</v>
      </c>
      <c r="W14" s="57" t="n">
        <v>46521</v>
      </c>
      <c r="X14" s="55" t="n"/>
      <c r="Y14" s="56" t="n"/>
      <c r="Z14" s="57">
        <f>IFERROR(X14*Y14, 0)</f>
        <v/>
      </c>
      <c r="AA14" s="55" t="n"/>
      <c r="AB14" s="56" t="n"/>
      <c r="AC14" s="57">
        <f>IFERROR(AA14*AB14, 0)</f>
        <v/>
      </c>
      <c r="AD14" s="55" t="n"/>
      <c r="AE14" s="56" t="n"/>
      <c r="AF14" s="57">
        <f>IFERROR(AD14*AE14, 0)</f>
        <v/>
      </c>
      <c r="AG14" s="55" t="n"/>
      <c r="AH14" s="56" t="n"/>
      <c r="AI14" s="57">
        <f>IFERROR(AG14*AH14, 0)</f>
        <v/>
      </c>
      <c r="AJ14" s="55" t="n"/>
      <c r="AK14" s="56" t="n"/>
      <c r="AL14" s="57">
        <f>IFERROR(AJ14*AK14, 0)</f>
        <v/>
      </c>
      <c r="AM14" s="55" t="n"/>
      <c r="AN14" s="56" t="n"/>
      <c r="AO14" s="57">
        <f>IFERROR(AM14*AN14, 0)</f>
        <v/>
      </c>
      <c r="AP14" s="55" t="n"/>
      <c r="AQ14" s="56" t="n"/>
      <c r="AR14" s="57">
        <f>IFERROR(AP14*AQ14, 0)</f>
        <v/>
      </c>
      <c r="AS14" s="55" t="n"/>
      <c r="AT14" s="56" t="n"/>
      <c r="AU14" s="57">
        <f>IFERROR(AS14*AT14, 0)</f>
        <v/>
      </c>
      <c r="AV14" s="55" t="n"/>
      <c r="AW14" s="56" t="n"/>
      <c r="AX14" s="57">
        <f>IFERROR(AV14*AW14, 0)</f>
        <v/>
      </c>
      <c r="AY14" s="55" t="n">
        <v>1</v>
      </c>
      <c r="AZ14" s="56" t="n">
        <v>53661</v>
      </c>
      <c r="BA14" s="57" t="n">
        <v>53661</v>
      </c>
      <c r="BB14" s="55" t="n"/>
      <c r="BC14" s="56" t="n"/>
      <c r="BD14" s="57">
        <f>IFERROR(BB14*BC14, 0)</f>
        <v/>
      </c>
      <c r="BE14" s="55" t="n"/>
      <c r="BF14" s="56" t="n"/>
      <c r="BG14" s="57">
        <f>IFERROR(BE14*BF14, 0)</f>
        <v/>
      </c>
      <c r="BH14" s="55" t="n"/>
      <c r="BI14" s="56" t="n"/>
      <c r="BJ14" s="57">
        <f>IFERROR(BH14*BI14, 0)</f>
        <v/>
      </c>
      <c r="BK14" s="55" t="n"/>
      <c r="BL14" s="56" t="n"/>
      <c r="BM14" s="57">
        <f>IFERROR(BK14*BL14, 0)</f>
        <v/>
      </c>
      <c r="BN14" s="55" t="n"/>
      <c r="BO14" s="56" t="n"/>
      <c r="BP14" s="57">
        <f>IFERROR(BN14*BO14, 0)</f>
        <v/>
      </c>
      <c r="BQ14" s="55" t="n"/>
      <c r="BR14" s="56" t="n"/>
      <c r="BS14" s="57">
        <f>IFERROR(BQ14*BR14, 0)</f>
        <v/>
      </c>
      <c r="BT14" s="55" t="n"/>
      <c r="BU14" s="56" t="n"/>
      <c r="BV14" s="57">
        <f>IFERROR(BT14*BU14, 0)</f>
        <v/>
      </c>
      <c r="BW14" s="55" t="n"/>
      <c r="BX14" s="56" t="n"/>
      <c r="BY14" s="57">
        <f>IFERROR(BW14*BX14, 0)</f>
        <v/>
      </c>
      <c r="BZ14" s="55" t="n"/>
      <c r="CA14" s="56" t="n"/>
      <c r="CB14" s="57">
        <f>IFERROR(BZ14*CA14, 0)</f>
        <v/>
      </c>
      <c r="CC14" s="55" t="n"/>
      <c r="CD14" s="56" t="n"/>
      <c r="CE14" s="57">
        <f>IFERROR(CC14*CD14, 0)</f>
        <v/>
      </c>
      <c r="CF14" s="55" t="n"/>
      <c r="CG14" s="56" t="n"/>
      <c r="CH14" s="57">
        <f>IFERROR(CF14*CG14, 0)</f>
        <v/>
      </c>
      <c r="CI14" s="55" t="n"/>
      <c r="CJ14" s="56" t="n"/>
      <c r="CK14" s="57">
        <f>IFERROR(CI14*CJ14, 0)</f>
        <v/>
      </c>
      <c r="CL14" s="55" t="n"/>
      <c r="CM14" s="56" t="n"/>
      <c r="CN14" s="57">
        <f>IFERROR(CL14*CM14, 0)</f>
        <v/>
      </c>
      <c r="CO14" s="55" t="n"/>
      <c r="CP14" s="56" t="n"/>
      <c r="CQ14" s="57">
        <f>IFERROR(CO14*CP14, 0)</f>
        <v/>
      </c>
      <c r="CR14" s="55" t="n"/>
      <c r="CS14" s="56" t="n"/>
      <c r="CT14" s="57">
        <f>IFERROR(CR14*CS14, 0)</f>
        <v/>
      </c>
      <c r="CU14" s="58">
        <f>IFERROR(SUM(F14,I14,L14,O14,R14,U14,X14,AA14,AD14,AG14,AJ14,AM14,AP14,AS14,AV14,AY14,BB14,BE14,BH14,BK14,BN14,BQ14,BT14,BW14,BZ14,CC14,CF14,CI14,CL14,CO14,CR14), 0)</f>
        <v/>
      </c>
      <c r="CV14" s="57">
        <f>IFERROR(AVERAGE(G14,J14,M14,P14,S14,V14,Y14,AB14,AE14,AH14,AK14,AN14,AQ14,AT14,AW14,AZ14,BC14,BF14,BI14,BL14,BO14,BR14,BU14,BX14,CA14,CD14,CG14,CJ14,CM14,CP14,CS14), 0)</f>
        <v/>
      </c>
      <c r="CW14" s="57">
        <f>CU14*CV14</f>
        <v/>
      </c>
    </row>
    <row r="15" ht="15.75" customHeight="1">
      <c r="A15" s="70" t="inlineStr">
        <is>
          <t>Coca cola zero 350</t>
        </is>
      </c>
      <c r="B15" s="53" t="inlineStr">
        <is>
          <t>Und</t>
        </is>
      </c>
      <c r="C15" s="55" t="n"/>
      <c r="D15" s="56" t="n"/>
      <c r="E15" s="57">
        <f>IFERROR(C15*D15, 0)</f>
        <v/>
      </c>
      <c r="F15" s="55" t="n"/>
      <c r="G15" s="56" t="n"/>
      <c r="H15" s="57">
        <f>IFERROR(F15*G15, 0)</f>
        <v/>
      </c>
      <c r="I15" s="55" t="n"/>
      <c r="J15" s="56" t="n"/>
      <c r="K15" s="57">
        <f>IFERROR(I15*J15, 0)</f>
        <v/>
      </c>
      <c r="L15" s="55" t="n"/>
      <c r="M15" s="56" t="n"/>
      <c r="N15" s="57">
        <f>IFERROR(L15*M15, 0)</f>
        <v/>
      </c>
      <c r="O15" s="55" t="n"/>
      <c r="P15" s="56" t="n"/>
      <c r="Q15" s="57">
        <f>IFERROR(O15*P15, 0)</f>
        <v/>
      </c>
      <c r="R15" s="55" t="n"/>
      <c r="S15" s="56" t="n"/>
      <c r="T15" s="57">
        <f>IFERROR(R15*S15, 0)</f>
        <v/>
      </c>
      <c r="U15" s="55" t="n">
        <v>1</v>
      </c>
      <c r="V15" s="56" t="n">
        <v>52521</v>
      </c>
      <c r="W15" s="57" t="n">
        <v>52521</v>
      </c>
      <c r="X15" s="55" t="n"/>
      <c r="Y15" s="56" t="n"/>
      <c r="Z15" s="57">
        <f>IFERROR(X15*Y15, 0)</f>
        <v/>
      </c>
      <c r="AA15" s="55" t="n"/>
      <c r="AB15" s="56" t="n"/>
      <c r="AC15" s="57">
        <f>IFERROR(AA15*AB15, 0)</f>
        <v/>
      </c>
      <c r="AD15" s="55" t="n"/>
      <c r="AE15" s="56" t="n"/>
      <c r="AF15" s="57">
        <f>IFERROR(AD15*AE15, 0)</f>
        <v/>
      </c>
      <c r="AG15" s="55" t="n"/>
      <c r="AH15" s="56" t="n"/>
      <c r="AI15" s="57">
        <f>IFERROR(AG15*AH15, 0)</f>
        <v/>
      </c>
      <c r="AJ15" s="55" t="n"/>
      <c r="AK15" s="56" t="n"/>
      <c r="AL15" s="57">
        <f>IFERROR(AJ15*AK15, 0)</f>
        <v/>
      </c>
      <c r="AM15" s="55" t="n"/>
      <c r="AN15" s="56" t="n"/>
      <c r="AO15" s="57">
        <f>IFERROR(AM15*AN15, 0)</f>
        <v/>
      </c>
      <c r="AP15" s="55" t="n"/>
      <c r="AQ15" s="56" t="n"/>
      <c r="AR15" s="57">
        <f>IFERROR(AP15*AQ15, 0)</f>
        <v/>
      </c>
      <c r="AS15" s="55" t="n"/>
      <c r="AT15" s="56" t="n"/>
      <c r="AU15" s="57">
        <f>IFERROR(AS15*AT15, 0)</f>
        <v/>
      </c>
      <c r="AV15" s="55" t="n"/>
      <c r="AW15" s="56" t="n"/>
      <c r="AX15" s="57">
        <f>IFERROR(AV15*AW15, 0)</f>
        <v/>
      </c>
      <c r="AY15" s="55" t="n"/>
      <c r="AZ15" s="56" t="n"/>
      <c r="BA15" s="57">
        <f>IFERROR(AY15*AZ15, 0)</f>
        <v/>
      </c>
      <c r="BB15" s="55" t="n"/>
      <c r="BC15" s="56" t="n"/>
      <c r="BD15" s="57">
        <f>IFERROR(BB15*BC15, 0)</f>
        <v/>
      </c>
      <c r="BE15" s="55" t="n"/>
      <c r="BF15" s="56" t="n"/>
      <c r="BG15" s="57">
        <f>IFERROR(BE15*BF15, 0)</f>
        <v/>
      </c>
      <c r="BH15" s="55" t="n"/>
      <c r="BI15" s="56" t="n"/>
      <c r="BJ15" s="57">
        <f>IFERROR(BH15*BI15, 0)</f>
        <v/>
      </c>
      <c r="BK15" s="55" t="n"/>
      <c r="BL15" s="56" t="n"/>
      <c r="BM15" s="57">
        <f>IFERROR(BK15*BL15, 0)</f>
        <v/>
      </c>
      <c r="BN15" s="55" t="n"/>
      <c r="BO15" s="56" t="n"/>
      <c r="BP15" s="57">
        <f>IFERROR(BN15*BO15, 0)</f>
        <v/>
      </c>
      <c r="BQ15" s="55" t="n"/>
      <c r="BR15" s="56" t="n"/>
      <c r="BS15" s="57">
        <f>IFERROR(BQ15*BR15, 0)</f>
        <v/>
      </c>
      <c r="BT15" s="55" t="n"/>
      <c r="BU15" s="56" t="n"/>
      <c r="BV15" s="57">
        <f>IFERROR(BT15*BU15, 0)</f>
        <v/>
      </c>
      <c r="BW15" s="55" t="n"/>
      <c r="BX15" s="56" t="n"/>
      <c r="BY15" s="57">
        <f>IFERROR(BW15*BX15, 0)</f>
        <v/>
      </c>
      <c r="BZ15" s="55" t="n"/>
      <c r="CA15" s="56" t="n"/>
      <c r="CB15" s="57">
        <f>IFERROR(BZ15*CA15, 0)</f>
        <v/>
      </c>
      <c r="CC15" s="55" t="n"/>
      <c r="CD15" s="56" t="n"/>
      <c r="CE15" s="57">
        <f>IFERROR(CC15*CD15, 0)</f>
        <v/>
      </c>
      <c r="CF15" s="55" t="n"/>
      <c r="CG15" s="56" t="n"/>
      <c r="CH15" s="57">
        <f>IFERROR(CF15*CG15, 0)</f>
        <v/>
      </c>
      <c r="CI15" s="55" t="n"/>
      <c r="CJ15" s="56" t="n"/>
      <c r="CK15" s="57">
        <f>IFERROR(CI15*CJ15, 0)</f>
        <v/>
      </c>
      <c r="CL15" s="55" t="n"/>
      <c r="CM15" s="56" t="n"/>
      <c r="CN15" s="57">
        <f>IFERROR(CL15*CM15, 0)</f>
        <v/>
      </c>
      <c r="CO15" s="55" t="n"/>
      <c r="CP15" s="56" t="n"/>
      <c r="CQ15" s="57">
        <f>IFERROR(CO15*CP15, 0)</f>
        <v/>
      </c>
      <c r="CR15" s="55" t="n"/>
      <c r="CS15" s="56" t="n"/>
      <c r="CT15" s="57">
        <f>IFERROR(CR15*CS15, 0)</f>
        <v/>
      </c>
      <c r="CU15" s="58">
        <f>IFERROR(SUM(F15,I15,L15,O15,R15,U15,X15,AA15,AD15,AG15,AJ15,AM15,AP15,AS15,AV15,AY15,BB15,BE15,BH15,BK15,BN15,BQ15,BT15,BW15,BZ15,CC15,CF15,CI15,CL15,CO15,CR15), 0)</f>
        <v/>
      </c>
      <c r="CV15" s="57">
        <f>IFERROR(AVERAGE(G15,J15,M15,P15,S15,V15,Y15,AB15,AE15,AH15,AK15,AN15,AQ15,AT15,AW15,AZ15,BC15,BF15,BI15,BL15,BO15,BR15,BU15,BX15,CA15,CD15,CG15,CJ15,CM15,CP15,CS15), 0)</f>
        <v/>
      </c>
      <c r="CW15" s="57">
        <f>CU15*CV15</f>
        <v/>
      </c>
    </row>
    <row r="16" ht="15.75" customHeight="1">
      <c r="A16" s="53" t="inlineStr">
        <is>
          <t>Gaseosa 1.5 lit</t>
        </is>
      </c>
      <c r="B16" s="53" t="inlineStr">
        <is>
          <t>Und</t>
        </is>
      </c>
      <c r="C16" s="55" t="n"/>
      <c r="D16" s="56" t="n"/>
      <c r="E16" s="57">
        <f>IFERROR(C16*D16, 0)</f>
        <v/>
      </c>
      <c r="F16" s="55" t="n"/>
      <c r="G16" s="56" t="n"/>
      <c r="H16" s="57">
        <f>IFERROR(F16*G16, 0)</f>
        <v/>
      </c>
      <c r="I16" s="55" t="n"/>
      <c r="J16" s="56" t="n"/>
      <c r="K16" s="57">
        <f>IFERROR(I16*J16, 0)</f>
        <v/>
      </c>
      <c r="L16" s="55" t="n"/>
      <c r="M16" s="56" t="n"/>
      <c r="N16" s="57">
        <f>IFERROR(L16*M16, 0)</f>
        <v/>
      </c>
      <c r="O16" s="55" t="n">
        <v>12</v>
      </c>
      <c r="P16" s="56" t="n">
        <v>3151.26</v>
      </c>
      <c r="Q16" s="57" t="n">
        <v>37815.12</v>
      </c>
      <c r="R16" s="55" t="n"/>
      <c r="S16" s="56" t="n"/>
      <c r="T16" s="57">
        <f>IFERROR(R16*S16, 0)</f>
        <v/>
      </c>
      <c r="U16" s="55" t="n"/>
      <c r="V16" s="56" t="n"/>
      <c r="W16" s="57">
        <f>IFERROR(U16*V16, 0)</f>
        <v/>
      </c>
      <c r="X16" s="55" t="n"/>
      <c r="Y16" s="56" t="n"/>
      <c r="Z16" s="57">
        <f>IFERROR(X16*Y16, 0)</f>
        <v/>
      </c>
      <c r="AA16" s="55" t="n"/>
      <c r="AB16" s="56" t="n"/>
      <c r="AC16" s="57">
        <f>IFERROR(AA16*AB16, 0)</f>
        <v/>
      </c>
      <c r="AD16" s="55" t="n"/>
      <c r="AE16" s="56" t="n"/>
      <c r="AF16" s="57">
        <f>IFERROR(AD16*AE16, 0)</f>
        <v/>
      </c>
      <c r="AG16" s="55" t="n"/>
      <c r="AH16" s="56" t="n"/>
      <c r="AI16" s="57">
        <f>IFERROR(AG16*AH16, 0)</f>
        <v/>
      </c>
      <c r="AJ16" s="55" t="n"/>
      <c r="AK16" s="56" t="n"/>
      <c r="AL16" s="57">
        <f>IFERROR(AJ16*AK16, 0)</f>
        <v/>
      </c>
      <c r="AM16" s="55" t="n"/>
      <c r="AN16" s="56" t="n"/>
      <c r="AO16" s="57">
        <f>IFERROR(AM16*AN16, 0)</f>
        <v/>
      </c>
      <c r="AP16" s="55" t="n"/>
      <c r="AQ16" s="56" t="n"/>
      <c r="AR16" s="57">
        <f>IFERROR(AP16*AQ16, 0)</f>
        <v/>
      </c>
      <c r="AS16" s="55" t="n"/>
      <c r="AT16" s="56" t="n"/>
      <c r="AU16" s="57">
        <f>IFERROR(AS16*AT16, 0)</f>
        <v/>
      </c>
      <c r="AV16" s="55" t="n"/>
      <c r="AW16" s="56" t="n"/>
      <c r="AX16" s="57">
        <f>IFERROR(AV16*AW16, 0)</f>
        <v/>
      </c>
      <c r="AY16" s="55" t="n"/>
      <c r="AZ16" s="56" t="n"/>
      <c r="BA16" s="57">
        <f>IFERROR(AY16*AZ16, 0)</f>
        <v/>
      </c>
      <c r="BB16" s="55" t="n"/>
      <c r="BC16" s="56" t="n"/>
      <c r="BD16" s="57">
        <f>IFERROR(BB16*BC16, 0)</f>
        <v/>
      </c>
      <c r="BE16" s="55" t="n"/>
      <c r="BF16" s="56" t="n"/>
      <c r="BG16" s="57">
        <f>IFERROR(BE16*BF16, 0)</f>
        <v/>
      </c>
      <c r="BH16" s="55" t="n"/>
      <c r="BI16" s="56" t="n"/>
      <c r="BJ16" s="57">
        <f>IFERROR(BH16*BI16, 0)</f>
        <v/>
      </c>
      <c r="BK16" s="55" t="n"/>
      <c r="BL16" s="56" t="n"/>
      <c r="BM16" s="57">
        <f>IFERROR(BK16*BL16, 0)</f>
        <v/>
      </c>
      <c r="BN16" s="55" t="n"/>
      <c r="BO16" s="56" t="n"/>
      <c r="BP16" s="57">
        <f>IFERROR(BN16*BO16, 0)</f>
        <v/>
      </c>
      <c r="BQ16" s="55" t="n"/>
      <c r="BR16" s="56" t="n"/>
      <c r="BS16" s="57">
        <f>IFERROR(BQ16*BR16, 0)</f>
        <v/>
      </c>
      <c r="BT16" s="55" t="n"/>
      <c r="BU16" s="56" t="n"/>
      <c r="BV16" s="57">
        <f>IFERROR(BT16*BU16, 0)</f>
        <v/>
      </c>
      <c r="BW16" s="55" t="n"/>
      <c r="BX16" s="56" t="n"/>
      <c r="BY16" s="57">
        <f>IFERROR(BW16*BX16, 0)</f>
        <v/>
      </c>
      <c r="BZ16" s="55" t="n"/>
      <c r="CA16" s="56" t="n"/>
      <c r="CB16" s="57">
        <f>IFERROR(BZ16*CA16, 0)</f>
        <v/>
      </c>
      <c r="CC16" s="55" t="n"/>
      <c r="CD16" s="56" t="n"/>
      <c r="CE16" s="57">
        <f>IFERROR(CC16*CD16, 0)</f>
        <v/>
      </c>
      <c r="CF16" s="55" t="n"/>
      <c r="CG16" s="56" t="n"/>
      <c r="CH16" s="57">
        <f>IFERROR(CF16*CG16, 0)</f>
        <v/>
      </c>
      <c r="CI16" s="55" t="n"/>
      <c r="CJ16" s="56" t="n"/>
      <c r="CK16" s="57">
        <f>IFERROR(CI16*CJ16, 0)</f>
        <v/>
      </c>
      <c r="CL16" s="55" t="n"/>
      <c r="CM16" s="56" t="n"/>
      <c r="CN16" s="57">
        <f>IFERROR(CL16*CM16, 0)</f>
        <v/>
      </c>
      <c r="CO16" s="55" t="n"/>
      <c r="CP16" s="56" t="n"/>
      <c r="CQ16" s="57">
        <f>IFERROR(CO16*CP16, 0)</f>
        <v/>
      </c>
      <c r="CR16" s="55" t="n"/>
      <c r="CS16" s="56" t="n"/>
      <c r="CT16" s="57">
        <f>IFERROR(CR16*CS16, 0)</f>
        <v/>
      </c>
      <c r="CU16" s="58">
        <f>IFERROR(SUM(F16,I16,L16,O16,R16,U16,X16,AA16,AD16,AG16,AJ16,AM16,AP16,AS16,AV16,AY16,BB16,BE16,BH16,BK16,BN16,BQ16,BT16,BW16,BZ16,CC16,CF16,CI16,CL16,CO16,CR16), 0)</f>
        <v/>
      </c>
      <c r="CV16" s="57">
        <f>IFERROR(AVERAGE(G16,J16,M16,P16,S16,V16,Y16,AB16,AE16,AH16,AK16,AN16,AQ16,AT16,AW16,AZ16,BC16,BF16,BI16,BL16,BO16,BR16,BU16,BX16,CA16,CD16,CG16,CJ16,CM16,CP16,CS16), 0)</f>
        <v/>
      </c>
      <c r="CW16" s="57">
        <f>CU16*CV16</f>
        <v/>
      </c>
    </row>
    <row r="17" ht="15.75" customHeight="1">
      <c r="A17" s="53" t="inlineStr">
        <is>
          <t>Gaseosa 3 litros</t>
        </is>
      </c>
      <c r="B17" s="53" t="inlineStr">
        <is>
          <t>Und</t>
        </is>
      </c>
      <c r="C17" s="55" t="n"/>
      <c r="D17" s="56" t="n"/>
      <c r="E17" s="57">
        <f>IFERROR(C17*D17, 0)</f>
        <v/>
      </c>
      <c r="F17" s="55" t="n"/>
      <c r="G17" s="56" t="n"/>
      <c r="H17" s="57">
        <f>IFERROR(F17*G17, 0)</f>
        <v/>
      </c>
      <c r="I17" s="55" t="n"/>
      <c r="J17" s="56" t="n"/>
      <c r="K17" s="57">
        <f>IFERROR(I17*J17, 0)</f>
        <v/>
      </c>
      <c r="L17" s="55" t="n"/>
      <c r="M17" s="56" t="n"/>
      <c r="N17" s="57">
        <f>IFERROR(L17*M17, 0)</f>
        <v/>
      </c>
      <c r="O17" s="55" t="n"/>
      <c r="P17" s="56" t="n"/>
      <c r="Q17" s="57">
        <f>IFERROR(O17*P17, 0)</f>
        <v/>
      </c>
      <c r="R17" s="55" t="n"/>
      <c r="S17" s="56" t="n"/>
      <c r="T17" s="57">
        <f>IFERROR(R17*S17, 0)</f>
        <v/>
      </c>
      <c r="U17" s="55" t="n"/>
      <c r="V17" s="56" t="n"/>
      <c r="W17" s="57">
        <f>IFERROR(U17*V17, 0)</f>
        <v/>
      </c>
      <c r="X17" s="55" t="n"/>
      <c r="Y17" s="56" t="n"/>
      <c r="Z17" s="57">
        <f>IFERROR(X17*Y17, 0)</f>
        <v/>
      </c>
      <c r="AA17" s="55" t="n"/>
      <c r="AB17" s="56" t="n"/>
      <c r="AC17" s="57">
        <f>IFERROR(AA17*AB17, 0)</f>
        <v/>
      </c>
      <c r="AD17" s="55" t="n"/>
      <c r="AE17" s="56" t="n"/>
      <c r="AF17" s="57">
        <f>IFERROR(AD17*AE17, 0)</f>
        <v/>
      </c>
      <c r="AG17" s="55" t="n"/>
      <c r="AH17" s="56" t="n"/>
      <c r="AI17" s="57">
        <f>IFERROR(AG17*AH17, 0)</f>
        <v/>
      </c>
      <c r="AJ17" s="55" t="n"/>
      <c r="AK17" s="56" t="n"/>
      <c r="AL17" s="57">
        <f>IFERROR(AJ17*AK17, 0)</f>
        <v/>
      </c>
      <c r="AM17" s="55" t="n"/>
      <c r="AN17" s="56" t="n"/>
      <c r="AO17" s="57">
        <f>IFERROR(AM17*AN17, 0)</f>
        <v/>
      </c>
      <c r="AP17" s="55" t="n"/>
      <c r="AQ17" s="56" t="n"/>
      <c r="AR17" s="57">
        <f>IFERROR(AP17*AQ17, 0)</f>
        <v/>
      </c>
      <c r="AS17" s="55" t="n"/>
      <c r="AT17" s="56" t="n"/>
      <c r="AU17" s="57">
        <f>IFERROR(AS17*AT17, 0)</f>
        <v/>
      </c>
      <c r="AV17" s="55" t="n"/>
      <c r="AW17" s="56" t="n"/>
      <c r="AX17" s="57">
        <f>IFERROR(AV17*AW17, 0)</f>
        <v/>
      </c>
      <c r="AY17" s="55" t="n"/>
      <c r="AZ17" s="56" t="n"/>
      <c r="BA17" s="57">
        <f>IFERROR(AY17*AZ17, 0)</f>
        <v/>
      </c>
      <c r="BB17" s="55" t="n"/>
      <c r="BC17" s="56" t="n"/>
      <c r="BD17" s="57">
        <f>IFERROR(BB17*BC17, 0)</f>
        <v/>
      </c>
      <c r="BE17" s="55" t="n"/>
      <c r="BF17" s="56" t="n"/>
      <c r="BG17" s="57">
        <f>IFERROR(BE17*BF17, 0)</f>
        <v/>
      </c>
      <c r="BH17" s="55" t="n"/>
      <c r="BI17" s="56" t="n"/>
      <c r="BJ17" s="57">
        <f>IFERROR(BH17*BI17, 0)</f>
        <v/>
      </c>
      <c r="BK17" s="55" t="n"/>
      <c r="BL17" s="56" t="n"/>
      <c r="BM17" s="57">
        <f>IFERROR(BK17*BL17, 0)</f>
        <v/>
      </c>
      <c r="BN17" s="55" t="n"/>
      <c r="BO17" s="56" t="n"/>
      <c r="BP17" s="57">
        <f>IFERROR(BN17*BO17, 0)</f>
        <v/>
      </c>
      <c r="BQ17" s="55" t="n"/>
      <c r="BR17" s="56" t="n"/>
      <c r="BS17" s="57">
        <f>IFERROR(BQ17*BR17, 0)</f>
        <v/>
      </c>
      <c r="BT17" s="55" t="n"/>
      <c r="BU17" s="56" t="n"/>
      <c r="BV17" s="57">
        <f>IFERROR(BT17*BU17, 0)</f>
        <v/>
      </c>
      <c r="BW17" s="55" t="n"/>
      <c r="BX17" s="56" t="n"/>
      <c r="BY17" s="57">
        <f>IFERROR(BW17*BX17, 0)</f>
        <v/>
      </c>
      <c r="BZ17" s="55" t="n"/>
      <c r="CA17" s="56" t="n"/>
      <c r="CB17" s="57">
        <f>IFERROR(BZ17*CA17, 0)</f>
        <v/>
      </c>
      <c r="CC17" s="55" t="n"/>
      <c r="CD17" s="56" t="n"/>
      <c r="CE17" s="57">
        <f>IFERROR(CC17*CD17, 0)</f>
        <v/>
      </c>
      <c r="CF17" s="55" t="n"/>
      <c r="CG17" s="56" t="n"/>
      <c r="CH17" s="57">
        <f>IFERROR(CF17*CG17, 0)</f>
        <v/>
      </c>
      <c r="CI17" s="55" t="n"/>
      <c r="CJ17" s="56" t="n"/>
      <c r="CK17" s="57">
        <f>IFERROR(CI17*CJ17, 0)</f>
        <v/>
      </c>
      <c r="CL17" s="55" t="n"/>
      <c r="CM17" s="56" t="n"/>
      <c r="CN17" s="57">
        <f>IFERROR(CL17*CM17, 0)</f>
        <v/>
      </c>
      <c r="CO17" s="55" t="n"/>
      <c r="CP17" s="56" t="n"/>
      <c r="CQ17" s="57">
        <f>IFERROR(CO17*CP17, 0)</f>
        <v/>
      </c>
      <c r="CR17" s="55" t="n"/>
      <c r="CS17" s="56" t="n"/>
      <c r="CT17" s="57">
        <f>IFERROR(CR17*CS17, 0)</f>
        <v/>
      </c>
      <c r="CU17" s="58">
        <f>IFERROR(SUM(F17,I17,L17,O17,R17,U17,X17,AA17,AD17,AG17,AJ17,AM17,AP17,AS17,AV17,AY17,BB17,BE17,BH17,BK17,BN17,BQ17,BT17,BW17,BZ17,CC17,CF17,CI17,CL17,CO17,CR17), 0)</f>
        <v/>
      </c>
      <c r="CV17" s="57">
        <f>IFERROR(AVERAGE(G17,J17,M17,P17,S17,V17,Y17,AB17,AE17,AH17,AK17,AN17,AQ17,AT17,AW17,AZ17,BC17,BF17,BI17,BL17,BO17,BR17,BU17,BX17,CA17,CD17,CG17,CJ17,CM17,CP17,CS17), 0)</f>
        <v/>
      </c>
      <c r="CW17" s="57">
        <f>CU17*CV17</f>
        <v/>
      </c>
    </row>
    <row r="18" ht="15.75" customHeight="1">
      <c r="A18" s="53" t="inlineStr">
        <is>
          <t>Gaseosa 350 ml</t>
        </is>
      </c>
      <c r="B18" s="53" t="inlineStr">
        <is>
          <t>Und</t>
        </is>
      </c>
      <c r="C18" s="55" t="n"/>
      <c r="D18" s="56" t="n"/>
      <c r="E18" s="57">
        <f>IFERROR(C18*D18, 0)</f>
        <v/>
      </c>
      <c r="F18" s="55" t="n"/>
      <c r="G18" s="56" t="n"/>
      <c r="H18" s="57">
        <f>IFERROR(F18*G18, 0)</f>
        <v/>
      </c>
      <c r="I18" s="55" t="n"/>
      <c r="J18" s="56" t="n"/>
      <c r="K18" s="57">
        <f>IFERROR(I18*J18, 0)</f>
        <v/>
      </c>
      <c r="L18" s="55" t="n"/>
      <c r="M18" s="56" t="n"/>
      <c r="N18" s="57">
        <f>IFERROR(L18*M18, 0)</f>
        <v/>
      </c>
      <c r="O18" s="55" t="n">
        <v>45</v>
      </c>
      <c r="P18" s="56" t="n">
        <v>1450.98</v>
      </c>
      <c r="Q18" s="57" t="n">
        <v>65294.10000000001</v>
      </c>
      <c r="R18" s="55" t="n"/>
      <c r="S18" s="56" t="n"/>
      <c r="T18" s="57">
        <f>IFERROR(R18*S18, 0)</f>
        <v/>
      </c>
      <c r="U18" s="55" t="n"/>
      <c r="V18" s="56" t="n"/>
      <c r="W18" s="57">
        <f>IFERROR(U18*V18, 0)</f>
        <v/>
      </c>
      <c r="X18" s="55" t="n"/>
      <c r="Y18" s="56" t="n"/>
      <c r="Z18" s="57">
        <f>IFERROR(X18*Y18, 0)</f>
        <v/>
      </c>
      <c r="AA18" s="55" t="n"/>
      <c r="AB18" s="56" t="n"/>
      <c r="AC18" s="57">
        <f>IFERROR(AA18*AB18, 0)</f>
        <v/>
      </c>
      <c r="AD18" s="55" t="n"/>
      <c r="AE18" s="56" t="n"/>
      <c r="AF18" s="57">
        <f>IFERROR(AD18*AE18, 0)</f>
        <v/>
      </c>
      <c r="AG18" s="55" t="n"/>
      <c r="AH18" s="56" t="n"/>
      <c r="AI18" s="57">
        <f>IFERROR(AG18*AH18, 0)</f>
        <v/>
      </c>
      <c r="AJ18" s="55" t="n">
        <v>15</v>
      </c>
      <c r="AK18" s="56" t="n">
        <v>1450.98</v>
      </c>
      <c r="AL18" s="57" t="n">
        <v>21764.7</v>
      </c>
      <c r="AM18" s="55" t="n"/>
      <c r="AN18" s="56" t="n"/>
      <c r="AO18" s="57">
        <f>IFERROR(AM18*AN18, 0)</f>
        <v/>
      </c>
      <c r="AP18" s="55" t="n"/>
      <c r="AQ18" s="56" t="n"/>
      <c r="AR18" s="57">
        <f>IFERROR(AP18*AQ18, 0)</f>
        <v/>
      </c>
      <c r="AS18" s="55" t="n"/>
      <c r="AT18" s="56" t="n"/>
      <c r="AU18" s="57">
        <f>IFERROR(AS18*AT18, 0)</f>
        <v/>
      </c>
      <c r="AV18" s="55" t="n"/>
      <c r="AW18" s="56" t="n"/>
      <c r="AX18" s="57">
        <f>IFERROR(AV18*AW18, 0)</f>
        <v/>
      </c>
      <c r="AY18" s="55" t="n"/>
      <c r="AZ18" s="56" t="n"/>
      <c r="BA18" s="57">
        <f>IFERROR(AY18*AZ18, 0)</f>
        <v/>
      </c>
      <c r="BB18" s="55" t="n"/>
      <c r="BC18" s="56" t="n"/>
      <c r="BD18" s="57">
        <f>IFERROR(BB18*BC18, 0)</f>
        <v/>
      </c>
      <c r="BE18" s="55" t="n"/>
      <c r="BF18" s="56" t="n"/>
      <c r="BG18" s="57">
        <f>IFERROR(BE18*BF18, 0)</f>
        <v/>
      </c>
      <c r="BH18" s="55" t="n"/>
      <c r="BI18" s="56" t="n"/>
      <c r="BJ18" s="57">
        <f>IFERROR(BH18*BI18, 0)</f>
        <v/>
      </c>
      <c r="BK18" s="55" t="n"/>
      <c r="BL18" s="56" t="n"/>
      <c r="BM18" s="57">
        <f>IFERROR(BK18*BL18, 0)</f>
        <v/>
      </c>
      <c r="BN18" s="55" t="n">
        <v>15</v>
      </c>
      <c r="BO18" s="56" t="n">
        <v>1450.98</v>
      </c>
      <c r="BP18" s="57" t="n">
        <v>21764.7</v>
      </c>
      <c r="BQ18" s="55" t="n"/>
      <c r="BR18" s="56" t="n"/>
      <c r="BS18" s="57">
        <f>IFERROR(BQ18*BR18, 0)</f>
        <v/>
      </c>
      <c r="BT18" s="55" t="n"/>
      <c r="BU18" s="56" t="n"/>
      <c r="BV18" s="57">
        <f>IFERROR(BT18*BU18, 0)</f>
        <v/>
      </c>
      <c r="BW18" s="55" t="n"/>
      <c r="BX18" s="56" t="n"/>
      <c r="BY18" s="57">
        <f>IFERROR(BW18*BX18, 0)</f>
        <v/>
      </c>
      <c r="BZ18" s="55" t="n"/>
      <c r="CA18" s="56" t="n"/>
      <c r="CB18" s="57">
        <f>IFERROR(BZ18*CA18, 0)</f>
        <v/>
      </c>
      <c r="CC18" s="55" t="n"/>
      <c r="CD18" s="56" t="n"/>
      <c r="CE18" s="57">
        <f>IFERROR(CC18*CD18, 0)</f>
        <v/>
      </c>
      <c r="CF18" s="55" t="n"/>
      <c r="CG18" s="56" t="n"/>
      <c r="CH18" s="57">
        <f>IFERROR(CF18*CG18, 0)</f>
        <v/>
      </c>
      <c r="CI18" s="55" t="n"/>
      <c r="CJ18" s="56" t="n"/>
      <c r="CK18" s="57">
        <f>IFERROR(CI18*CJ18, 0)</f>
        <v/>
      </c>
      <c r="CL18" s="55" t="n"/>
      <c r="CM18" s="56" t="n"/>
      <c r="CN18" s="57">
        <f>IFERROR(CL18*CM18, 0)</f>
        <v/>
      </c>
      <c r="CO18" s="55" t="n"/>
      <c r="CP18" s="56" t="n"/>
      <c r="CQ18" s="57">
        <f>IFERROR(CO18*CP18, 0)</f>
        <v/>
      </c>
      <c r="CR18" s="55" t="n"/>
      <c r="CS18" s="56" t="n"/>
      <c r="CT18" s="57">
        <f>IFERROR(CR18*CS18, 0)</f>
        <v/>
      </c>
      <c r="CU18" s="58">
        <f>IFERROR(SUM(F18,I18,L18,O18,R18,U18,X18,AA18,AD18,AG18,AJ18,AM18,AP18,AS18,AV18,AY18,BB18,BE18,BH18,BK18,BN18,BQ18,BT18,BW18,BZ18,CC18,CF18,CI18,CL18,CO18,CR18), 0)</f>
        <v/>
      </c>
      <c r="CV18" s="57">
        <f>IFERROR(AVERAGE(G18,J18,M18,P18,S18,V18,Y18,AB18,AE18,AH18,AK18,AN18,AQ18,AT18,AW18,AZ18,BC18,BF18,BI18,BL18,BO18,BR18,BU18,BX18,CA18,CD18,CG18,CJ18,CM18,CP18,CS18), 0)</f>
        <v/>
      </c>
      <c r="CW18" s="57">
        <f>CU18*CV18</f>
        <v/>
      </c>
    </row>
    <row r="19" ht="15.75" customHeight="1">
      <c r="A19" s="53" t="inlineStr">
        <is>
          <t>Gaseosa 400 ml</t>
        </is>
      </c>
      <c r="B19" s="53" t="inlineStr">
        <is>
          <t>Und</t>
        </is>
      </c>
      <c r="C19" s="55" t="n"/>
      <c r="D19" s="56" t="n"/>
      <c r="E19" s="57">
        <f>IFERROR(C19*D19, 0)</f>
        <v/>
      </c>
      <c r="F19" s="55" t="n"/>
      <c r="G19" s="56" t="n"/>
      <c r="H19" s="57">
        <f>IFERROR(F19*G19, 0)</f>
        <v/>
      </c>
      <c r="I19" s="55" t="n"/>
      <c r="J19" s="56" t="n"/>
      <c r="K19" s="57">
        <f>IFERROR(I19*J19, 0)</f>
        <v/>
      </c>
      <c r="L19" s="55" t="n"/>
      <c r="M19" s="56" t="n"/>
      <c r="N19" s="57">
        <f>IFERROR(L19*M19, 0)</f>
        <v/>
      </c>
      <c r="O19" s="55" t="n"/>
      <c r="P19" s="56" t="n"/>
      <c r="Q19" s="57">
        <f>IFERROR(O19*P19, 0)</f>
        <v/>
      </c>
      <c r="R19" s="55" t="n"/>
      <c r="S19" s="56" t="n"/>
      <c r="T19" s="57">
        <f>IFERROR(R19*S19, 0)</f>
        <v/>
      </c>
      <c r="U19" s="55" t="n"/>
      <c r="V19" s="56" t="n"/>
      <c r="W19" s="57">
        <f>IFERROR(U19*V19, 0)</f>
        <v/>
      </c>
      <c r="X19" s="55" t="n"/>
      <c r="Y19" s="56" t="n"/>
      <c r="Z19" s="57">
        <f>IFERROR(X19*Y19, 0)</f>
        <v/>
      </c>
      <c r="AA19" s="55" t="n"/>
      <c r="AB19" s="56" t="n"/>
      <c r="AC19" s="57">
        <f>IFERROR(AA19*AB19, 0)</f>
        <v/>
      </c>
      <c r="AD19" s="55" t="n"/>
      <c r="AE19" s="56" t="n"/>
      <c r="AF19" s="57">
        <f>IFERROR(AD19*AE19, 0)</f>
        <v/>
      </c>
      <c r="AG19" s="55" t="n"/>
      <c r="AH19" s="56" t="n"/>
      <c r="AI19" s="57">
        <f>IFERROR(AG19*AH19, 0)</f>
        <v/>
      </c>
      <c r="AJ19" s="55" t="n"/>
      <c r="AK19" s="56" t="n"/>
      <c r="AL19" s="57">
        <f>IFERROR(AJ19*AK19, 0)</f>
        <v/>
      </c>
      <c r="AM19" s="55" t="n"/>
      <c r="AN19" s="56" t="n"/>
      <c r="AO19" s="57">
        <f>IFERROR(AM19*AN19, 0)</f>
        <v/>
      </c>
      <c r="AP19" s="55" t="n"/>
      <c r="AQ19" s="56" t="n"/>
      <c r="AR19" s="57">
        <f>IFERROR(AP19*AQ19, 0)</f>
        <v/>
      </c>
      <c r="AS19" s="55" t="n"/>
      <c r="AT19" s="56" t="n"/>
      <c r="AU19" s="57">
        <f>IFERROR(AS19*AT19, 0)</f>
        <v/>
      </c>
      <c r="AV19" s="55" t="n"/>
      <c r="AW19" s="56" t="n"/>
      <c r="AX19" s="57">
        <f>IFERROR(AV19*AW19, 0)</f>
        <v/>
      </c>
      <c r="AY19" s="55" t="n"/>
      <c r="AZ19" s="56" t="n"/>
      <c r="BA19" s="57">
        <f>IFERROR(AY19*AZ19, 0)</f>
        <v/>
      </c>
      <c r="BB19" s="55" t="n"/>
      <c r="BC19" s="56" t="n"/>
      <c r="BD19" s="57">
        <f>IFERROR(BB19*BC19, 0)</f>
        <v/>
      </c>
      <c r="BE19" s="55" t="n"/>
      <c r="BF19" s="56" t="n"/>
      <c r="BG19" s="57">
        <f>IFERROR(BE19*BF19, 0)</f>
        <v/>
      </c>
      <c r="BH19" s="55" t="n"/>
      <c r="BI19" s="56" t="n"/>
      <c r="BJ19" s="57">
        <f>IFERROR(BH19*BI19, 0)</f>
        <v/>
      </c>
      <c r="BK19" s="55" t="n"/>
      <c r="BL19" s="56" t="n"/>
      <c r="BM19" s="57">
        <f>IFERROR(BK19*BL19, 0)</f>
        <v/>
      </c>
      <c r="BN19" s="55" t="n"/>
      <c r="BO19" s="56" t="n"/>
      <c r="BP19" s="57">
        <f>IFERROR(BN19*BO19, 0)</f>
        <v/>
      </c>
      <c r="BQ19" s="55" t="n"/>
      <c r="BR19" s="56" t="n"/>
      <c r="BS19" s="57">
        <f>IFERROR(BQ19*BR19, 0)</f>
        <v/>
      </c>
      <c r="BT19" s="55" t="n"/>
      <c r="BU19" s="56" t="n"/>
      <c r="BV19" s="57">
        <f>IFERROR(BT19*BU19, 0)</f>
        <v/>
      </c>
      <c r="BW19" s="55" t="n"/>
      <c r="BX19" s="56" t="n"/>
      <c r="BY19" s="57">
        <f>IFERROR(BW19*BX19, 0)</f>
        <v/>
      </c>
      <c r="BZ19" s="55" t="n"/>
      <c r="CA19" s="56" t="n"/>
      <c r="CB19" s="57">
        <f>IFERROR(BZ19*CA19, 0)</f>
        <v/>
      </c>
      <c r="CC19" s="55" t="n"/>
      <c r="CD19" s="56" t="n"/>
      <c r="CE19" s="57">
        <f>IFERROR(CC19*CD19, 0)</f>
        <v/>
      </c>
      <c r="CF19" s="55" t="n"/>
      <c r="CG19" s="56" t="n"/>
      <c r="CH19" s="57">
        <f>IFERROR(CF19*CG19, 0)</f>
        <v/>
      </c>
      <c r="CI19" s="55" t="n"/>
      <c r="CJ19" s="56" t="n"/>
      <c r="CK19" s="57">
        <f>IFERROR(CI19*CJ19, 0)</f>
        <v/>
      </c>
      <c r="CL19" s="55" t="n"/>
      <c r="CM19" s="56" t="n"/>
      <c r="CN19" s="57">
        <f>IFERROR(CL19*CM19, 0)</f>
        <v/>
      </c>
      <c r="CO19" s="55" t="n"/>
      <c r="CP19" s="56" t="n"/>
      <c r="CQ19" s="57">
        <f>IFERROR(CO19*CP19, 0)</f>
        <v/>
      </c>
      <c r="CR19" s="55" t="n"/>
      <c r="CS19" s="56" t="n"/>
      <c r="CT19" s="57">
        <f>IFERROR(CR19*CS19, 0)</f>
        <v/>
      </c>
      <c r="CU19" s="58">
        <f>IFERROR(SUM(F19,I19,L19,O19,R19,U19,X19,AA19,AD19,AG19,AJ19,AM19,AP19,AS19,AV19,AY19,BB19,BE19,BH19,BK19,BN19,BQ19,BT19,BW19,BZ19,CC19,CF19,CI19,CL19,CO19,CR19), 0)</f>
        <v/>
      </c>
      <c r="CV19" s="57">
        <f>IFERROR(AVERAGE(G19,J19,M19,P19,S19,V19,Y19,AB19,AE19,AH19,AK19,AN19,AQ19,AT19,AW19,AZ19,BC19,BF19,BI19,BL19,BO19,BR19,BU19,BX19,CA19,CD19,CG19,CJ19,CM19,CP19,CS19), 0)</f>
        <v/>
      </c>
      <c r="CW19" s="57">
        <f>CU19*CV19</f>
        <v/>
      </c>
    </row>
    <row r="20" ht="15.75" customHeight="1">
      <c r="A20" s="53" t="inlineStr">
        <is>
          <t>Gatorade</t>
        </is>
      </c>
      <c r="B20" s="53" t="inlineStr">
        <is>
          <t>Und</t>
        </is>
      </c>
      <c r="C20" s="55" t="n"/>
      <c r="D20" s="56" t="n"/>
      <c r="E20" s="57">
        <f>IFERROR(C20*D20, 0)</f>
        <v/>
      </c>
      <c r="F20" s="55" t="n"/>
      <c r="G20" s="56" t="n"/>
      <c r="H20" s="57">
        <f>IFERROR(F20*G20, 0)</f>
        <v/>
      </c>
      <c r="I20" s="55" t="n"/>
      <c r="J20" s="56" t="n"/>
      <c r="K20" s="57">
        <f>IFERROR(I20*J20, 0)</f>
        <v/>
      </c>
      <c r="L20" s="55" t="n"/>
      <c r="M20" s="56" t="n"/>
      <c r="N20" s="57">
        <f>IFERROR(L20*M20, 0)</f>
        <v/>
      </c>
      <c r="O20" s="55" t="n">
        <v>24</v>
      </c>
      <c r="P20" s="56" t="n">
        <v>2731.09</v>
      </c>
      <c r="Q20" s="57" t="n">
        <v>65546.16</v>
      </c>
      <c r="R20" s="55" t="n"/>
      <c r="S20" s="56" t="n"/>
      <c r="T20" s="57">
        <f>IFERROR(R20*S20, 0)</f>
        <v/>
      </c>
      <c r="U20" s="55" t="n"/>
      <c r="V20" s="56" t="n"/>
      <c r="W20" s="57">
        <f>IFERROR(U20*V20, 0)</f>
        <v/>
      </c>
      <c r="X20" s="55" t="n"/>
      <c r="Y20" s="56" t="n"/>
      <c r="Z20" s="57">
        <f>IFERROR(X20*Y20, 0)</f>
        <v/>
      </c>
      <c r="AA20" s="55" t="n"/>
      <c r="AB20" s="56" t="n"/>
      <c r="AC20" s="57">
        <f>IFERROR(AA20*AB20, 0)</f>
        <v/>
      </c>
      <c r="AD20" s="55" t="n"/>
      <c r="AE20" s="56" t="n"/>
      <c r="AF20" s="57">
        <f>IFERROR(AD20*AE20, 0)</f>
        <v/>
      </c>
      <c r="AG20" s="55" t="n"/>
      <c r="AH20" s="56" t="n"/>
      <c r="AI20" s="57">
        <f>IFERROR(AG20*AH20, 0)</f>
        <v/>
      </c>
      <c r="AJ20" s="55" t="n">
        <v>24</v>
      </c>
      <c r="AK20" s="56" t="n">
        <v>2731.09</v>
      </c>
      <c r="AL20" s="57" t="n">
        <v>65546.16</v>
      </c>
      <c r="AM20" s="55" t="n"/>
      <c r="AN20" s="56" t="n"/>
      <c r="AO20" s="57">
        <f>IFERROR(AM20*AN20, 0)</f>
        <v/>
      </c>
      <c r="AP20" s="55" t="n"/>
      <c r="AQ20" s="56" t="n"/>
      <c r="AR20" s="57">
        <f>IFERROR(AP20*AQ20, 0)</f>
        <v/>
      </c>
      <c r="AS20" s="55" t="n"/>
      <c r="AT20" s="56" t="n"/>
      <c r="AU20" s="57">
        <f>IFERROR(AS20*AT20, 0)</f>
        <v/>
      </c>
      <c r="AV20" s="55" t="n"/>
      <c r="AW20" s="56" t="n"/>
      <c r="AX20" s="57">
        <f>IFERROR(AV20*AW20, 0)</f>
        <v/>
      </c>
      <c r="AY20" s="55" t="n"/>
      <c r="AZ20" s="56" t="n"/>
      <c r="BA20" s="57">
        <f>IFERROR(AY20*AZ20, 0)</f>
        <v/>
      </c>
      <c r="BB20" s="55" t="n"/>
      <c r="BC20" s="56" t="n"/>
      <c r="BD20" s="57">
        <f>IFERROR(BB20*BC20, 0)</f>
        <v/>
      </c>
      <c r="BE20" s="55" t="n"/>
      <c r="BF20" s="56" t="n"/>
      <c r="BG20" s="57">
        <f>IFERROR(BE20*BF20, 0)</f>
        <v/>
      </c>
      <c r="BH20" s="55" t="n"/>
      <c r="BI20" s="56" t="n"/>
      <c r="BJ20" s="57">
        <f>IFERROR(BH20*BI20, 0)</f>
        <v/>
      </c>
      <c r="BK20" s="55" t="n"/>
      <c r="BL20" s="56" t="n"/>
      <c r="BM20" s="57">
        <f>IFERROR(BK20*BL20, 0)</f>
        <v/>
      </c>
      <c r="BN20" s="55" t="n"/>
      <c r="BO20" s="56" t="n"/>
      <c r="BP20" s="57">
        <f>IFERROR(BN20*BO20, 0)</f>
        <v/>
      </c>
      <c r="BQ20" s="55" t="n"/>
      <c r="BR20" s="56" t="n"/>
      <c r="BS20" s="57">
        <f>IFERROR(BQ20*BR20, 0)</f>
        <v/>
      </c>
      <c r="BT20" s="55" t="n"/>
      <c r="BU20" s="56" t="n"/>
      <c r="BV20" s="57">
        <f>IFERROR(BT20*BU20, 0)</f>
        <v/>
      </c>
      <c r="BW20" s="55" t="n"/>
      <c r="BX20" s="56" t="n"/>
      <c r="BY20" s="57">
        <f>IFERROR(BW20*BX20, 0)</f>
        <v/>
      </c>
      <c r="BZ20" s="55" t="n"/>
      <c r="CA20" s="56" t="n"/>
      <c r="CB20" s="57">
        <f>IFERROR(BZ20*CA20, 0)</f>
        <v/>
      </c>
      <c r="CC20" s="55" t="n"/>
      <c r="CD20" s="56" t="n"/>
      <c r="CE20" s="57">
        <f>IFERROR(CC20*CD20, 0)</f>
        <v/>
      </c>
      <c r="CF20" s="55" t="n"/>
      <c r="CG20" s="56" t="n"/>
      <c r="CH20" s="57">
        <f>IFERROR(CF20*CG20, 0)</f>
        <v/>
      </c>
      <c r="CI20" s="55" t="n"/>
      <c r="CJ20" s="56" t="n"/>
      <c r="CK20" s="57">
        <f>IFERROR(CI20*CJ20, 0)</f>
        <v/>
      </c>
      <c r="CL20" s="55" t="n"/>
      <c r="CM20" s="56" t="n"/>
      <c r="CN20" s="57">
        <f>IFERROR(CL20*CM20, 0)</f>
        <v/>
      </c>
      <c r="CO20" s="55" t="n"/>
      <c r="CP20" s="56" t="n"/>
      <c r="CQ20" s="57">
        <f>IFERROR(CO20*CP20, 0)</f>
        <v/>
      </c>
      <c r="CR20" s="55" t="n"/>
      <c r="CS20" s="56" t="n"/>
      <c r="CT20" s="57">
        <f>IFERROR(CR20*CS20, 0)</f>
        <v/>
      </c>
      <c r="CU20" s="58">
        <f>IFERROR(SUM(F20,I20,L20,O20,R20,U20,X20,AA20,AD20,AG20,AJ20,AM20,AP20,AS20,AV20,AY20,BB20,BE20,BH20,BK20,BN20,BQ20,BT20,BW20,BZ20,CC20,CF20,CI20,CL20,CO20,CR20), 0)</f>
        <v/>
      </c>
      <c r="CV20" s="57">
        <f>IFERROR(AVERAGE(G20,J20,M20,P20,S20,V20,Y20,AB20,AE20,AH20,AK20,AN20,AQ20,AT20,AW20,AZ20,BC20,BF20,BI20,BL20,BO20,BR20,BU20,BX20,CA20,CD20,CG20,CJ20,CM20,CP20,CS20), 0)</f>
        <v/>
      </c>
      <c r="CW20" s="57">
        <f>CU20*CV20</f>
        <v/>
      </c>
    </row>
    <row r="21" ht="15.75" customHeight="1">
      <c r="A21" s="53" t="inlineStr">
        <is>
          <t xml:space="preserve">Agua con gas </t>
        </is>
      </c>
      <c r="B21" s="53" t="inlineStr">
        <is>
          <t>Und</t>
        </is>
      </c>
      <c r="C21" s="55" t="n"/>
      <c r="D21" s="56" t="n"/>
      <c r="E21" s="57">
        <f>IFERROR(C21*D21, 0)</f>
        <v/>
      </c>
      <c r="F21" s="55" t="n"/>
      <c r="G21" s="56" t="n"/>
      <c r="H21" s="57">
        <f>IFERROR(F21*G21, 0)</f>
        <v/>
      </c>
      <c r="I21" s="55" t="n"/>
      <c r="J21" s="56" t="n"/>
      <c r="K21" s="57">
        <f>IFERROR(I21*J21, 0)</f>
        <v/>
      </c>
      <c r="L21" s="55" t="n"/>
      <c r="M21" s="56" t="n"/>
      <c r="N21" s="57">
        <f>IFERROR(L21*M21, 0)</f>
        <v/>
      </c>
      <c r="O21" s="55" t="n"/>
      <c r="P21" s="56" t="n"/>
      <c r="Q21" s="57">
        <f>IFERROR(O21*P21, 0)</f>
        <v/>
      </c>
      <c r="R21" s="55" t="n"/>
      <c r="S21" s="56" t="n"/>
      <c r="T21" s="57">
        <f>IFERROR(R21*S21, 0)</f>
        <v/>
      </c>
      <c r="U21" s="55" t="n"/>
      <c r="V21" s="56" t="n"/>
      <c r="W21" s="57">
        <f>IFERROR(U21*V21, 0)</f>
        <v/>
      </c>
      <c r="X21" s="55" t="n"/>
      <c r="Y21" s="56" t="n"/>
      <c r="Z21" s="57">
        <f>IFERROR(X21*Y21, 0)</f>
        <v/>
      </c>
      <c r="AA21" s="55" t="n"/>
      <c r="AB21" s="56" t="n"/>
      <c r="AC21" s="57">
        <f>IFERROR(AA21*AB21, 0)</f>
        <v/>
      </c>
      <c r="AD21" s="55" t="n"/>
      <c r="AE21" s="56" t="n"/>
      <c r="AF21" s="57">
        <f>IFERROR(AD21*AE21, 0)</f>
        <v/>
      </c>
      <c r="AG21" s="55" t="n"/>
      <c r="AH21" s="56" t="n"/>
      <c r="AI21" s="57">
        <f>IFERROR(AG21*AH21, 0)</f>
        <v/>
      </c>
      <c r="AJ21" s="55" t="n"/>
      <c r="AK21" s="56" t="n"/>
      <c r="AL21" s="57">
        <f>IFERROR(AJ21*AK21, 0)</f>
        <v/>
      </c>
      <c r="AM21" s="55" t="n"/>
      <c r="AN21" s="56" t="n"/>
      <c r="AO21" s="57">
        <f>IFERROR(AM21*AN21, 0)</f>
        <v/>
      </c>
      <c r="AP21" s="55" t="n"/>
      <c r="AQ21" s="56" t="n"/>
      <c r="AR21" s="57">
        <f>IFERROR(AP21*AQ21, 0)</f>
        <v/>
      </c>
      <c r="AS21" s="55" t="n"/>
      <c r="AT21" s="56" t="n"/>
      <c r="AU21" s="57">
        <f>IFERROR(AS21*AT21, 0)</f>
        <v/>
      </c>
      <c r="AV21" s="55" t="n"/>
      <c r="AW21" s="56" t="n"/>
      <c r="AX21" s="57">
        <f>IFERROR(AV21*AW21, 0)</f>
        <v/>
      </c>
      <c r="AY21" s="55" t="n"/>
      <c r="AZ21" s="56" t="n"/>
      <c r="BA21" s="57">
        <f>IFERROR(AY21*AZ21, 0)</f>
        <v/>
      </c>
      <c r="BB21" s="55" t="n"/>
      <c r="BC21" s="56" t="n"/>
      <c r="BD21" s="57">
        <f>IFERROR(BB21*BC21, 0)</f>
        <v/>
      </c>
      <c r="BE21" s="55" t="n"/>
      <c r="BF21" s="56" t="n"/>
      <c r="BG21" s="57">
        <f>IFERROR(BE21*BF21, 0)</f>
        <v/>
      </c>
      <c r="BH21" s="55" t="n"/>
      <c r="BI21" s="56" t="n"/>
      <c r="BJ21" s="57">
        <f>IFERROR(BH21*BI21, 0)</f>
        <v/>
      </c>
      <c r="BK21" s="55" t="n"/>
      <c r="BL21" s="56" t="n"/>
      <c r="BM21" s="57">
        <f>IFERROR(BK21*BL21, 0)</f>
        <v/>
      </c>
      <c r="BN21" s="55" t="n"/>
      <c r="BO21" s="56" t="n"/>
      <c r="BP21" s="57">
        <f>IFERROR(BN21*BO21, 0)</f>
        <v/>
      </c>
      <c r="BQ21" s="55" t="n"/>
      <c r="BR21" s="56" t="n"/>
      <c r="BS21" s="57">
        <f>IFERROR(BQ21*BR21, 0)</f>
        <v/>
      </c>
      <c r="BT21" s="55" t="n"/>
      <c r="BU21" s="56" t="n"/>
      <c r="BV21" s="57">
        <f>IFERROR(BT21*BU21, 0)</f>
        <v/>
      </c>
      <c r="BW21" s="55" t="n"/>
      <c r="BX21" s="56" t="n"/>
      <c r="BY21" s="57">
        <f>IFERROR(BW21*BX21, 0)</f>
        <v/>
      </c>
      <c r="BZ21" s="55" t="n"/>
      <c r="CA21" s="56" t="n"/>
      <c r="CB21" s="57">
        <f>IFERROR(BZ21*CA21, 0)</f>
        <v/>
      </c>
      <c r="CC21" s="55" t="n"/>
      <c r="CD21" s="56" t="n"/>
      <c r="CE21" s="57">
        <f>IFERROR(CC21*CD21, 0)</f>
        <v/>
      </c>
      <c r="CF21" s="55" t="n"/>
      <c r="CG21" s="56" t="n"/>
      <c r="CH21" s="57">
        <f>IFERROR(CF21*CG21, 0)</f>
        <v/>
      </c>
      <c r="CI21" s="55" t="n"/>
      <c r="CJ21" s="56" t="n"/>
      <c r="CK21" s="57">
        <f>IFERROR(CI21*CJ21, 0)</f>
        <v/>
      </c>
      <c r="CL21" s="55" t="n"/>
      <c r="CM21" s="56" t="n"/>
      <c r="CN21" s="57">
        <f>IFERROR(CL21*CM21, 0)</f>
        <v/>
      </c>
      <c r="CO21" s="55" t="n"/>
      <c r="CP21" s="56" t="n"/>
      <c r="CQ21" s="57">
        <f>IFERROR(CO21*CP21, 0)</f>
        <v/>
      </c>
      <c r="CR21" s="55" t="n"/>
      <c r="CS21" s="56" t="n"/>
      <c r="CT21" s="57">
        <f>IFERROR(CR21*CS21, 0)</f>
        <v/>
      </c>
      <c r="CU21" s="58">
        <f>IFERROR(SUM(F21,I21,L21,O21,R21,U21,X21,AA21,AD21,AG21,AJ21,AM21,AP21,AS21,AV21,AY21,BB21,BE21,BH21,BK21,BN21,BQ21,BT21,BW21,BZ21,CC21,CF21,CI21,CL21,CO21,CR21), 0)</f>
        <v/>
      </c>
      <c r="CV21" s="57">
        <f>IFERROR(AVERAGE(G21,J21,M21,P21,S21,V21,Y21,AB21,AE21,AH21,AK21,AN21,AQ21,AT21,AW21,AZ21,BC21,BF21,BI21,BL21,BO21,BR21,BU21,BX21,CA21,CD21,CG21,CJ21,CM21,CP21,CS21), 0)</f>
        <v/>
      </c>
      <c r="CW21" s="57">
        <f>CU21*CV21</f>
        <v/>
      </c>
    </row>
    <row r="22" ht="15.75" customHeight="1">
      <c r="A22" s="53" t="inlineStr">
        <is>
          <t>H2o</t>
        </is>
      </c>
      <c r="B22" s="53" t="inlineStr">
        <is>
          <t>Und</t>
        </is>
      </c>
      <c r="C22" s="55" t="n"/>
      <c r="D22" s="56" t="n"/>
      <c r="E22" s="57">
        <f>IFERROR(C22*D22, 0)</f>
        <v/>
      </c>
      <c r="F22" s="55" t="n"/>
      <c r="G22" s="56" t="n"/>
      <c r="H22" s="57">
        <f>IFERROR(F22*G22, 0)</f>
        <v/>
      </c>
      <c r="I22" s="55" t="n"/>
      <c r="J22" s="56" t="n"/>
      <c r="K22" s="57">
        <f>IFERROR(I22*J22, 0)</f>
        <v/>
      </c>
      <c r="L22" s="55" t="n"/>
      <c r="M22" s="56" t="n"/>
      <c r="N22" s="57">
        <f>IFERROR(L22*M22, 0)</f>
        <v/>
      </c>
      <c r="O22" s="55" t="n">
        <v>30</v>
      </c>
      <c r="P22" s="56" t="n">
        <v>1820.73</v>
      </c>
      <c r="Q22" s="57" t="n">
        <v>54621.9</v>
      </c>
      <c r="R22" s="55" t="n"/>
      <c r="S22" s="56" t="n"/>
      <c r="T22" s="57">
        <f>IFERROR(R22*S22, 0)</f>
        <v/>
      </c>
      <c r="U22" s="55" t="n"/>
      <c r="V22" s="56" t="n"/>
      <c r="W22" s="57">
        <f>IFERROR(U22*V22, 0)</f>
        <v/>
      </c>
      <c r="X22" s="55" t="n"/>
      <c r="Y22" s="56" t="n"/>
      <c r="Z22" s="57">
        <f>IFERROR(X22*Y22, 0)</f>
        <v/>
      </c>
      <c r="AA22" s="55" t="n"/>
      <c r="AB22" s="56" t="n"/>
      <c r="AC22" s="57">
        <f>IFERROR(AA22*AB22, 0)</f>
        <v/>
      </c>
      <c r="AD22" s="55" t="n"/>
      <c r="AE22" s="56" t="n"/>
      <c r="AF22" s="57">
        <f>IFERROR(AD22*AE22, 0)</f>
        <v/>
      </c>
      <c r="AG22" s="55" t="n"/>
      <c r="AH22" s="56" t="n"/>
      <c r="AI22" s="57">
        <f>IFERROR(AG22*AH22, 0)</f>
        <v/>
      </c>
      <c r="AJ22" s="55" t="n">
        <v>30</v>
      </c>
      <c r="AK22" s="56" t="n">
        <v>1820.73</v>
      </c>
      <c r="AL22" s="57" t="n">
        <v>54621.9</v>
      </c>
      <c r="AM22" s="55" t="n"/>
      <c r="AN22" s="56" t="n"/>
      <c r="AO22" s="57">
        <f>IFERROR(AM22*AN22, 0)</f>
        <v/>
      </c>
      <c r="AP22" s="55" t="n"/>
      <c r="AQ22" s="56" t="n"/>
      <c r="AR22" s="57">
        <f>IFERROR(AP22*AQ22, 0)</f>
        <v/>
      </c>
      <c r="AS22" s="55" t="n"/>
      <c r="AT22" s="56" t="n"/>
      <c r="AU22" s="57">
        <f>IFERROR(AS22*AT22, 0)</f>
        <v/>
      </c>
      <c r="AV22" s="55" t="n"/>
      <c r="AW22" s="56" t="n"/>
      <c r="AX22" s="57">
        <f>IFERROR(AV22*AW22, 0)</f>
        <v/>
      </c>
      <c r="AY22" s="55" t="n"/>
      <c r="AZ22" s="56" t="n"/>
      <c r="BA22" s="57">
        <f>IFERROR(AY22*AZ22, 0)</f>
        <v/>
      </c>
      <c r="BB22" s="55" t="n"/>
      <c r="BC22" s="56" t="n"/>
      <c r="BD22" s="57">
        <f>IFERROR(BB22*BC22, 0)</f>
        <v/>
      </c>
      <c r="BE22" s="55" t="n"/>
      <c r="BF22" s="56" t="n"/>
      <c r="BG22" s="57">
        <f>IFERROR(BE22*BF22, 0)</f>
        <v/>
      </c>
      <c r="BH22" s="55" t="n"/>
      <c r="BI22" s="56" t="n"/>
      <c r="BJ22" s="57">
        <f>IFERROR(BH22*BI22, 0)</f>
        <v/>
      </c>
      <c r="BK22" s="55" t="n"/>
      <c r="BL22" s="56" t="n"/>
      <c r="BM22" s="57">
        <f>IFERROR(BK22*BL22, 0)</f>
        <v/>
      </c>
      <c r="BN22" s="55" t="n"/>
      <c r="BO22" s="56" t="n"/>
      <c r="BP22" s="57">
        <f>IFERROR(BN22*BO22, 0)</f>
        <v/>
      </c>
      <c r="BQ22" s="55" t="n"/>
      <c r="BR22" s="56" t="n"/>
      <c r="BS22" s="57">
        <f>IFERROR(BQ22*BR22, 0)</f>
        <v/>
      </c>
      <c r="BT22" s="55" t="n"/>
      <c r="BU22" s="56" t="n"/>
      <c r="BV22" s="57">
        <f>IFERROR(BT22*BU22, 0)</f>
        <v/>
      </c>
      <c r="BW22" s="55" t="n"/>
      <c r="BX22" s="56" t="n"/>
      <c r="BY22" s="57">
        <f>IFERROR(BW22*BX22, 0)</f>
        <v/>
      </c>
      <c r="BZ22" s="55" t="n"/>
      <c r="CA22" s="56" t="n"/>
      <c r="CB22" s="57">
        <f>IFERROR(BZ22*CA22, 0)</f>
        <v/>
      </c>
      <c r="CC22" s="55" t="n"/>
      <c r="CD22" s="56" t="n"/>
      <c r="CE22" s="57">
        <f>IFERROR(CC22*CD22, 0)</f>
        <v/>
      </c>
      <c r="CF22" s="55" t="n"/>
      <c r="CG22" s="56" t="n"/>
      <c r="CH22" s="57">
        <f>IFERROR(CF22*CG22, 0)</f>
        <v/>
      </c>
      <c r="CI22" s="55" t="n"/>
      <c r="CJ22" s="56" t="n"/>
      <c r="CK22" s="57">
        <f>IFERROR(CI22*CJ22, 0)</f>
        <v/>
      </c>
      <c r="CL22" s="55" t="n"/>
      <c r="CM22" s="56" t="n"/>
      <c r="CN22" s="57">
        <f>IFERROR(CL22*CM22, 0)</f>
        <v/>
      </c>
      <c r="CO22" s="55" t="n"/>
      <c r="CP22" s="56" t="n"/>
      <c r="CQ22" s="57">
        <f>IFERROR(CO22*CP22, 0)</f>
        <v/>
      </c>
      <c r="CR22" s="55" t="n"/>
      <c r="CS22" s="56" t="n"/>
      <c r="CT22" s="57">
        <f>IFERROR(CR22*CS22, 0)</f>
        <v/>
      </c>
      <c r="CU22" s="58">
        <f>IFERROR(SUM(F22,I22,L22,O22,R22,U22,X22,AA22,AD22,AG22,AJ22,AM22,AP22,AS22,AV22,AY22,BB22,BE22,BH22,BK22,BN22,BQ22,BT22,BW22,BZ22,CC22,CF22,CI22,CL22,CO22,CR22), 0)</f>
        <v/>
      </c>
      <c r="CV22" s="57">
        <f>IFERROR(AVERAGE(G22,J22,M22,P22,S22,V22,Y22,AB22,AE22,AH22,AK22,AN22,AQ22,AT22,AW22,AZ22,BC22,BF22,BI22,BL22,BO22,BR22,BU22,BX22,CA22,CD22,CG22,CJ22,CM22,CP22,CS22), 0)</f>
        <v/>
      </c>
      <c r="CW22" s="57">
        <f>CU22*CV22</f>
        <v/>
      </c>
    </row>
    <row r="23" ht="15.75" customHeight="1">
      <c r="A23" s="53" t="inlineStr">
        <is>
          <t>Hit nr</t>
        </is>
      </c>
      <c r="B23" s="53" t="inlineStr">
        <is>
          <t>Und</t>
        </is>
      </c>
      <c r="C23" s="55" t="n"/>
      <c r="D23" s="56" t="n"/>
      <c r="E23" s="57">
        <f>IFERROR(C23*D23, 0)</f>
        <v/>
      </c>
      <c r="F23" s="55" t="n"/>
      <c r="G23" s="56" t="n"/>
      <c r="H23" s="57">
        <f>IFERROR(F23*G23, 0)</f>
        <v/>
      </c>
      <c r="I23" s="55" t="n"/>
      <c r="J23" s="56" t="n"/>
      <c r="K23" s="57">
        <f>IFERROR(I23*J23, 0)</f>
        <v/>
      </c>
      <c r="L23" s="55" t="n"/>
      <c r="M23" s="56" t="n"/>
      <c r="N23" s="57">
        <f>IFERROR(L23*M23, 0)</f>
        <v/>
      </c>
      <c r="O23" s="55" t="n"/>
      <c r="P23" s="56" t="n"/>
      <c r="Q23" s="57">
        <f>IFERROR(O23*P23, 0)</f>
        <v/>
      </c>
      <c r="R23" s="55" t="n"/>
      <c r="S23" s="56" t="n"/>
      <c r="T23" s="57">
        <f>IFERROR(R23*S23, 0)</f>
        <v/>
      </c>
      <c r="U23" s="55" t="n"/>
      <c r="V23" s="56" t="n"/>
      <c r="W23" s="57">
        <f>IFERROR(U23*V23, 0)</f>
        <v/>
      </c>
      <c r="X23" s="55" t="n"/>
      <c r="Y23" s="56" t="n"/>
      <c r="Z23" s="57">
        <f>IFERROR(X23*Y23, 0)</f>
        <v/>
      </c>
      <c r="AA23" s="55" t="n"/>
      <c r="AB23" s="56" t="n"/>
      <c r="AC23" s="57">
        <f>IFERROR(AA23*AB23, 0)</f>
        <v/>
      </c>
      <c r="AD23" s="55" t="n"/>
      <c r="AE23" s="56" t="n"/>
      <c r="AF23" s="57">
        <f>IFERROR(AD23*AE23, 0)</f>
        <v/>
      </c>
      <c r="AG23" s="55" t="n"/>
      <c r="AH23" s="56" t="n"/>
      <c r="AI23" s="57">
        <f>IFERROR(AG23*AH23, 0)</f>
        <v/>
      </c>
      <c r="AJ23" s="55" t="n"/>
      <c r="AK23" s="56" t="n"/>
      <c r="AL23" s="57">
        <f>IFERROR(AJ23*AK23, 0)</f>
        <v/>
      </c>
      <c r="AM23" s="55" t="n"/>
      <c r="AN23" s="56" t="n"/>
      <c r="AO23" s="57">
        <f>IFERROR(AM23*AN23, 0)</f>
        <v/>
      </c>
      <c r="AP23" s="55" t="n"/>
      <c r="AQ23" s="56" t="n"/>
      <c r="AR23" s="57">
        <f>IFERROR(AP23*AQ23, 0)</f>
        <v/>
      </c>
      <c r="AS23" s="55" t="n"/>
      <c r="AT23" s="56" t="n"/>
      <c r="AU23" s="57">
        <f>IFERROR(AS23*AT23, 0)</f>
        <v/>
      </c>
      <c r="AV23" s="55" t="n"/>
      <c r="AW23" s="56" t="n"/>
      <c r="AX23" s="57">
        <f>IFERROR(AV23*AW23, 0)</f>
        <v/>
      </c>
      <c r="AY23" s="55" t="n"/>
      <c r="AZ23" s="56" t="n"/>
      <c r="BA23" s="57">
        <f>IFERROR(AY23*AZ23, 0)</f>
        <v/>
      </c>
      <c r="BB23" s="55" t="n"/>
      <c r="BC23" s="56" t="n"/>
      <c r="BD23" s="57">
        <f>IFERROR(BB23*BC23, 0)</f>
        <v/>
      </c>
      <c r="BE23" s="55" t="n"/>
      <c r="BF23" s="56" t="n"/>
      <c r="BG23" s="57">
        <f>IFERROR(BE23*BF23, 0)</f>
        <v/>
      </c>
      <c r="BH23" s="55" t="n"/>
      <c r="BI23" s="56" t="n"/>
      <c r="BJ23" s="57">
        <f>IFERROR(BH23*BI23, 0)</f>
        <v/>
      </c>
      <c r="BK23" s="55" t="n"/>
      <c r="BL23" s="56" t="n"/>
      <c r="BM23" s="57">
        <f>IFERROR(BK23*BL23, 0)</f>
        <v/>
      </c>
      <c r="BN23" s="55" t="n"/>
      <c r="BO23" s="56" t="n"/>
      <c r="BP23" s="57">
        <f>IFERROR(BN23*BO23, 0)</f>
        <v/>
      </c>
      <c r="BQ23" s="55" t="n"/>
      <c r="BR23" s="56" t="n"/>
      <c r="BS23" s="57">
        <f>IFERROR(BQ23*BR23, 0)</f>
        <v/>
      </c>
      <c r="BT23" s="55" t="n"/>
      <c r="BU23" s="56" t="n"/>
      <c r="BV23" s="57">
        <f>IFERROR(BT23*BU23, 0)</f>
        <v/>
      </c>
      <c r="BW23" s="55" t="n"/>
      <c r="BX23" s="56" t="n"/>
      <c r="BY23" s="57">
        <f>IFERROR(BW23*BX23, 0)</f>
        <v/>
      </c>
      <c r="BZ23" s="55" t="n"/>
      <c r="CA23" s="56" t="n"/>
      <c r="CB23" s="57">
        <f>IFERROR(BZ23*CA23, 0)</f>
        <v/>
      </c>
      <c r="CC23" s="55" t="n"/>
      <c r="CD23" s="56" t="n"/>
      <c r="CE23" s="57">
        <f>IFERROR(CC23*CD23, 0)</f>
        <v/>
      </c>
      <c r="CF23" s="55" t="n"/>
      <c r="CG23" s="56" t="n"/>
      <c r="CH23" s="57">
        <f>IFERROR(CF23*CG23, 0)</f>
        <v/>
      </c>
      <c r="CI23" s="55" t="n"/>
      <c r="CJ23" s="56" t="n"/>
      <c r="CK23" s="57">
        <f>IFERROR(CI23*CJ23, 0)</f>
        <v/>
      </c>
      <c r="CL23" s="55" t="n"/>
      <c r="CM23" s="56" t="n"/>
      <c r="CN23" s="57">
        <f>IFERROR(CL23*CM23, 0)</f>
        <v/>
      </c>
      <c r="CO23" s="55" t="n"/>
      <c r="CP23" s="56" t="n"/>
      <c r="CQ23" s="57">
        <f>IFERROR(CO23*CP23, 0)</f>
        <v/>
      </c>
      <c r="CR23" s="55" t="n"/>
      <c r="CS23" s="56" t="n"/>
      <c r="CT23" s="57">
        <f>IFERROR(CR23*CS23, 0)</f>
        <v/>
      </c>
      <c r="CU23" s="58">
        <f>IFERROR(SUM(F23,I23,L23,O23,R23,U23,X23,AA23,AD23,AG23,AJ23,AM23,AP23,AS23,AV23,AY23,BB23,BE23,BH23,BK23,BN23,BQ23,BT23,BW23,BZ23,CC23,CF23,CI23,CL23,CO23,CR23), 0)</f>
        <v/>
      </c>
      <c r="CV23" s="57">
        <f>IFERROR(AVERAGE(G23,J23,M23,P23,S23,V23,Y23,AB23,AE23,AH23,AK23,AN23,AQ23,AT23,AW23,AZ23,BC23,BF23,BI23,BL23,BO23,BR23,BU23,BX23,CA23,CD23,CG23,CJ23,CM23,CP23,CS23), 0)</f>
        <v/>
      </c>
      <c r="CW23" s="57">
        <f>CU23*CV23</f>
        <v/>
      </c>
    </row>
    <row r="24" ht="15.75" customHeight="1">
      <c r="A24" s="53" t="inlineStr">
        <is>
          <t>Hit vidrio</t>
        </is>
      </c>
      <c r="B24" s="53" t="inlineStr">
        <is>
          <t>Und</t>
        </is>
      </c>
      <c r="C24" s="55" t="n"/>
      <c r="D24" s="56" t="n"/>
      <c r="E24" s="57">
        <f>IFERROR(C24*D24, 0)</f>
        <v/>
      </c>
      <c r="F24" s="55" t="n"/>
      <c r="G24" s="56" t="n"/>
      <c r="H24" s="57">
        <f>IFERROR(F24*G24, 0)</f>
        <v/>
      </c>
      <c r="I24" s="55" t="n"/>
      <c r="J24" s="56" t="n"/>
      <c r="K24" s="57">
        <f>IFERROR(I24*J24, 0)</f>
        <v/>
      </c>
      <c r="L24" s="55" t="n"/>
      <c r="M24" s="56" t="n"/>
      <c r="N24" s="57">
        <f>IFERROR(L24*M24, 0)</f>
        <v/>
      </c>
      <c r="O24" s="55" t="n"/>
      <c r="P24" s="56" t="n"/>
      <c r="Q24" s="57">
        <f>IFERROR(O24*P24, 0)</f>
        <v/>
      </c>
      <c r="R24" s="55" t="n"/>
      <c r="S24" s="56" t="n"/>
      <c r="T24" s="57">
        <f>IFERROR(R24*S24, 0)</f>
        <v/>
      </c>
      <c r="U24" s="55" t="n"/>
      <c r="V24" s="56" t="n"/>
      <c r="W24" s="57">
        <f>IFERROR(U24*V24, 0)</f>
        <v/>
      </c>
      <c r="X24" s="55" t="n"/>
      <c r="Y24" s="56" t="n"/>
      <c r="Z24" s="57">
        <f>IFERROR(X24*Y24, 0)</f>
        <v/>
      </c>
      <c r="AA24" s="55" t="n"/>
      <c r="AB24" s="56" t="n"/>
      <c r="AC24" s="57">
        <f>IFERROR(AA24*AB24, 0)</f>
        <v/>
      </c>
      <c r="AD24" s="55" t="n"/>
      <c r="AE24" s="56" t="n"/>
      <c r="AF24" s="57">
        <f>IFERROR(AD24*AE24, 0)</f>
        <v/>
      </c>
      <c r="AG24" s="55" t="n"/>
      <c r="AH24" s="56" t="n"/>
      <c r="AI24" s="57">
        <f>IFERROR(AG24*AH24, 0)</f>
        <v/>
      </c>
      <c r="AJ24" s="55" t="n"/>
      <c r="AK24" s="56" t="n"/>
      <c r="AL24" s="57">
        <f>IFERROR(AJ24*AK24, 0)</f>
        <v/>
      </c>
      <c r="AM24" s="55" t="n"/>
      <c r="AN24" s="56" t="n"/>
      <c r="AO24" s="57">
        <f>IFERROR(AM24*AN24, 0)</f>
        <v/>
      </c>
      <c r="AP24" s="55" t="n"/>
      <c r="AQ24" s="56" t="n"/>
      <c r="AR24" s="57">
        <f>IFERROR(AP24*AQ24, 0)</f>
        <v/>
      </c>
      <c r="AS24" s="55" t="n"/>
      <c r="AT24" s="56" t="n"/>
      <c r="AU24" s="57">
        <f>IFERROR(AS24*AT24, 0)</f>
        <v/>
      </c>
      <c r="AV24" s="55" t="n"/>
      <c r="AW24" s="56" t="n"/>
      <c r="AX24" s="57">
        <f>IFERROR(AV24*AW24, 0)</f>
        <v/>
      </c>
      <c r="AY24" s="55" t="n"/>
      <c r="AZ24" s="56" t="n"/>
      <c r="BA24" s="57">
        <f>IFERROR(AY24*AZ24, 0)</f>
        <v/>
      </c>
      <c r="BB24" s="55" t="n"/>
      <c r="BC24" s="56" t="n"/>
      <c r="BD24" s="57">
        <f>IFERROR(BB24*BC24, 0)</f>
        <v/>
      </c>
      <c r="BE24" s="55" t="n"/>
      <c r="BF24" s="56" t="n"/>
      <c r="BG24" s="57">
        <f>IFERROR(BE24*BF24, 0)</f>
        <v/>
      </c>
      <c r="BH24" s="55" t="n"/>
      <c r="BI24" s="56" t="n"/>
      <c r="BJ24" s="57">
        <f>IFERROR(BH24*BI24, 0)</f>
        <v/>
      </c>
      <c r="BK24" s="55" t="n"/>
      <c r="BL24" s="56" t="n"/>
      <c r="BM24" s="57">
        <f>IFERROR(BK24*BL24, 0)</f>
        <v/>
      </c>
      <c r="BN24" s="55" t="n"/>
      <c r="BO24" s="56" t="n"/>
      <c r="BP24" s="57">
        <f>IFERROR(BN24*BO24, 0)</f>
        <v/>
      </c>
      <c r="BQ24" s="55" t="n"/>
      <c r="BR24" s="56" t="n"/>
      <c r="BS24" s="57">
        <f>IFERROR(BQ24*BR24, 0)</f>
        <v/>
      </c>
      <c r="BT24" s="55" t="n"/>
      <c r="BU24" s="56" t="n"/>
      <c r="BV24" s="57">
        <f>IFERROR(BT24*BU24, 0)</f>
        <v/>
      </c>
      <c r="BW24" s="55" t="n"/>
      <c r="BX24" s="56" t="n"/>
      <c r="BY24" s="57">
        <f>IFERROR(BW24*BX24, 0)</f>
        <v/>
      </c>
      <c r="BZ24" s="55" t="n"/>
      <c r="CA24" s="56" t="n"/>
      <c r="CB24" s="57">
        <f>IFERROR(BZ24*CA24, 0)</f>
        <v/>
      </c>
      <c r="CC24" s="55" t="n"/>
      <c r="CD24" s="56" t="n"/>
      <c r="CE24" s="57">
        <f>IFERROR(CC24*CD24, 0)</f>
        <v/>
      </c>
      <c r="CF24" s="55" t="n"/>
      <c r="CG24" s="56" t="n"/>
      <c r="CH24" s="57">
        <f>IFERROR(CF24*CG24, 0)</f>
        <v/>
      </c>
      <c r="CI24" s="55" t="n"/>
      <c r="CJ24" s="56" t="n"/>
      <c r="CK24" s="57">
        <f>IFERROR(CI24*CJ24, 0)</f>
        <v/>
      </c>
      <c r="CL24" s="55" t="n"/>
      <c r="CM24" s="56" t="n"/>
      <c r="CN24" s="57">
        <f>IFERROR(CL24*CM24, 0)</f>
        <v/>
      </c>
      <c r="CO24" s="55" t="n"/>
      <c r="CP24" s="56" t="n"/>
      <c r="CQ24" s="57">
        <f>IFERROR(CO24*CP24, 0)</f>
        <v/>
      </c>
      <c r="CR24" s="55" t="n"/>
      <c r="CS24" s="56" t="n"/>
      <c r="CT24" s="57">
        <f>IFERROR(CR24*CS24, 0)</f>
        <v/>
      </c>
      <c r="CU24" s="58">
        <f>IFERROR(SUM(F24,I24,L24,O24,R24,U24,X24,AA24,AD24,AG24,AJ24,AM24,AP24,AS24,AV24,AY24,BB24,BE24,BH24,BK24,BN24,BQ24,BT24,BW24,BZ24,CC24,CF24,CI24,CL24,CO24,CR24), 0)</f>
        <v/>
      </c>
      <c r="CV24" s="57">
        <f>IFERROR(AVERAGE(G24,J24,M24,P24,S24,V24,Y24,AB24,AE24,AH24,AK24,AN24,AQ24,AT24,AW24,AZ24,BC24,BF24,BI24,BL24,BO24,BR24,BU24,BX24,CA24,CD24,CG24,CJ24,CM24,CP24,CS24), 0)</f>
        <v/>
      </c>
      <c r="CW24" s="57">
        <f>CU24*CV24</f>
        <v/>
      </c>
    </row>
    <row r="25" ht="15.75" customHeight="1">
      <c r="A25" s="53" t="inlineStr">
        <is>
          <t>Jug del valle</t>
        </is>
      </c>
      <c r="B25" s="53" t="inlineStr">
        <is>
          <t>Und</t>
        </is>
      </c>
      <c r="C25" s="55" t="n"/>
      <c r="D25" s="56" t="n"/>
      <c r="E25" s="57">
        <f>IFERROR(C25*D25, 0)</f>
        <v/>
      </c>
      <c r="F25" s="55" t="n"/>
      <c r="G25" s="56" t="n"/>
      <c r="H25" s="57">
        <f>IFERROR(F25*G25, 0)</f>
        <v/>
      </c>
      <c r="I25" s="55" t="n"/>
      <c r="J25" s="56" t="n"/>
      <c r="K25" s="57">
        <f>IFERROR(I25*J25, 0)</f>
        <v/>
      </c>
      <c r="L25" s="55" t="n"/>
      <c r="M25" s="56" t="n"/>
      <c r="N25" s="57">
        <f>IFERROR(L25*M25, 0)</f>
        <v/>
      </c>
      <c r="O25" s="55" t="n"/>
      <c r="P25" s="56" t="n"/>
      <c r="Q25" s="57">
        <f>IFERROR(O25*P25, 0)</f>
        <v/>
      </c>
      <c r="R25" s="55" t="n"/>
      <c r="S25" s="56" t="n"/>
      <c r="T25" s="57">
        <f>IFERROR(R25*S25, 0)</f>
        <v/>
      </c>
      <c r="U25" s="55" t="n"/>
      <c r="V25" s="56" t="n"/>
      <c r="W25" s="57">
        <f>IFERROR(U25*V25, 0)</f>
        <v/>
      </c>
      <c r="X25" s="55" t="n"/>
      <c r="Y25" s="56" t="n"/>
      <c r="Z25" s="57">
        <f>IFERROR(X25*Y25, 0)</f>
        <v/>
      </c>
      <c r="AA25" s="55" t="n"/>
      <c r="AB25" s="56" t="n"/>
      <c r="AC25" s="57">
        <f>IFERROR(AA25*AB25, 0)</f>
        <v/>
      </c>
      <c r="AD25" s="55" t="n"/>
      <c r="AE25" s="56" t="n"/>
      <c r="AF25" s="57">
        <f>IFERROR(AD25*AE25, 0)</f>
        <v/>
      </c>
      <c r="AG25" s="55" t="n"/>
      <c r="AH25" s="56" t="n"/>
      <c r="AI25" s="57">
        <f>IFERROR(AG25*AH25, 0)</f>
        <v/>
      </c>
      <c r="AJ25" s="55" t="n"/>
      <c r="AK25" s="56" t="n"/>
      <c r="AL25" s="57">
        <f>IFERROR(AJ25*AK25, 0)</f>
        <v/>
      </c>
      <c r="AM25" s="55" t="n"/>
      <c r="AN25" s="56" t="n"/>
      <c r="AO25" s="57">
        <f>IFERROR(AM25*AN25, 0)</f>
        <v/>
      </c>
      <c r="AP25" s="55" t="n"/>
      <c r="AQ25" s="56" t="n"/>
      <c r="AR25" s="57">
        <f>IFERROR(AP25*AQ25, 0)</f>
        <v/>
      </c>
      <c r="AS25" s="55" t="n"/>
      <c r="AT25" s="56" t="n"/>
      <c r="AU25" s="57">
        <f>IFERROR(AS25*AT25, 0)</f>
        <v/>
      </c>
      <c r="AV25" s="55" t="n"/>
      <c r="AW25" s="56" t="n"/>
      <c r="AX25" s="57">
        <f>IFERROR(AV25*AW25, 0)</f>
        <v/>
      </c>
      <c r="AY25" s="55" t="n"/>
      <c r="AZ25" s="56" t="n"/>
      <c r="BA25" s="57">
        <f>IFERROR(AY25*AZ25, 0)</f>
        <v/>
      </c>
      <c r="BB25" s="55" t="n"/>
      <c r="BC25" s="56" t="n"/>
      <c r="BD25" s="57">
        <f>IFERROR(BB25*BC25, 0)</f>
        <v/>
      </c>
      <c r="BE25" s="55" t="n"/>
      <c r="BF25" s="56" t="n"/>
      <c r="BG25" s="57">
        <f>IFERROR(BE25*BF25, 0)</f>
        <v/>
      </c>
      <c r="BH25" s="55" t="n"/>
      <c r="BI25" s="56" t="n"/>
      <c r="BJ25" s="57">
        <f>IFERROR(BH25*BI25, 0)</f>
        <v/>
      </c>
      <c r="BK25" s="55" t="n"/>
      <c r="BL25" s="56" t="n"/>
      <c r="BM25" s="57">
        <f>IFERROR(BK25*BL25, 0)</f>
        <v/>
      </c>
      <c r="BN25" s="55" t="n"/>
      <c r="BO25" s="56" t="n"/>
      <c r="BP25" s="57">
        <f>IFERROR(BN25*BO25, 0)</f>
        <v/>
      </c>
      <c r="BQ25" s="55" t="n"/>
      <c r="BR25" s="56" t="n"/>
      <c r="BS25" s="57">
        <f>IFERROR(BQ25*BR25, 0)</f>
        <v/>
      </c>
      <c r="BT25" s="55" t="n"/>
      <c r="BU25" s="56" t="n"/>
      <c r="BV25" s="57">
        <f>IFERROR(BT25*BU25, 0)</f>
        <v/>
      </c>
      <c r="BW25" s="55" t="n"/>
      <c r="BX25" s="56" t="n"/>
      <c r="BY25" s="57">
        <f>IFERROR(BW25*BX25, 0)</f>
        <v/>
      </c>
      <c r="BZ25" s="55" t="n"/>
      <c r="CA25" s="56" t="n"/>
      <c r="CB25" s="57">
        <f>IFERROR(BZ25*CA25, 0)</f>
        <v/>
      </c>
      <c r="CC25" s="55" t="n"/>
      <c r="CD25" s="56" t="n"/>
      <c r="CE25" s="57">
        <f>IFERROR(CC25*CD25, 0)</f>
        <v/>
      </c>
      <c r="CF25" s="55" t="n"/>
      <c r="CG25" s="56" t="n"/>
      <c r="CH25" s="57">
        <f>IFERROR(CF25*CG25, 0)</f>
        <v/>
      </c>
      <c r="CI25" s="55" t="n"/>
      <c r="CJ25" s="56" t="n"/>
      <c r="CK25" s="57">
        <f>IFERROR(CI25*CJ25, 0)</f>
        <v/>
      </c>
      <c r="CL25" s="55" t="n"/>
      <c r="CM25" s="56" t="n"/>
      <c r="CN25" s="57">
        <f>IFERROR(CL25*CM25, 0)</f>
        <v/>
      </c>
      <c r="CO25" s="55" t="n"/>
      <c r="CP25" s="56" t="n"/>
      <c r="CQ25" s="57">
        <f>IFERROR(CO25*CP25, 0)</f>
        <v/>
      </c>
      <c r="CR25" s="55" t="n"/>
      <c r="CS25" s="56" t="n"/>
      <c r="CT25" s="57">
        <f>IFERROR(CR25*CS25, 0)</f>
        <v/>
      </c>
      <c r="CU25" s="58">
        <f>IFERROR(SUM(F25,I25,L25,O25,R25,U25,X25,AA25,AD25,AG25,AJ25,AM25,AP25,AS25,AV25,AY25,BB25,BE25,BH25,BK25,BN25,BQ25,BT25,BW25,BZ25,CC25,CF25,CI25,CL25,CO25,CR25), 0)</f>
        <v/>
      </c>
      <c r="CV25" s="57">
        <f>IFERROR(AVERAGE(G25,J25,M25,P25,S25,V25,Y25,AB25,AE25,AH25,AK25,AN25,AQ25,AT25,AW25,AZ25,BC25,BF25,BI25,BL25,BO25,BR25,BU25,BX25,CA25,CD25,CG25,CJ25,CM25,CP25,CS25), 0)</f>
        <v/>
      </c>
      <c r="CW25" s="57">
        <f>CU25*CV25</f>
        <v/>
      </c>
    </row>
    <row r="26" ht="15.75" customHeight="1">
      <c r="A26" s="53" t="inlineStr">
        <is>
          <t>Mr. tea</t>
        </is>
      </c>
      <c r="B26" s="53" t="inlineStr">
        <is>
          <t>Und</t>
        </is>
      </c>
      <c r="C26" s="55" t="n"/>
      <c r="D26" s="56" t="n"/>
      <c r="E26" s="57">
        <f>IFERROR(C26*D26, 0)</f>
        <v/>
      </c>
      <c r="F26" s="55" t="n"/>
      <c r="G26" s="56" t="n"/>
      <c r="H26" s="57">
        <f>IFERROR(F26*G26, 0)</f>
        <v/>
      </c>
      <c r="I26" s="55" t="n"/>
      <c r="J26" s="56" t="n"/>
      <c r="K26" s="57">
        <f>IFERROR(I26*J26, 0)</f>
        <v/>
      </c>
      <c r="L26" s="55" t="n"/>
      <c r="M26" s="56" t="n"/>
      <c r="N26" s="57">
        <f>IFERROR(L26*M26, 0)</f>
        <v/>
      </c>
      <c r="O26" s="55" t="n"/>
      <c r="P26" s="56" t="n"/>
      <c r="Q26" s="57">
        <f>IFERROR(O26*P26, 0)</f>
        <v/>
      </c>
      <c r="R26" s="55" t="n"/>
      <c r="S26" s="56" t="n"/>
      <c r="T26" s="57">
        <f>IFERROR(R26*S26, 0)</f>
        <v/>
      </c>
      <c r="U26" s="55" t="n"/>
      <c r="V26" s="56" t="n"/>
      <c r="W26" s="57">
        <f>IFERROR(U26*V26, 0)</f>
        <v/>
      </c>
      <c r="X26" s="55" t="n"/>
      <c r="Y26" s="56" t="n"/>
      <c r="Z26" s="57">
        <f>IFERROR(X26*Y26, 0)</f>
        <v/>
      </c>
      <c r="AA26" s="55" t="n"/>
      <c r="AB26" s="56" t="n"/>
      <c r="AC26" s="57">
        <f>IFERROR(AA26*AB26, 0)</f>
        <v/>
      </c>
      <c r="AD26" s="55" t="n"/>
      <c r="AE26" s="56" t="n"/>
      <c r="AF26" s="57">
        <f>IFERROR(AD26*AE26, 0)</f>
        <v/>
      </c>
      <c r="AG26" s="55" t="n"/>
      <c r="AH26" s="56" t="n"/>
      <c r="AI26" s="57">
        <f>IFERROR(AG26*AH26, 0)</f>
        <v/>
      </c>
      <c r="AJ26" s="55" t="n"/>
      <c r="AK26" s="56" t="n"/>
      <c r="AL26" s="57">
        <f>IFERROR(AJ26*AK26, 0)</f>
        <v/>
      </c>
      <c r="AM26" s="55" t="n"/>
      <c r="AN26" s="56" t="n"/>
      <c r="AO26" s="57">
        <f>IFERROR(AM26*AN26, 0)</f>
        <v/>
      </c>
      <c r="AP26" s="55" t="n"/>
      <c r="AQ26" s="56" t="n"/>
      <c r="AR26" s="57">
        <f>IFERROR(AP26*AQ26, 0)</f>
        <v/>
      </c>
      <c r="AS26" s="55" t="n"/>
      <c r="AT26" s="56" t="n"/>
      <c r="AU26" s="57">
        <f>IFERROR(AS26*AT26, 0)</f>
        <v/>
      </c>
      <c r="AV26" s="55" t="n"/>
      <c r="AW26" s="56" t="n"/>
      <c r="AX26" s="57">
        <f>IFERROR(AV26*AW26, 0)</f>
        <v/>
      </c>
      <c r="AY26" s="55" t="n"/>
      <c r="AZ26" s="56" t="n"/>
      <c r="BA26" s="57">
        <f>IFERROR(AY26*AZ26, 0)</f>
        <v/>
      </c>
      <c r="BB26" s="55" t="n"/>
      <c r="BC26" s="56" t="n"/>
      <c r="BD26" s="57">
        <f>IFERROR(BB26*BC26, 0)</f>
        <v/>
      </c>
      <c r="BE26" s="55" t="n"/>
      <c r="BF26" s="56" t="n"/>
      <c r="BG26" s="57">
        <f>IFERROR(BE26*BF26, 0)</f>
        <v/>
      </c>
      <c r="BH26" s="55" t="n"/>
      <c r="BI26" s="56" t="n"/>
      <c r="BJ26" s="57">
        <f>IFERROR(BH26*BI26, 0)</f>
        <v/>
      </c>
      <c r="BK26" s="55" t="n"/>
      <c r="BL26" s="56" t="n"/>
      <c r="BM26" s="57">
        <f>IFERROR(BK26*BL26, 0)</f>
        <v/>
      </c>
      <c r="BN26" s="55" t="n"/>
      <c r="BO26" s="56" t="n"/>
      <c r="BP26" s="57">
        <f>IFERROR(BN26*BO26, 0)</f>
        <v/>
      </c>
      <c r="BQ26" s="55" t="n"/>
      <c r="BR26" s="56" t="n"/>
      <c r="BS26" s="57">
        <f>IFERROR(BQ26*BR26, 0)</f>
        <v/>
      </c>
      <c r="BT26" s="55" t="n"/>
      <c r="BU26" s="56" t="n"/>
      <c r="BV26" s="57">
        <f>IFERROR(BT26*BU26, 0)</f>
        <v/>
      </c>
      <c r="BW26" s="55" t="n"/>
      <c r="BX26" s="56" t="n"/>
      <c r="BY26" s="57">
        <f>IFERROR(BW26*BX26, 0)</f>
        <v/>
      </c>
      <c r="BZ26" s="55" t="n"/>
      <c r="CA26" s="56" t="n"/>
      <c r="CB26" s="57">
        <f>IFERROR(BZ26*CA26, 0)</f>
        <v/>
      </c>
      <c r="CC26" s="55" t="n"/>
      <c r="CD26" s="56" t="n"/>
      <c r="CE26" s="57">
        <f>IFERROR(CC26*CD26, 0)</f>
        <v/>
      </c>
      <c r="CF26" s="55" t="n"/>
      <c r="CG26" s="56" t="n"/>
      <c r="CH26" s="57">
        <f>IFERROR(CF26*CG26, 0)</f>
        <v/>
      </c>
      <c r="CI26" s="55" t="n"/>
      <c r="CJ26" s="56" t="n"/>
      <c r="CK26" s="57">
        <f>IFERROR(CI26*CJ26, 0)</f>
        <v/>
      </c>
      <c r="CL26" s="55" t="n"/>
      <c r="CM26" s="56" t="n"/>
      <c r="CN26" s="57">
        <f>IFERROR(CL26*CM26, 0)</f>
        <v/>
      </c>
      <c r="CO26" s="55" t="n"/>
      <c r="CP26" s="56" t="n"/>
      <c r="CQ26" s="57">
        <f>IFERROR(CO26*CP26, 0)</f>
        <v/>
      </c>
      <c r="CR26" s="55" t="n"/>
      <c r="CS26" s="56" t="n"/>
      <c r="CT26" s="57">
        <f>IFERROR(CR26*CS26, 0)</f>
        <v/>
      </c>
      <c r="CU26" s="58">
        <f>IFERROR(SUM(F26,I26,L26,O26,R26,U26,X26,AA26,AD26,AG26,AJ26,AM26,AP26,AS26,AV26,AY26,BB26,BE26,BH26,BK26,BN26,BQ26,BT26,BW26,BZ26,CC26,CF26,CI26,CL26,CO26,CR26), 0)</f>
        <v/>
      </c>
      <c r="CV26" s="57">
        <f>IFERROR(AVERAGE(G26,J26,M26,P26,S26,V26,Y26,AB26,AE26,AH26,AK26,AN26,AQ26,AT26,AW26,AZ26,BC26,BF26,BI26,BL26,BO26,BR26,BU26,BX26,CA26,CD26,CG26,CJ26,CM26,CP26,CS26), 0)</f>
        <v/>
      </c>
      <c r="CW26" s="57">
        <f>CU26*CV26</f>
        <v/>
      </c>
    </row>
    <row r="27" ht="15.75" customHeight="1">
      <c r="A27" s="53" t="inlineStr">
        <is>
          <t>Pany malta</t>
        </is>
      </c>
      <c r="B27" s="53" t="inlineStr">
        <is>
          <t>Und</t>
        </is>
      </c>
      <c r="C27" s="55" t="n"/>
      <c r="D27" s="56" t="n"/>
      <c r="E27" s="57">
        <f>IFERROR(C27*D27, 0)</f>
        <v/>
      </c>
      <c r="F27" s="55" t="n"/>
      <c r="G27" s="56" t="n"/>
      <c r="H27" s="57">
        <f>IFERROR(F27*G27, 0)</f>
        <v/>
      </c>
      <c r="I27" s="55" t="n"/>
      <c r="J27" s="56" t="n"/>
      <c r="K27" s="57">
        <f>IFERROR(I27*J27, 0)</f>
        <v/>
      </c>
      <c r="L27" s="55" t="n"/>
      <c r="M27" s="56" t="n"/>
      <c r="N27" s="57">
        <f>IFERROR(L27*M27, 0)</f>
        <v/>
      </c>
      <c r="O27" s="55" t="n"/>
      <c r="P27" s="56" t="n"/>
      <c r="Q27" s="57">
        <f>IFERROR(O27*P27, 0)</f>
        <v/>
      </c>
      <c r="R27" s="55" t="n"/>
      <c r="S27" s="56" t="n"/>
      <c r="T27" s="57">
        <f>IFERROR(R27*S27, 0)</f>
        <v/>
      </c>
      <c r="U27" s="55" t="n"/>
      <c r="V27" s="56" t="n"/>
      <c r="W27" s="57">
        <f>IFERROR(U27*V27, 0)</f>
        <v/>
      </c>
      <c r="X27" s="55" t="n"/>
      <c r="Y27" s="56" t="n"/>
      <c r="Z27" s="57">
        <f>IFERROR(X27*Y27, 0)</f>
        <v/>
      </c>
      <c r="AA27" s="55" t="n"/>
      <c r="AB27" s="56" t="n"/>
      <c r="AC27" s="57">
        <f>IFERROR(AA27*AB27, 0)</f>
        <v/>
      </c>
      <c r="AD27" s="55" t="n"/>
      <c r="AE27" s="56" t="n"/>
      <c r="AF27" s="57">
        <f>IFERROR(AD27*AE27, 0)</f>
        <v/>
      </c>
      <c r="AG27" s="55" t="n"/>
      <c r="AH27" s="56" t="n"/>
      <c r="AI27" s="57">
        <f>IFERROR(AG27*AH27, 0)</f>
        <v/>
      </c>
      <c r="AJ27" s="55" t="n"/>
      <c r="AK27" s="56" t="n"/>
      <c r="AL27" s="57">
        <f>IFERROR(AJ27*AK27, 0)</f>
        <v/>
      </c>
      <c r="AM27" s="55" t="n"/>
      <c r="AN27" s="56" t="n"/>
      <c r="AO27" s="57">
        <f>IFERROR(AM27*AN27, 0)</f>
        <v/>
      </c>
      <c r="AP27" s="55" t="n"/>
      <c r="AQ27" s="56" t="n"/>
      <c r="AR27" s="57">
        <f>IFERROR(AP27*AQ27, 0)</f>
        <v/>
      </c>
      <c r="AS27" s="55" t="n"/>
      <c r="AT27" s="56" t="n"/>
      <c r="AU27" s="57">
        <f>IFERROR(AS27*AT27, 0)</f>
        <v/>
      </c>
      <c r="AV27" s="55" t="n"/>
      <c r="AW27" s="56" t="n"/>
      <c r="AX27" s="57">
        <f>IFERROR(AV27*AW27, 0)</f>
        <v/>
      </c>
      <c r="AY27" s="55" t="n"/>
      <c r="AZ27" s="56" t="n"/>
      <c r="BA27" s="57">
        <f>IFERROR(AY27*AZ27, 0)</f>
        <v/>
      </c>
      <c r="BB27" s="55" t="n"/>
      <c r="BC27" s="56" t="n"/>
      <c r="BD27" s="57">
        <f>IFERROR(BB27*BC27, 0)</f>
        <v/>
      </c>
      <c r="BE27" s="55" t="n"/>
      <c r="BF27" s="56" t="n"/>
      <c r="BG27" s="57">
        <f>IFERROR(BE27*BF27, 0)</f>
        <v/>
      </c>
      <c r="BH27" s="55" t="n"/>
      <c r="BI27" s="56" t="n"/>
      <c r="BJ27" s="57">
        <f>IFERROR(BH27*BI27, 0)</f>
        <v/>
      </c>
      <c r="BK27" s="55" t="n"/>
      <c r="BL27" s="56" t="n"/>
      <c r="BM27" s="57">
        <f>IFERROR(BK27*BL27, 0)</f>
        <v/>
      </c>
      <c r="BN27" s="55" t="n"/>
      <c r="BO27" s="56" t="n"/>
      <c r="BP27" s="57">
        <f>IFERROR(BN27*BO27, 0)</f>
        <v/>
      </c>
      <c r="BQ27" s="55" t="n"/>
      <c r="BR27" s="56" t="n"/>
      <c r="BS27" s="57">
        <f>IFERROR(BQ27*BR27, 0)</f>
        <v/>
      </c>
      <c r="BT27" s="55" t="n"/>
      <c r="BU27" s="56" t="n"/>
      <c r="BV27" s="57">
        <f>IFERROR(BT27*BU27, 0)</f>
        <v/>
      </c>
      <c r="BW27" s="55" t="n"/>
      <c r="BX27" s="56" t="n"/>
      <c r="BY27" s="57">
        <f>IFERROR(BW27*BX27, 0)</f>
        <v/>
      </c>
      <c r="BZ27" s="55" t="n"/>
      <c r="CA27" s="56" t="n"/>
      <c r="CB27" s="57">
        <f>IFERROR(BZ27*CA27, 0)</f>
        <v/>
      </c>
      <c r="CC27" s="55" t="n"/>
      <c r="CD27" s="56" t="n"/>
      <c r="CE27" s="57">
        <f>IFERROR(CC27*CD27, 0)</f>
        <v/>
      </c>
      <c r="CF27" s="55" t="n"/>
      <c r="CG27" s="56" t="n"/>
      <c r="CH27" s="57">
        <f>IFERROR(CF27*CG27, 0)</f>
        <v/>
      </c>
      <c r="CI27" s="55" t="n"/>
      <c r="CJ27" s="56" t="n"/>
      <c r="CK27" s="57">
        <f>IFERROR(CI27*CJ27, 0)</f>
        <v/>
      </c>
      <c r="CL27" s="55" t="n"/>
      <c r="CM27" s="56" t="n"/>
      <c r="CN27" s="57">
        <f>IFERROR(CL27*CM27, 0)</f>
        <v/>
      </c>
      <c r="CO27" s="55" t="n"/>
      <c r="CP27" s="56" t="n"/>
      <c r="CQ27" s="57">
        <f>IFERROR(CO27*CP27, 0)</f>
        <v/>
      </c>
      <c r="CR27" s="55" t="n"/>
      <c r="CS27" s="56" t="n"/>
      <c r="CT27" s="57">
        <f>IFERROR(CR27*CS27, 0)</f>
        <v/>
      </c>
      <c r="CU27" s="58">
        <f>IFERROR(SUM(F27,I27,L27,O27,R27,U27,X27,AA27,AD27,AG27,AJ27,AM27,AP27,AS27,AV27,AY27,BB27,BE27,BH27,BK27,BN27,BQ27,BT27,BW27,BZ27,CC27,CF27,CI27,CL27,CO27,CR27), 0)</f>
        <v/>
      </c>
      <c r="CV27" s="57">
        <f>IFERROR(AVERAGE(G27,J27,M27,P27,S27,V27,Y27,AB27,AE27,AH27,AK27,AN27,AQ27,AT27,AW27,AZ27,BC27,BF27,BI27,BL27,BO27,BR27,BU27,BX27,CA27,CD27,CG27,CJ27,CM27,CP27,CS27), 0)</f>
        <v/>
      </c>
      <c r="CW27" s="57">
        <f>CU27*CV27</f>
        <v/>
      </c>
    </row>
    <row r="28" ht="15.75" customHeight="1">
      <c r="A28" s="53" t="inlineStr">
        <is>
          <t>Soda</t>
        </is>
      </c>
      <c r="B28" s="53" t="inlineStr">
        <is>
          <t>Und</t>
        </is>
      </c>
      <c r="C28" s="55" t="n"/>
      <c r="D28" s="56" t="n"/>
      <c r="E28" s="57">
        <f>IFERROR(C28*D28, 0)</f>
        <v/>
      </c>
      <c r="F28" s="55" t="n"/>
      <c r="G28" s="56" t="n"/>
      <c r="H28" s="57">
        <f>IFERROR(F28*G28, 0)</f>
        <v/>
      </c>
      <c r="I28" s="55" t="n"/>
      <c r="J28" s="56" t="n"/>
      <c r="K28" s="57">
        <f>IFERROR(I28*J28, 0)</f>
        <v/>
      </c>
      <c r="L28" s="55" t="n"/>
      <c r="M28" s="56" t="n"/>
      <c r="N28" s="57">
        <f>IFERROR(L28*M28, 0)</f>
        <v/>
      </c>
      <c r="O28" s="55" t="n"/>
      <c r="P28" s="56" t="n"/>
      <c r="Q28" s="57">
        <f>IFERROR(O28*P28, 0)</f>
        <v/>
      </c>
      <c r="R28" s="55" t="n"/>
      <c r="S28" s="56" t="n"/>
      <c r="T28" s="57">
        <f>IFERROR(R28*S28, 0)</f>
        <v/>
      </c>
      <c r="U28" s="55" t="n"/>
      <c r="V28" s="56" t="n"/>
      <c r="W28" s="57">
        <f>IFERROR(U28*V28, 0)</f>
        <v/>
      </c>
      <c r="X28" s="55" t="n"/>
      <c r="Y28" s="56" t="n"/>
      <c r="Z28" s="57">
        <f>IFERROR(X28*Y28, 0)</f>
        <v/>
      </c>
      <c r="AA28" s="55" t="n"/>
      <c r="AB28" s="56" t="n"/>
      <c r="AC28" s="57">
        <f>IFERROR(AA28*AB28, 0)</f>
        <v/>
      </c>
      <c r="AD28" s="55" t="n"/>
      <c r="AE28" s="56" t="n"/>
      <c r="AF28" s="57">
        <f>IFERROR(AD28*AE28, 0)</f>
        <v/>
      </c>
      <c r="AG28" s="55" t="n"/>
      <c r="AH28" s="56" t="n"/>
      <c r="AI28" s="57">
        <f>IFERROR(AG28*AH28, 0)</f>
        <v/>
      </c>
      <c r="AJ28" s="55" t="n"/>
      <c r="AK28" s="56" t="n"/>
      <c r="AL28" s="57">
        <f>IFERROR(AJ28*AK28, 0)</f>
        <v/>
      </c>
      <c r="AM28" s="55" t="n"/>
      <c r="AN28" s="56" t="n"/>
      <c r="AO28" s="57">
        <f>IFERROR(AM28*AN28, 0)</f>
        <v/>
      </c>
      <c r="AP28" s="55" t="n"/>
      <c r="AQ28" s="56" t="n"/>
      <c r="AR28" s="57">
        <f>IFERROR(AP28*AQ28, 0)</f>
        <v/>
      </c>
      <c r="AS28" s="55" t="n"/>
      <c r="AT28" s="56" t="n"/>
      <c r="AU28" s="57">
        <f>IFERROR(AS28*AT28, 0)</f>
        <v/>
      </c>
      <c r="AV28" s="55" t="n"/>
      <c r="AW28" s="56" t="n"/>
      <c r="AX28" s="57">
        <f>IFERROR(AV28*AW28, 0)</f>
        <v/>
      </c>
      <c r="AY28" s="55" t="n"/>
      <c r="AZ28" s="56" t="n"/>
      <c r="BA28" s="57">
        <f>IFERROR(AY28*AZ28, 0)</f>
        <v/>
      </c>
      <c r="BB28" s="55" t="n"/>
      <c r="BC28" s="56" t="n"/>
      <c r="BD28" s="57">
        <f>IFERROR(BB28*BC28, 0)</f>
        <v/>
      </c>
      <c r="BE28" s="55" t="n"/>
      <c r="BF28" s="56" t="n"/>
      <c r="BG28" s="57">
        <f>IFERROR(BE28*BF28, 0)</f>
        <v/>
      </c>
      <c r="BH28" s="55" t="n"/>
      <c r="BI28" s="56" t="n"/>
      <c r="BJ28" s="57">
        <f>IFERROR(BH28*BI28, 0)</f>
        <v/>
      </c>
      <c r="BK28" s="55" t="n"/>
      <c r="BL28" s="56" t="n"/>
      <c r="BM28" s="57">
        <f>IFERROR(BK28*BL28, 0)</f>
        <v/>
      </c>
      <c r="BN28" s="55" t="n"/>
      <c r="BO28" s="56" t="n"/>
      <c r="BP28" s="57">
        <f>IFERROR(BN28*BO28, 0)</f>
        <v/>
      </c>
      <c r="BQ28" s="55" t="n"/>
      <c r="BR28" s="56" t="n"/>
      <c r="BS28" s="57">
        <f>IFERROR(BQ28*BR28, 0)</f>
        <v/>
      </c>
      <c r="BT28" s="55" t="n"/>
      <c r="BU28" s="56" t="n"/>
      <c r="BV28" s="57">
        <f>IFERROR(BT28*BU28, 0)</f>
        <v/>
      </c>
      <c r="BW28" s="55" t="n"/>
      <c r="BX28" s="56" t="n"/>
      <c r="BY28" s="57">
        <f>IFERROR(BW28*BX28, 0)</f>
        <v/>
      </c>
      <c r="BZ28" s="55" t="n"/>
      <c r="CA28" s="56" t="n"/>
      <c r="CB28" s="57">
        <f>IFERROR(BZ28*CA28, 0)</f>
        <v/>
      </c>
      <c r="CC28" s="55" t="n"/>
      <c r="CD28" s="56" t="n"/>
      <c r="CE28" s="57">
        <f>IFERROR(CC28*CD28, 0)</f>
        <v/>
      </c>
      <c r="CF28" s="55" t="n"/>
      <c r="CG28" s="56" t="n"/>
      <c r="CH28" s="57">
        <f>IFERROR(CF28*CG28, 0)</f>
        <v/>
      </c>
      <c r="CI28" s="55" t="n"/>
      <c r="CJ28" s="56" t="n"/>
      <c r="CK28" s="57">
        <f>IFERROR(CI28*CJ28, 0)</f>
        <v/>
      </c>
      <c r="CL28" s="55" t="n"/>
      <c r="CM28" s="56" t="n"/>
      <c r="CN28" s="57">
        <f>IFERROR(CL28*CM28, 0)</f>
        <v/>
      </c>
      <c r="CO28" s="55" t="n"/>
      <c r="CP28" s="56" t="n"/>
      <c r="CQ28" s="57">
        <f>IFERROR(CO28*CP28, 0)</f>
        <v/>
      </c>
      <c r="CR28" s="55" t="n"/>
      <c r="CS28" s="56" t="n"/>
      <c r="CT28" s="57">
        <f>IFERROR(CR28*CS28, 0)</f>
        <v/>
      </c>
      <c r="CU28" s="58">
        <f>IFERROR(SUM(F28,I28,L28,O28,R28,U28,X28,AA28,AD28,AG28,AJ28,AM28,AP28,AS28,AV28,AY28,BB28,BE28,BH28,BK28,BN28,BQ28,BT28,BW28,BZ28,CC28,CF28,CI28,CL28,CO28,CR28), 0)</f>
        <v/>
      </c>
      <c r="CV28" s="57">
        <f>IFERROR(AVERAGE(G28,J28,M28,P28,S28,V28,Y28,AB28,AE28,AH28,AK28,AN28,AQ28,AT28,AW28,AZ28,BC28,BF28,BI28,BL28,BO28,BR28,BU28,BX28,CA28,CD28,CG28,CJ28,CM28,CP28,CS28), 0)</f>
        <v/>
      </c>
      <c r="CW28" s="57">
        <f>CU28*CV28</f>
        <v/>
      </c>
    </row>
    <row r="29" ht="15.75" customHeight="1">
      <c r="A29" s="53" t="inlineStr">
        <is>
          <t>Vive 100</t>
        </is>
      </c>
      <c r="B29" s="53" t="inlineStr">
        <is>
          <t>Und</t>
        </is>
      </c>
      <c r="C29" s="55" t="n"/>
      <c r="D29" s="56" t="n"/>
      <c r="E29" s="57">
        <f>IFERROR(C29*D29, 0)</f>
        <v/>
      </c>
      <c r="F29" s="55" t="n"/>
      <c r="G29" s="56" t="n"/>
      <c r="H29" s="57">
        <f>IFERROR(F29*G29, 0)</f>
        <v/>
      </c>
      <c r="I29" s="55" t="n"/>
      <c r="J29" s="56" t="n"/>
      <c r="K29" s="57">
        <f>IFERROR(I29*J29, 0)</f>
        <v/>
      </c>
      <c r="L29" s="55" t="n"/>
      <c r="M29" s="56" t="n"/>
      <c r="N29" s="57">
        <f>IFERROR(L29*M29, 0)</f>
        <v/>
      </c>
      <c r="O29" s="55" t="n"/>
      <c r="P29" s="56" t="n"/>
      <c r="Q29" s="57">
        <f>IFERROR(O29*P29, 0)</f>
        <v/>
      </c>
      <c r="R29" s="55" t="n"/>
      <c r="S29" s="56" t="n"/>
      <c r="T29" s="57">
        <f>IFERROR(R29*S29, 0)</f>
        <v/>
      </c>
      <c r="U29" s="55" t="n"/>
      <c r="V29" s="56" t="n"/>
      <c r="W29" s="57">
        <f>IFERROR(U29*V29, 0)</f>
        <v/>
      </c>
      <c r="X29" s="55" t="n"/>
      <c r="Y29" s="56" t="n"/>
      <c r="Z29" s="57">
        <f>IFERROR(X29*Y29, 0)</f>
        <v/>
      </c>
      <c r="AA29" s="55" t="n"/>
      <c r="AB29" s="56" t="n"/>
      <c r="AC29" s="57">
        <f>IFERROR(AA29*AB29, 0)</f>
        <v/>
      </c>
      <c r="AD29" s="55" t="n"/>
      <c r="AE29" s="56" t="n"/>
      <c r="AF29" s="57">
        <f>IFERROR(AD29*AE29, 0)</f>
        <v/>
      </c>
      <c r="AG29" s="55" t="n"/>
      <c r="AH29" s="56" t="n"/>
      <c r="AI29" s="57">
        <f>IFERROR(AG29*AH29, 0)</f>
        <v/>
      </c>
      <c r="AJ29" s="55" t="n"/>
      <c r="AK29" s="56" t="n"/>
      <c r="AL29" s="57">
        <f>IFERROR(AJ29*AK29, 0)</f>
        <v/>
      </c>
      <c r="AM29" s="55" t="n"/>
      <c r="AN29" s="56" t="n"/>
      <c r="AO29" s="57">
        <f>IFERROR(AM29*AN29, 0)</f>
        <v/>
      </c>
      <c r="AP29" s="55" t="n"/>
      <c r="AQ29" s="56" t="n"/>
      <c r="AR29" s="57">
        <f>IFERROR(AP29*AQ29, 0)</f>
        <v/>
      </c>
      <c r="AS29" s="55" t="n"/>
      <c r="AT29" s="56" t="n"/>
      <c r="AU29" s="57">
        <f>IFERROR(AS29*AT29, 0)</f>
        <v/>
      </c>
      <c r="AV29" s="55" t="n"/>
      <c r="AW29" s="56" t="n"/>
      <c r="AX29" s="57">
        <f>IFERROR(AV29*AW29, 0)</f>
        <v/>
      </c>
      <c r="AY29" s="55" t="n"/>
      <c r="AZ29" s="56" t="n"/>
      <c r="BA29" s="57">
        <f>IFERROR(AY29*AZ29, 0)</f>
        <v/>
      </c>
      <c r="BB29" s="55" t="n"/>
      <c r="BC29" s="56" t="n"/>
      <c r="BD29" s="57">
        <f>IFERROR(BB29*BC29, 0)</f>
        <v/>
      </c>
      <c r="BE29" s="55" t="n"/>
      <c r="BF29" s="56" t="n"/>
      <c r="BG29" s="57">
        <f>IFERROR(BE29*BF29, 0)</f>
        <v/>
      </c>
      <c r="BH29" s="55" t="n"/>
      <c r="BI29" s="56" t="n"/>
      <c r="BJ29" s="57">
        <f>IFERROR(BH29*BI29, 0)</f>
        <v/>
      </c>
      <c r="BK29" s="55" t="n"/>
      <c r="BL29" s="56" t="n"/>
      <c r="BM29" s="57">
        <f>IFERROR(BK29*BL29, 0)</f>
        <v/>
      </c>
      <c r="BN29" s="55" t="n"/>
      <c r="BO29" s="56" t="n"/>
      <c r="BP29" s="57">
        <f>IFERROR(BN29*BO29, 0)</f>
        <v/>
      </c>
      <c r="BQ29" s="55" t="n"/>
      <c r="BR29" s="56" t="n"/>
      <c r="BS29" s="57">
        <f>IFERROR(BQ29*BR29, 0)</f>
        <v/>
      </c>
      <c r="BT29" s="55" t="n"/>
      <c r="BU29" s="56" t="n"/>
      <c r="BV29" s="57">
        <f>IFERROR(BT29*BU29, 0)</f>
        <v/>
      </c>
      <c r="BW29" s="55" t="n"/>
      <c r="BX29" s="56" t="n"/>
      <c r="BY29" s="57">
        <f>IFERROR(BW29*BX29, 0)</f>
        <v/>
      </c>
      <c r="BZ29" s="55" t="n"/>
      <c r="CA29" s="56" t="n"/>
      <c r="CB29" s="57">
        <f>IFERROR(BZ29*CA29, 0)</f>
        <v/>
      </c>
      <c r="CC29" s="55" t="n"/>
      <c r="CD29" s="56" t="n"/>
      <c r="CE29" s="57">
        <f>IFERROR(CC29*CD29, 0)</f>
        <v/>
      </c>
      <c r="CF29" s="55" t="n"/>
      <c r="CG29" s="56" t="n"/>
      <c r="CH29" s="57">
        <f>IFERROR(CF29*CG29, 0)</f>
        <v/>
      </c>
      <c r="CI29" s="55" t="n"/>
      <c r="CJ29" s="56" t="n"/>
      <c r="CK29" s="57">
        <f>IFERROR(CI29*CJ29, 0)</f>
        <v/>
      </c>
      <c r="CL29" s="55" t="n"/>
      <c r="CM29" s="56" t="n"/>
      <c r="CN29" s="57">
        <f>IFERROR(CL29*CM29, 0)</f>
        <v/>
      </c>
      <c r="CO29" s="55" t="n"/>
      <c r="CP29" s="56" t="n"/>
      <c r="CQ29" s="57">
        <f>IFERROR(CO29*CP29, 0)</f>
        <v/>
      </c>
      <c r="CR29" s="55" t="n"/>
      <c r="CS29" s="56" t="n"/>
      <c r="CT29" s="57">
        <f>IFERROR(CR29*CS29, 0)</f>
        <v/>
      </c>
      <c r="CU29" s="58">
        <f>IFERROR(SUM(F29,I29,L29,O29,R29,U29,X29,AA29,AD29,AG29,AJ29,AM29,AP29,AS29,AV29,AY29,BB29,BE29,BH29,BK29,BN29,BQ29,BT29,BW29,BZ29,CC29,CF29,CI29,CL29,CO29,CR29), 0)</f>
        <v/>
      </c>
      <c r="CV29" s="57">
        <f>IFERROR(AVERAGE(G29,J29,M29,P29,S29,V29,Y29,AB29,AE29,AH29,AK29,AN29,AQ29,AT29,AW29,AZ29,BC29,BF29,BI29,BL29,BO29,BR29,BU29,BX29,CA29,CD29,CG29,CJ29,CM29,CP29,CS29), 0)</f>
        <v/>
      </c>
      <c r="CW29" s="57">
        <f>CU29*CV29</f>
        <v/>
      </c>
    </row>
    <row r="30" ht="15.75" customHeight="1">
      <c r="A30" s="53" t="inlineStr">
        <is>
          <t xml:space="preserve">Pulpas de frutas </t>
        </is>
      </c>
      <c r="B30" s="59" t="inlineStr">
        <is>
          <t>Und</t>
        </is>
      </c>
      <c r="C30" s="60" t="n"/>
      <c r="D30" s="56" t="n"/>
      <c r="E30" s="57">
        <f>IFERROR(C30*D30, 0)</f>
        <v/>
      </c>
      <c r="F30" s="55" t="n"/>
      <c r="G30" s="56" t="n"/>
      <c r="H30" s="57">
        <f>IFERROR(F30*G30, 0)</f>
        <v/>
      </c>
      <c r="I30" s="55" t="n"/>
      <c r="J30" s="56" t="n"/>
      <c r="K30" s="57">
        <f>IFERROR(I30*J30, 0)</f>
        <v/>
      </c>
      <c r="L30" s="55" t="n"/>
      <c r="M30" s="56" t="n"/>
      <c r="N30" s="57">
        <f>IFERROR(L30*M30, 0)</f>
        <v/>
      </c>
      <c r="O30" s="55" t="n"/>
      <c r="P30" s="56" t="n"/>
      <c r="Q30" s="57">
        <f>IFERROR(O30*P30, 0)</f>
        <v/>
      </c>
      <c r="R30" s="55" t="n"/>
      <c r="S30" s="56" t="n"/>
      <c r="T30" s="57">
        <f>IFERROR(R30*S30, 0)</f>
        <v/>
      </c>
      <c r="U30" s="55" t="n"/>
      <c r="V30" s="56" t="n"/>
      <c r="W30" s="57">
        <f>IFERROR(U30*V30, 0)</f>
        <v/>
      </c>
      <c r="X30" s="55" t="n">
        <v>1.57</v>
      </c>
      <c r="Y30" s="56" t="n">
        <v>3300</v>
      </c>
      <c r="Z30" s="57" t="n">
        <v>5181</v>
      </c>
      <c r="AA30" s="55" t="n"/>
      <c r="AB30" s="56" t="n"/>
      <c r="AC30" s="57">
        <f>IFERROR(AA30*AB30, 0)</f>
        <v/>
      </c>
      <c r="AD30" s="55" t="n"/>
      <c r="AE30" s="56" t="n"/>
      <c r="AF30" s="57">
        <f>IFERROR(AD30*AE30, 0)</f>
        <v/>
      </c>
      <c r="AG30" s="55" t="n"/>
      <c r="AH30" s="56" t="n"/>
      <c r="AI30" s="57">
        <f>IFERROR(AG30*AH30, 0)</f>
        <v/>
      </c>
      <c r="AJ30" s="55" t="n"/>
      <c r="AK30" s="56" t="n"/>
      <c r="AL30" s="57">
        <f>IFERROR(AJ30*AK30, 0)</f>
        <v/>
      </c>
      <c r="AM30" s="55" t="n"/>
      <c r="AN30" s="56" t="n"/>
      <c r="AO30" s="57">
        <f>IFERROR(AM30*AN30, 0)</f>
        <v/>
      </c>
      <c r="AP30" s="55" t="n"/>
      <c r="AQ30" s="56" t="n"/>
      <c r="AR30" s="57">
        <f>IFERROR(AP30*AQ30, 0)</f>
        <v/>
      </c>
      <c r="AS30" s="55" t="n"/>
      <c r="AT30" s="56" t="n"/>
      <c r="AU30" s="57">
        <f>IFERROR(AS30*AT30, 0)</f>
        <v/>
      </c>
      <c r="AV30" s="55" t="n"/>
      <c r="AW30" s="56" t="n"/>
      <c r="AX30" s="57">
        <f>IFERROR(AV30*AW30, 0)</f>
        <v/>
      </c>
      <c r="AY30" s="55" t="n"/>
      <c r="AZ30" s="56" t="n"/>
      <c r="BA30" s="57">
        <f>IFERROR(AY30*AZ30, 0)</f>
        <v/>
      </c>
      <c r="BB30" s="55" t="n"/>
      <c r="BC30" s="56" t="n"/>
      <c r="BD30" s="57">
        <f>IFERROR(BB30*BC30, 0)</f>
        <v/>
      </c>
      <c r="BE30" s="55" t="n"/>
      <c r="BF30" s="56" t="n"/>
      <c r="BG30" s="57">
        <f>IFERROR(BE30*BF30, 0)</f>
        <v/>
      </c>
      <c r="BH30" s="55" t="n"/>
      <c r="BI30" s="56" t="n"/>
      <c r="BJ30" s="57">
        <f>IFERROR(BH30*BI30, 0)</f>
        <v/>
      </c>
      <c r="BK30" s="55" t="n"/>
      <c r="BL30" s="56" t="n"/>
      <c r="BM30" s="57">
        <f>IFERROR(BK30*BL30, 0)</f>
        <v/>
      </c>
      <c r="BN30" s="55" t="n"/>
      <c r="BO30" s="56" t="n"/>
      <c r="BP30" s="57">
        <f>IFERROR(BN30*BO30, 0)</f>
        <v/>
      </c>
      <c r="BQ30" s="55" t="n"/>
      <c r="BR30" s="56" t="n"/>
      <c r="BS30" s="57">
        <f>IFERROR(BQ30*BR30, 0)</f>
        <v/>
      </c>
      <c r="BT30" s="55" t="n"/>
      <c r="BU30" s="56" t="n"/>
      <c r="BV30" s="57">
        <f>IFERROR(BT30*BU30, 0)</f>
        <v/>
      </c>
      <c r="BW30" s="55" t="n"/>
      <c r="BX30" s="56" t="n"/>
      <c r="BY30" s="57">
        <f>IFERROR(BW30*BX30, 0)</f>
        <v/>
      </c>
      <c r="BZ30" s="55" t="n"/>
      <c r="CA30" s="56" t="n"/>
      <c r="CB30" s="57">
        <f>IFERROR(BZ30*CA30, 0)</f>
        <v/>
      </c>
      <c r="CC30" s="55" t="n"/>
      <c r="CD30" s="56" t="n"/>
      <c r="CE30" s="57">
        <f>IFERROR(CC30*CD30, 0)</f>
        <v/>
      </c>
      <c r="CF30" s="55" t="n"/>
      <c r="CG30" s="56" t="n"/>
      <c r="CH30" s="57">
        <f>IFERROR(CF30*CG30, 0)</f>
        <v/>
      </c>
      <c r="CI30" s="55" t="n"/>
      <c r="CJ30" s="56" t="n"/>
      <c r="CK30" s="57">
        <f>IFERROR(CI30*CJ30, 0)</f>
        <v/>
      </c>
      <c r="CL30" s="55" t="n"/>
      <c r="CM30" s="56" t="n"/>
      <c r="CN30" s="57">
        <f>IFERROR(CL30*CM30, 0)</f>
        <v/>
      </c>
      <c r="CO30" s="55" t="n"/>
      <c r="CP30" s="56" t="n"/>
      <c r="CQ30" s="57">
        <f>IFERROR(CO30*CP30, 0)</f>
        <v/>
      </c>
      <c r="CR30" s="55" t="n"/>
      <c r="CS30" s="56" t="n"/>
      <c r="CT30" s="57">
        <f>IFERROR(CR30*CS30, 0)</f>
        <v/>
      </c>
      <c r="CU30" s="58">
        <f>IFERROR(SUM(F30,I30,L30,O30,R30,U30,X30,AA30,AD30,AG30,AJ30,AM30,AP30,AS30,AV30,AY30,BB30,BE30,BH30,BK30,BN30,BQ30,BT30,BW30,BZ30,CC30,CF30,CI30,CL30,CO30,CR30), 0)</f>
        <v/>
      </c>
      <c r="CV30" s="57">
        <f>IFERROR(AVERAGE(G30,J30,M30,P30,S30,V30,Y30,AB30,AE30,AH30,AK30,AN30,AQ30,AT30,AW30,AZ30,BC30,BF30,BI30,BL30,BO30,BR30,BU30,BX30,CA30,CD30,CG30,CJ30,CM30,CP30,CS30), 0)</f>
        <v/>
      </c>
      <c r="CW30" s="57">
        <f>CU30*CV30</f>
        <v/>
      </c>
    </row>
    <row r="31" ht="15.75" customHeight="1">
      <c r="A31" s="53" t="inlineStr">
        <is>
          <t xml:space="preserve">Limonada coco </t>
        </is>
      </c>
      <c r="B31" s="53" t="inlineStr">
        <is>
          <t>Und</t>
        </is>
      </c>
      <c r="C31" s="55" t="n"/>
      <c r="D31" s="56" t="n"/>
      <c r="E31" s="57">
        <f>IFERROR(C31*D31, 0)</f>
        <v/>
      </c>
      <c r="F31" s="55" t="n"/>
      <c r="G31" s="56" t="n"/>
      <c r="H31" s="57">
        <f>IFERROR(F31*G31, 0)</f>
        <v/>
      </c>
      <c r="I31" s="55" t="n"/>
      <c r="J31" s="56" t="n"/>
      <c r="K31" s="57">
        <f>IFERROR(I31*J31, 0)</f>
        <v/>
      </c>
      <c r="L31" s="55" t="n"/>
      <c r="M31" s="56" t="n"/>
      <c r="N31" s="57">
        <f>IFERROR(L31*M31, 0)</f>
        <v/>
      </c>
      <c r="O31" s="55" t="n">
        <v>3</v>
      </c>
      <c r="P31" s="56" t="n">
        <v>26000</v>
      </c>
      <c r="Q31" s="57" t="n">
        <v>78000</v>
      </c>
      <c r="R31" s="55" t="n"/>
      <c r="S31" s="56" t="n"/>
      <c r="T31" s="57">
        <f>IFERROR(R31*S31, 0)</f>
        <v/>
      </c>
      <c r="U31" s="55" t="n"/>
      <c r="V31" s="56" t="n"/>
      <c r="W31" s="57">
        <f>IFERROR(U31*V31, 0)</f>
        <v/>
      </c>
      <c r="X31" s="55" t="n"/>
      <c r="Y31" s="56" t="n"/>
      <c r="Z31" s="57">
        <f>IFERROR(X31*Y31, 0)</f>
        <v/>
      </c>
      <c r="AA31" s="55" t="n"/>
      <c r="AB31" s="56" t="n"/>
      <c r="AC31" s="57">
        <f>IFERROR(AA31*AB31, 0)</f>
        <v/>
      </c>
      <c r="AD31" s="55" t="n"/>
      <c r="AE31" s="56" t="n"/>
      <c r="AF31" s="57">
        <f>IFERROR(AD31*AE31, 0)</f>
        <v/>
      </c>
      <c r="AG31" s="55" t="n"/>
      <c r="AH31" s="56" t="n"/>
      <c r="AI31" s="57">
        <f>IFERROR(AG31*AH31, 0)</f>
        <v/>
      </c>
      <c r="AJ31" s="55" t="n"/>
      <c r="AK31" s="56" t="n"/>
      <c r="AL31" s="57">
        <f>IFERROR(AJ31*AK31, 0)</f>
        <v/>
      </c>
      <c r="AM31" s="55" t="n"/>
      <c r="AN31" s="56" t="n"/>
      <c r="AO31" s="57">
        <f>IFERROR(AM31*AN31, 0)</f>
        <v/>
      </c>
      <c r="AP31" s="55" t="n"/>
      <c r="AQ31" s="56" t="n"/>
      <c r="AR31" s="57">
        <f>IFERROR(AP31*AQ31, 0)</f>
        <v/>
      </c>
      <c r="AS31" s="55" t="n">
        <v>3</v>
      </c>
      <c r="AT31" s="56" t="n">
        <v>26000</v>
      </c>
      <c r="AU31" s="57" t="n">
        <v>78000</v>
      </c>
      <c r="AV31" s="55" t="n"/>
      <c r="AW31" s="56" t="n"/>
      <c r="AX31" s="57">
        <f>IFERROR(AV31*AW31, 0)</f>
        <v/>
      </c>
      <c r="AY31" s="55" t="n"/>
      <c r="AZ31" s="56" t="n"/>
      <c r="BA31" s="57">
        <f>IFERROR(AY31*AZ31, 0)</f>
        <v/>
      </c>
      <c r="BB31" s="55" t="n"/>
      <c r="BC31" s="56" t="n"/>
      <c r="BD31" s="57">
        <f>IFERROR(BB31*BC31, 0)</f>
        <v/>
      </c>
      <c r="BE31" s="55" t="n">
        <v>3</v>
      </c>
      <c r="BF31" s="56" t="n">
        <v>26000</v>
      </c>
      <c r="BG31" s="57" t="n">
        <v>78000</v>
      </c>
      <c r="BH31" s="55" t="n"/>
      <c r="BI31" s="56" t="n"/>
      <c r="BJ31" s="57">
        <f>IFERROR(BH31*BI31, 0)</f>
        <v/>
      </c>
      <c r="BK31" s="55" t="n"/>
      <c r="BL31" s="56" t="n"/>
      <c r="BM31" s="57">
        <f>IFERROR(BK31*BL31, 0)</f>
        <v/>
      </c>
      <c r="BN31" s="55" t="n"/>
      <c r="BO31" s="56" t="n"/>
      <c r="BP31" s="57">
        <f>IFERROR(BN31*BO31, 0)</f>
        <v/>
      </c>
      <c r="BQ31" s="55" t="n"/>
      <c r="BR31" s="56" t="n"/>
      <c r="BS31" s="57">
        <f>IFERROR(BQ31*BR31, 0)</f>
        <v/>
      </c>
      <c r="BT31" s="55" t="n"/>
      <c r="BU31" s="56" t="n"/>
      <c r="BV31" s="57">
        <f>IFERROR(BT31*BU31, 0)</f>
        <v/>
      </c>
      <c r="BW31" s="55" t="n"/>
      <c r="BX31" s="56" t="n"/>
      <c r="BY31" s="57">
        <f>IFERROR(BW31*BX31, 0)</f>
        <v/>
      </c>
      <c r="BZ31" s="55" t="n"/>
      <c r="CA31" s="56" t="n"/>
      <c r="CB31" s="57">
        <f>IFERROR(BZ31*CA31, 0)</f>
        <v/>
      </c>
      <c r="CC31" s="55" t="n"/>
      <c r="CD31" s="56" t="n"/>
      <c r="CE31" s="57">
        <f>IFERROR(CC31*CD31, 0)</f>
        <v/>
      </c>
      <c r="CF31" s="55" t="n"/>
      <c r="CG31" s="56" t="n"/>
      <c r="CH31" s="57">
        <f>IFERROR(CF31*CG31, 0)</f>
        <v/>
      </c>
      <c r="CI31" s="55" t="n"/>
      <c r="CJ31" s="56" t="n"/>
      <c r="CK31" s="57">
        <f>IFERROR(CI31*CJ31, 0)</f>
        <v/>
      </c>
      <c r="CL31" s="55" t="n"/>
      <c r="CM31" s="56" t="n"/>
      <c r="CN31" s="57">
        <f>IFERROR(CL31*CM31, 0)</f>
        <v/>
      </c>
      <c r="CO31" s="55" t="n"/>
      <c r="CP31" s="56" t="n"/>
      <c r="CQ31" s="57">
        <f>IFERROR(CO31*CP31, 0)</f>
        <v/>
      </c>
      <c r="CR31" s="55" t="n"/>
      <c r="CS31" s="56" t="n"/>
      <c r="CT31" s="57">
        <f>IFERROR(CR31*CS31, 0)</f>
        <v/>
      </c>
      <c r="CU31" s="58">
        <f>IFERROR(SUM(F31,I31,L31,O31,R31,U31,X31,AA31,AD31,AG31,AJ31,AM31,AP31,AS31,AV31,AY31,BB31,BE31,BH31,BK31,BN31,BQ31,BT31,BW31,BZ31,CC31,CF31,CI31,CL31,CO31,CR31), 0)</f>
        <v/>
      </c>
      <c r="CV31" s="57">
        <f>IFERROR(AVERAGE(G31,J31,M31,P31,S31,V31,Y31,AB31,AE31,AH31,AK31,AN31,AQ31,AT31,AW31,AZ31,BC31,BF31,BI31,BL31,BO31,BR31,BU31,BX31,CA31,CD31,CG31,CJ31,CM31,CP31,CS31), 0)</f>
        <v/>
      </c>
      <c r="CW31" s="57">
        <f>CU31*CV31</f>
        <v/>
      </c>
    </row>
    <row r="32" ht="15.75" customHeight="1">
      <c r="A32" s="53" t="inlineStr">
        <is>
          <t>Mango 100gr</t>
        </is>
      </c>
      <c r="B32" s="53" t="inlineStr">
        <is>
          <t>Und</t>
        </is>
      </c>
      <c r="C32" s="55" t="n"/>
      <c r="D32" s="56" t="n"/>
      <c r="E32" s="57">
        <f>IFERROR(C32*D32, 0)</f>
        <v/>
      </c>
      <c r="F32" s="55" t="n"/>
      <c r="G32" s="56" t="n"/>
      <c r="H32" s="57">
        <f>IFERROR(F32*G32, 0)</f>
        <v/>
      </c>
      <c r="I32" s="55" t="n"/>
      <c r="J32" s="56" t="n"/>
      <c r="K32" s="57">
        <f>IFERROR(I32*J32, 0)</f>
        <v/>
      </c>
      <c r="L32" s="55" t="n"/>
      <c r="M32" s="56" t="n"/>
      <c r="N32" s="57">
        <f>IFERROR(L32*M32, 0)</f>
        <v/>
      </c>
      <c r="O32" s="55" t="n">
        <v>3</v>
      </c>
      <c r="P32" s="56" t="n">
        <v>12900</v>
      </c>
      <c r="Q32" s="57" t="n">
        <v>38700</v>
      </c>
      <c r="R32" s="55" t="n"/>
      <c r="S32" s="56" t="n"/>
      <c r="T32" s="57">
        <f>IFERROR(R32*S32, 0)</f>
        <v/>
      </c>
      <c r="U32" s="55" t="n"/>
      <c r="V32" s="56" t="n"/>
      <c r="W32" s="57">
        <f>IFERROR(U32*V32, 0)</f>
        <v/>
      </c>
      <c r="X32" s="55" t="n"/>
      <c r="Y32" s="56" t="n"/>
      <c r="Z32" s="57">
        <f>IFERROR(X32*Y32, 0)</f>
        <v/>
      </c>
      <c r="AA32" s="55" t="n"/>
      <c r="AB32" s="56" t="n"/>
      <c r="AC32" s="57">
        <f>IFERROR(AA32*AB32, 0)</f>
        <v/>
      </c>
      <c r="AD32" s="55" t="n"/>
      <c r="AE32" s="56" t="n"/>
      <c r="AF32" s="57">
        <f>IFERROR(AD32*AE32, 0)</f>
        <v/>
      </c>
      <c r="AG32" s="55" t="n">
        <v>7</v>
      </c>
      <c r="AH32" s="56" t="n">
        <v>12900</v>
      </c>
      <c r="AI32" s="57" t="n">
        <v>90300</v>
      </c>
      <c r="AJ32" s="55" t="n"/>
      <c r="AK32" s="56" t="n"/>
      <c r="AL32" s="57">
        <f>IFERROR(AJ32*AK32, 0)</f>
        <v/>
      </c>
      <c r="AM32" s="55" t="n"/>
      <c r="AN32" s="56" t="n"/>
      <c r="AO32" s="57">
        <f>IFERROR(AM32*AN32, 0)</f>
        <v/>
      </c>
      <c r="AP32" s="55" t="n"/>
      <c r="AQ32" s="56" t="n"/>
      <c r="AR32" s="57">
        <f>IFERROR(AP32*AQ32, 0)</f>
        <v/>
      </c>
      <c r="AS32" s="55" t="n"/>
      <c r="AT32" s="56" t="n"/>
      <c r="AU32" s="57">
        <f>IFERROR(AS32*AT32, 0)</f>
        <v/>
      </c>
      <c r="AV32" s="55" t="n"/>
      <c r="AW32" s="56" t="n"/>
      <c r="AX32" s="57">
        <f>IFERROR(AV32*AW32, 0)</f>
        <v/>
      </c>
      <c r="AY32" s="55" t="n"/>
      <c r="AZ32" s="56" t="n"/>
      <c r="BA32" s="57">
        <f>IFERROR(AY32*AZ32, 0)</f>
        <v/>
      </c>
      <c r="BB32" s="55" t="n"/>
      <c r="BC32" s="56" t="n"/>
      <c r="BD32" s="57">
        <f>IFERROR(BB32*BC32, 0)</f>
        <v/>
      </c>
      <c r="BE32" s="55" t="n">
        <v>3</v>
      </c>
      <c r="BF32" s="56" t="n">
        <v>12900</v>
      </c>
      <c r="BG32" s="57" t="n">
        <v>38700</v>
      </c>
      <c r="BH32" s="55" t="n"/>
      <c r="BI32" s="56" t="n"/>
      <c r="BJ32" s="57">
        <f>IFERROR(BH32*BI32, 0)</f>
        <v/>
      </c>
      <c r="BK32" s="55" t="n">
        <v>2</v>
      </c>
      <c r="BL32" s="56" t="n">
        <v>12900</v>
      </c>
      <c r="BM32" s="57" t="n">
        <v>25800</v>
      </c>
      <c r="BN32" s="55" t="n"/>
      <c r="BO32" s="56" t="n"/>
      <c r="BP32" s="57">
        <f>IFERROR(BN32*BO32, 0)</f>
        <v/>
      </c>
      <c r="BQ32" s="55" t="n"/>
      <c r="BR32" s="56" t="n"/>
      <c r="BS32" s="57">
        <f>IFERROR(BQ32*BR32, 0)</f>
        <v/>
      </c>
      <c r="BT32" s="55" t="n"/>
      <c r="BU32" s="56" t="n"/>
      <c r="BV32" s="57">
        <f>IFERROR(BT32*BU32, 0)</f>
        <v/>
      </c>
      <c r="BW32" s="55" t="n"/>
      <c r="BX32" s="56" t="n"/>
      <c r="BY32" s="57">
        <f>IFERROR(BW32*BX32, 0)</f>
        <v/>
      </c>
      <c r="BZ32" s="55" t="n"/>
      <c r="CA32" s="56" t="n"/>
      <c r="CB32" s="57">
        <f>IFERROR(BZ32*CA32, 0)</f>
        <v/>
      </c>
      <c r="CC32" s="55" t="n"/>
      <c r="CD32" s="56" t="n"/>
      <c r="CE32" s="57">
        <f>IFERROR(CC32*CD32, 0)</f>
        <v/>
      </c>
      <c r="CF32" s="55" t="n"/>
      <c r="CG32" s="56" t="n"/>
      <c r="CH32" s="57">
        <f>IFERROR(CF32*CG32, 0)</f>
        <v/>
      </c>
      <c r="CI32" s="55" t="n"/>
      <c r="CJ32" s="56" t="n"/>
      <c r="CK32" s="57">
        <f>IFERROR(CI32*CJ32, 0)</f>
        <v/>
      </c>
      <c r="CL32" s="55" t="n"/>
      <c r="CM32" s="56" t="n"/>
      <c r="CN32" s="57">
        <f>IFERROR(CL32*CM32, 0)</f>
        <v/>
      </c>
      <c r="CO32" s="55" t="n"/>
      <c r="CP32" s="56" t="n"/>
      <c r="CQ32" s="57">
        <f>IFERROR(CO32*CP32, 0)</f>
        <v/>
      </c>
      <c r="CR32" s="55" t="n"/>
      <c r="CS32" s="56" t="n"/>
      <c r="CT32" s="57">
        <f>IFERROR(CR32*CS32, 0)</f>
        <v/>
      </c>
      <c r="CU32" s="58">
        <f>IFERROR(SUM(F32,I32,L32,O32,R32,U32,X32,AA32,AD32,AG32,AJ32,AM32,AP32,AS32,AV32,AY32,BB32,BE32,BH32,BK32,BN32,BQ32,BT32,BW32,BZ32,CC32,CF32,CI32,CL32,CO32,CR32), 0)</f>
        <v/>
      </c>
      <c r="CV32" s="57">
        <f>IFERROR(AVERAGE(G32,J32,M32,P32,S32,V32,Y32,AB32,AE32,AH32,AK32,AN32,AQ32,AT32,AW32,AZ32,BC32,BF32,BI32,BL32,BO32,BR32,BU32,BX32,CA32,CD32,CG32,CJ32,CM32,CP32,CS32), 0)</f>
        <v/>
      </c>
      <c r="CW32" s="57">
        <f>CU32*CV32</f>
        <v/>
      </c>
    </row>
    <row r="33" ht="15.75" customHeight="1">
      <c r="A33" s="53" t="inlineStr">
        <is>
          <t>Mango biche</t>
        </is>
      </c>
      <c r="B33" s="53" t="inlineStr">
        <is>
          <t>Und</t>
        </is>
      </c>
      <c r="C33" s="55" t="n"/>
      <c r="D33" s="56" t="n"/>
      <c r="E33" s="57">
        <f>IFERROR(C33*D33, 0)</f>
        <v/>
      </c>
      <c r="F33" s="55" t="n"/>
      <c r="G33" s="56" t="n"/>
      <c r="H33" s="57">
        <f>IFERROR(F33*G33, 0)</f>
        <v/>
      </c>
      <c r="I33" s="55" t="n"/>
      <c r="J33" s="56" t="n"/>
      <c r="K33" s="57">
        <f>IFERROR(I33*J33, 0)</f>
        <v/>
      </c>
      <c r="L33" s="55" t="n"/>
      <c r="M33" s="56" t="n"/>
      <c r="N33" s="57">
        <f>IFERROR(L33*M33, 0)</f>
        <v/>
      </c>
      <c r="O33" s="55" t="n"/>
      <c r="P33" s="56" t="n"/>
      <c r="Q33" s="57">
        <f>IFERROR(O33*P33, 0)</f>
        <v/>
      </c>
      <c r="R33" s="55" t="n"/>
      <c r="S33" s="56" t="n"/>
      <c r="T33" s="57">
        <f>IFERROR(R33*S33, 0)</f>
        <v/>
      </c>
      <c r="U33" s="55" t="n"/>
      <c r="V33" s="56" t="n"/>
      <c r="W33" s="57">
        <f>IFERROR(U33*V33, 0)</f>
        <v/>
      </c>
      <c r="X33" s="55" t="n"/>
      <c r="Y33" s="56" t="n"/>
      <c r="Z33" s="57">
        <f>IFERROR(X33*Y33, 0)</f>
        <v/>
      </c>
      <c r="AA33" s="55" t="n"/>
      <c r="AB33" s="56" t="n"/>
      <c r="AC33" s="57">
        <f>IFERROR(AA33*AB33, 0)</f>
        <v/>
      </c>
      <c r="AD33" s="55" t="n"/>
      <c r="AE33" s="56" t="n"/>
      <c r="AF33" s="57">
        <f>IFERROR(AD33*AE33, 0)</f>
        <v/>
      </c>
      <c r="AG33" s="55" t="n"/>
      <c r="AH33" s="56" t="n"/>
      <c r="AI33" s="57">
        <f>IFERROR(AG33*AH33, 0)</f>
        <v/>
      </c>
      <c r="AJ33" s="55" t="n"/>
      <c r="AK33" s="56" t="n"/>
      <c r="AL33" s="57">
        <f>IFERROR(AJ33*AK33, 0)</f>
        <v/>
      </c>
      <c r="AM33" s="55" t="n"/>
      <c r="AN33" s="56" t="n"/>
      <c r="AO33" s="57">
        <f>IFERROR(AM33*AN33, 0)</f>
        <v/>
      </c>
      <c r="AP33" s="55" t="n"/>
      <c r="AQ33" s="56" t="n"/>
      <c r="AR33" s="57">
        <f>IFERROR(AP33*AQ33, 0)</f>
        <v/>
      </c>
      <c r="AS33" s="55" t="n"/>
      <c r="AT33" s="56" t="n"/>
      <c r="AU33" s="57">
        <f>IFERROR(AS33*AT33, 0)</f>
        <v/>
      </c>
      <c r="AV33" s="55" t="n"/>
      <c r="AW33" s="56" t="n"/>
      <c r="AX33" s="57">
        <f>IFERROR(AV33*AW33, 0)</f>
        <v/>
      </c>
      <c r="AY33" s="55" t="n"/>
      <c r="AZ33" s="56" t="n"/>
      <c r="BA33" s="57">
        <f>IFERROR(AY33*AZ33, 0)</f>
        <v/>
      </c>
      <c r="BB33" s="55" t="n"/>
      <c r="BC33" s="56" t="n"/>
      <c r="BD33" s="57">
        <f>IFERROR(BB33*BC33, 0)</f>
        <v/>
      </c>
      <c r="BE33" s="55" t="n"/>
      <c r="BF33" s="56" t="n"/>
      <c r="BG33" s="57">
        <f>IFERROR(BE33*BF33, 0)</f>
        <v/>
      </c>
      <c r="BH33" s="55" t="n"/>
      <c r="BI33" s="56" t="n"/>
      <c r="BJ33" s="57">
        <f>IFERROR(BH33*BI33, 0)</f>
        <v/>
      </c>
      <c r="BK33" s="55" t="n"/>
      <c r="BL33" s="56" t="n"/>
      <c r="BM33" s="57">
        <f>IFERROR(BK33*BL33, 0)</f>
        <v/>
      </c>
      <c r="BN33" s="55" t="n"/>
      <c r="BO33" s="56" t="n"/>
      <c r="BP33" s="57">
        <f>IFERROR(BN33*BO33, 0)</f>
        <v/>
      </c>
      <c r="BQ33" s="55" t="n"/>
      <c r="BR33" s="56" t="n"/>
      <c r="BS33" s="57">
        <f>IFERROR(BQ33*BR33, 0)</f>
        <v/>
      </c>
      <c r="BT33" s="55" t="n"/>
      <c r="BU33" s="56" t="n"/>
      <c r="BV33" s="57">
        <f>IFERROR(BT33*BU33, 0)</f>
        <v/>
      </c>
      <c r="BW33" s="55" t="n"/>
      <c r="BX33" s="56" t="n"/>
      <c r="BY33" s="57">
        <f>IFERROR(BW33*BX33, 0)</f>
        <v/>
      </c>
      <c r="BZ33" s="55" t="n"/>
      <c r="CA33" s="56" t="n"/>
      <c r="CB33" s="57">
        <f>IFERROR(BZ33*CA33, 0)</f>
        <v/>
      </c>
      <c r="CC33" s="55" t="n"/>
      <c r="CD33" s="56" t="n"/>
      <c r="CE33" s="57">
        <f>IFERROR(CC33*CD33, 0)</f>
        <v/>
      </c>
      <c r="CF33" s="55" t="n"/>
      <c r="CG33" s="56" t="n"/>
      <c r="CH33" s="57">
        <f>IFERROR(CF33*CG33, 0)</f>
        <v/>
      </c>
      <c r="CI33" s="55" t="n"/>
      <c r="CJ33" s="56" t="n"/>
      <c r="CK33" s="57">
        <f>IFERROR(CI33*CJ33, 0)</f>
        <v/>
      </c>
      <c r="CL33" s="55" t="n"/>
      <c r="CM33" s="56" t="n"/>
      <c r="CN33" s="57">
        <f>IFERROR(CL33*CM33, 0)</f>
        <v/>
      </c>
      <c r="CO33" s="55" t="n"/>
      <c r="CP33" s="56" t="n"/>
      <c r="CQ33" s="57">
        <f>IFERROR(CO33*CP33, 0)</f>
        <v/>
      </c>
      <c r="CR33" s="55" t="n"/>
      <c r="CS33" s="56" t="n"/>
      <c r="CT33" s="57">
        <f>IFERROR(CR33*CS33, 0)</f>
        <v/>
      </c>
      <c r="CU33" s="58">
        <f>IFERROR(SUM(F33,I33,L33,O33,R33,U33,X33,AA33,AD33,AG33,AJ33,AM33,AP33,AS33,AV33,AY33,BB33,BE33,BH33,BK33,BN33,BQ33,BT33,BW33,BZ33,CC33,CF33,CI33,CL33,CO33,CR33), 0)</f>
        <v/>
      </c>
      <c r="CV33" s="57">
        <f>IFERROR(AVERAGE(G33,J33,M33,P33,S33,V33,Y33,AB33,AE33,AH33,AK33,AN33,AQ33,AT33,AW33,AZ33,BC33,BF33,BI33,BL33,BO33,BR33,BU33,BX33,CA33,CD33,CG33,CJ33,CM33,CP33,CS33), 0)</f>
        <v/>
      </c>
      <c r="CW33" s="57">
        <f>CU33*CV33</f>
        <v/>
      </c>
    </row>
    <row r="34" ht="15.75" customHeight="1">
      <c r="A34" s="53" t="inlineStr">
        <is>
          <t>Maracuya 100gr</t>
        </is>
      </c>
      <c r="B34" s="53" t="inlineStr">
        <is>
          <t>Und</t>
        </is>
      </c>
      <c r="C34" s="55" t="n"/>
      <c r="D34" s="56" t="n"/>
      <c r="E34" s="57">
        <f>IFERROR(C34*D34, 0)</f>
        <v/>
      </c>
      <c r="F34" s="55" t="n"/>
      <c r="G34" s="56" t="n"/>
      <c r="H34" s="57">
        <f>IFERROR(F34*G34, 0)</f>
        <v/>
      </c>
      <c r="I34" s="55" t="n"/>
      <c r="J34" s="56" t="n"/>
      <c r="K34" s="57">
        <f>IFERROR(I34*J34, 0)</f>
        <v/>
      </c>
      <c r="L34" s="55" t="n"/>
      <c r="M34" s="56" t="n"/>
      <c r="N34" s="57">
        <f>IFERROR(L34*M34, 0)</f>
        <v/>
      </c>
      <c r="O34" s="55" t="n"/>
      <c r="P34" s="56" t="n"/>
      <c r="Q34" s="57">
        <f>IFERROR(O34*P34, 0)</f>
        <v/>
      </c>
      <c r="R34" s="55" t="n"/>
      <c r="S34" s="56" t="n"/>
      <c r="T34" s="57">
        <f>IFERROR(R34*S34, 0)</f>
        <v/>
      </c>
      <c r="U34" s="55" t="n"/>
      <c r="V34" s="56" t="n"/>
      <c r="W34" s="57">
        <f>IFERROR(U34*V34, 0)</f>
        <v/>
      </c>
      <c r="X34" s="55" t="n">
        <v>1.15</v>
      </c>
      <c r="Y34" s="56" t="n">
        <v>7500</v>
      </c>
      <c r="Z34" s="57" t="n">
        <v>8625</v>
      </c>
      <c r="AA34" s="55" t="n"/>
      <c r="AB34" s="56" t="n"/>
      <c r="AC34" s="57">
        <f>IFERROR(AA34*AB34, 0)</f>
        <v/>
      </c>
      <c r="AD34" s="55" t="n">
        <v>1</v>
      </c>
      <c r="AE34" s="56" t="n">
        <v>33000</v>
      </c>
      <c r="AF34" s="57" t="n">
        <v>33000</v>
      </c>
      <c r="AG34" s="55" t="n">
        <v>5</v>
      </c>
      <c r="AH34" s="56" t="n">
        <v>17950</v>
      </c>
      <c r="AI34" s="57" t="n">
        <v>89750</v>
      </c>
      <c r="AJ34" s="55" t="n"/>
      <c r="AK34" s="56" t="n"/>
      <c r="AL34" s="57">
        <f>IFERROR(AJ34*AK34, 0)</f>
        <v/>
      </c>
      <c r="AM34" s="55" t="n"/>
      <c r="AN34" s="56" t="n"/>
      <c r="AO34" s="57">
        <f>IFERROR(AM34*AN34, 0)</f>
        <v/>
      </c>
      <c r="AP34" s="55" t="n"/>
      <c r="AQ34" s="56" t="n"/>
      <c r="AR34" s="57">
        <f>IFERROR(AP34*AQ34, 0)</f>
        <v/>
      </c>
      <c r="AS34" s="55" t="n"/>
      <c r="AT34" s="56" t="n"/>
      <c r="AU34" s="57">
        <f>IFERROR(AS34*AT34, 0)</f>
        <v/>
      </c>
      <c r="AV34" s="55" t="n"/>
      <c r="AW34" s="56" t="n"/>
      <c r="AX34" s="57">
        <f>IFERROR(AV34*AW34, 0)</f>
        <v/>
      </c>
      <c r="AY34" s="55" t="n"/>
      <c r="AZ34" s="56" t="n"/>
      <c r="BA34" s="57">
        <f>IFERROR(AY34*AZ34, 0)</f>
        <v/>
      </c>
      <c r="BB34" s="55" t="n"/>
      <c r="BC34" s="56" t="n"/>
      <c r="BD34" s="57">
        <f>IFERROR(BB34*BC34, 0)</f>
        <v/>
      </c>
      <c r="BE34" s="55" t="n">
        <v>3</v>
      </c>
      <c r="BF34" s="56" t="n">
        <v>17950</v>
      </c>
      <c r="BG34" s="57" t="n">
        <v>53850</v>
      </c>
      <c r="BH34" s="55" t="n"/>
      <c r="BI34" s="56" t="n"/>
      <c r="BJ34" s="57">
        <f>IFERROR(BH34*BI34, 0)</f>
        <v/>
      </c>
      <c r="BK34" s="55" t="n">
        <v>2</v>
      </c>
      <c r="BL34" s="56" t="n">
        <v>16950</v>
      </c>
      <c r="BM34" s="57" t="n">
        <v>33900</v>
      </c>
      <c r="BN34" s="55" t="n"/>
      <c r="BO34" s="56" t="n"/>
      <c r="BP34" s="57">
        <f>IFERROR(BN34*BO34, 0)</f>
        <v/>
      </c>
      <c r="BQ34" s="55" t="n"/>
      <c r="BR34" s="56" t="n"/>
      <c r="BS34" s="57">
        <f>IFERROR(BQ34*BR34, 0)</f>
        <v/>
      </c>
      <c r="BT34" s="55" t="n"/>
      <c r="BU34" s="56" t="n"/>
      <c r="BV34" s="57">
        <f>IFERROR(BT34*BU34, 0)</f>
        <v/>
      </c>
      <c r="BW34" s="55" t="n"/>
      <c r="BX34" s="56" t="n"/>
      <c r="BY34" s="57">
        <f>IFERROR(BW34*BX34, 0)</f>
        <v/>
      </c>
      <c r="BZ34" s="55" t="n"/>
      <c r="CA34" s="56" t="n"/>
      <c r="CB34" s="57">
        <f>IFERROR(BZ34*CA34, 0)</f>
        <v/>
      </c>
      <c r="CC34" s="55" t="n"/>
      <c r="CD34" s="56" t="n"/>
      <c r="CE34" s="57">
        <f>IFERROR(CC34*CD34, 0)</f>
        <v/>
      </c>
      <c r="CF34" s="55" t="n"/>
      <c r="CG34" s="56" t="n"/>
      <c r="CH34" s="57">
        <f>IFERROR(CF34*CG34, 0)</f>
        <v/>
      </c>
      <c r="CI34" s="55" t="n"/>
      <c r="CJ34" s="56" t="n"/>
      <c r="CK34" s="57">
        <f>IFERROR(CI34*CJ34, 0)</f>
        <v/>
      </c>
      <c r="CL34" s="55" t="n"/>
      <c r="CM34" s="56" t="n"/>
      <c r="CN34" s="57">
        <f>IFERROR(CL34*CM34, 0)</f>
        <v/>
      </c>
      <c r="CO34" s="55" t="n"/>
      <c r="CP34" s="56" t="n"/>
      <c r="CQ34" s="57">
        <f>IFERROR(CO34*CP34, 0)</f>
        <v/>
      </c>
      <c r="CR34" s="55" t="n"/>
      <c r="CS34" s="56" t="n"/>
      <c r="CT34" s="57">
        <f>IFERROR(CR34*CS34, 0)</f>
        <v/>
      </c>
      <c r="CU34" s="58">
        <f>IFERROR(SUM(F34,I34,L34,O34,R34,U34,X34,AA34,AD34,AG34,AJ34,AM34,AP34,AS34,AV34,AY34,BB34,BE34,BH34,BK34,BN34,BQ34,BT34,BW34,BZ34,CC34,CF34,CI34,CL34,CO34,CR34), 0)</f>
        <v/>
      </c>
      <c r="CV34" s="57">
        <f>IFERROR(AVERAGE(G34,J34,M34,P34,S34,V34,Y34,AB34,AE34,AH34,AK34,AN34,AQ34,AT34,AW34,AZ34,BC34,BF34,BI34,BL34,BO34,BR34,BU34,BX34,CA34,CD34,CG34,CJ34,CM34,CP34,CS34), 0)</f>
        <v/>
      </c>
      <c r="CW34" s="57">
        <f>CU34*CV34</f>
        <v/>
      </c>
    </row>
    <row r="35" ht="15.75" customHeight="1">
      <c r="A35" s="53" t="inlineStr">
        <is>
          <t>Lulo 100 gr</t>
        </is>
      </c>
      <c r="B35" s="53" t="inlineStr">
        <is>
          <t>Und</t>
        </is>
      </c>
      <c r="C35" s="55" t="n"/>
      <c r="D35" s="56" t="n"/>
      <c r="E35" s="57">
        <f>IFERROR(C35*D35, 0)</f>
        <v/>
      </c>
      <c r="F35" s="55" t="n"/>
      <c r="G35" s="56" t="n"/>
      <c r="H35" s="57">
        <f>IFERROR(F35*G35, 0)</f>
        <v/>
      </c>
      <c r="I35" s="55" t="n"/>
      <c r="J35" s="56" t="n"/>
      <c r="K35" s="57">
        <f>IFERROR(I35*J35, 0)</f>
        <v/>
      </c>
      <c r="L35" s="55" t="n"/>
      <c r="M35" s="56" t="n"/>
      <c r="N35" s="57">
        <f>IFERROR(L35*M35, 0)</f>
        <v/>
      </c>
      <c r="O35" s="55" t="n">
        <v>2</v>
      </c>
      <c r="P35" s="56" t="n">
        <v>12600</v>
      </c>
      <c r="Q35" s="57" t="n">
        <v>25200</v>
      </c>
      <c r="R35" s="55" t="n"/>
      <c r="S35" s="56" t="n"/>
      <c r="T35" s="57">
        <f>IFERROR(R35*S35, 0)</f>
        <v/>
      </c>
      <c r="U35" s="55" t="n"/>
      <c r="V35" s="56" t="n"/>
      <c r="W35" s="57">
        <f>IFERROR(U35*V35, 0)</f>
        <v/>
      </c>
      <c r="X35" s="55" t="n"/>
      <c r="Y35" s="56" t="n"/>
      <c r="Z35" s="57">
        <f>IFERROR(X35*Y35, 0)</f>
        <v/>
      </c>
      <c r="AA35" s="55" t="n"/>
      <c r="AB35" s="56" t="n"/>
      <c r="AC35" s="57">
        <f>IFERROR(AA35*AB35, 0)</f>
        <v/>
      </c>
      <c r="AD35" s="55" t="n"/>
      <c r="AE35" s="56" t="n"/>
      <c r="AF35" s="57">
        <f>IFERROR(AD35*AE35, 0)</f>
        <v/>
      </c>
      <c r="AG35" s="55" t="n">
        <v>3</v>
      </c>
      <c r="AH35" s="56" t="n">
        <v>12600</v>
      </c>
      <c r="AI35" s="57" t="n">
        <v>37800</v>
      </c>
      <c r="AJ35" s="55" t="n"/>
      <c r="AK35" s="56" t="n"/>
      <c r="AL35" s="57">
        <f>IFERROR(AJ35*AK35, 0)</f>
        <v/>
      </c>
      <c r="AM35" s="55" t="n"/>
      <c r="AN35" s="56" t="n"/>
      <c r="AO35" s="57">
        <f>IFERROR(AM35*AN35, 0)</f>
        <v/>
      </c>
      <c r="AP35" s="55" t="n"/>
      <c r="AQ35" s="56" t="n"/>
      <c r="AR35" s="57">
        <f>IFERROR(AP35*AQ35, 0)</f>
        <v/>
      </c>
      <c r="AS35" s="55" t="n"/>
      <c r="AT35" s="56" t="n"/>
      <c r="AU35" s="57">
        <f>IFERROR(AS35*AT35, 0)</f>
        <v/>
      </c>
      <c r="AV35" s="55" t="n"/>
      <c r="AW35" s="56" t="n"/>
      <c r="AX35" s="57">
        <f>IFERROR(AV35*AW35, 0)</f>
        <v/>
      </c>
      <c r="AY35" s="55" t="n"/>
      <c r="AZ35" s="56" t="n"/>
      <c r="BA35" s="57">
        <f>IFERROR(AY35*AZ35, 0)</f>
        <v/>
      </c>
      <c r="BB35" s="55" t="n"/>
      <c r="BC35" s="56" t="n"/>
      <c r="BD35" s="57">
        <f>IFERROR(BB35*BC35, 0)</f>
        <v/>
      </c>
      <c r="BE35" s="55" t="n">
        <v>4</v>
      </c>
      <c r="BF35" s="56" t="n">
        <v>12600</v>
      </c>
      <c r="BG35" s="57" t="n">
        <v>50400</v>
      </c>
      <c r="BH35" s="55" t="n"/>
      <c r="BI35" s="56" t="n"/>
      <c r="BJ35" s="57">
        <f>IFERROR(BH35*BI35, 0)</f>
        <v/>
      </c>
      <c r="BK35" s="55" t="n">
        <v>2</v>
      </c>
      <c r="BL35" s="56" t="n">
        <v>12600</v>
      </c>
      <c r="BM35" s="57" t="n">
        <v>25200</v>
      </c>
      <c r="BN35" s="55" t="n"/>
      <c r="BO35" s="56" t="n"/>
      <c r="BP35" s="57">
        <f>IFERROR(BN35*BO35, 0)</f>
        <v/>
      </c>
      <c r="BQ35" s="55" t="n"/>
      <c r="BR35" s="56" t="n"/>
      <c r="BS35" s="57">
        <f>IFERROR(BQ35*BR35, 0)</f>
        <v/>
      </c>
      <c r="BT35" s="55" t="n"/>
      <c r="BU35" s="56" t="n"/>
      <c r="BV35" s="57">
        <f>IFERROR(BT35*BU35, 0)</f>
        <v/>
      </c>
      <c r="BW35" s="55" t="n"/>
      <c r="BX35" s="56" t="n"/>
      <c r="BY35" s="57">
        <f>IFERROR(BW35*BX35, 0)</f>
        <v/>
      </c>
      <c r="BZ35" s="55" t="n"/>
      <c r="CA35" s="56" t="n"/>
      <c r="CB35" s="57">
        <f>IFERROR(BZ35*CA35, 0)</f>
        <v/>
      </c>
      <c r="CC35" s="55" t="n"/>
      <c r="CD35" s="56" t="n"/>
      <c r="CE35" s="57">
        <f>IFERROR(CC35*CD35, 0)</f>
        <v/>
      </c>
      <c r="CF35" s="55" t="n"/>
      <c r="CG35" s="56" t="n"/>
      <c r="CH35" s="57">
        <f>IFERROR(CF35*CG35, 0)</f>
        <v/>
      </c>
      <c r="CI35" s="55" t="n"/>
      <c r="CJ35" s="56" t="n"/>
      <c r="CK35" s="57">
        <f>IFERROR(CI35*CJ35, 0)</f>
        <v/>
      </c>
      <c r="CL35" s="55" t="n"/>
      <c r="CM35" s="56" t="n"/>
      <c r="CN35" s="57">
        <f>IFERROR(CL35*CM35, 0)</f>
        <v/>
      </c>
      <c r="CO35" s="55" t="n"/>
      <c r="CP35" s="56" t="n"/>
      <c r="CQ35" s="57">
        <f>IFERROR(CO35*CP35, 0)</f>
        <v/>
      </c>
      <c r="CR35" s="55" t="n"/>
      <c r="CS35" s="56" t="n"/>
      <c r="CT35" s="57">
        <f>IFERROR(CR35*CS35, 0)</f>
        <v/>
      </c>
      <c r="CU35" s="58">
        <f>IFERROR(SUM(F35,I35,L35,O35,R35,U35,X35,AA35,AD35,AG35,AJ35,AM35,AP35,AS35,AV35,AY35,BB35,BE35,BH35,BK35,BN35,BQ35,BT35,BW35,BZ35,CC35,CF35,CI35,CL35,CO35,CR35), 0)</f>
        <v/>
      </c>
      <c r="CV35" s="57">
        <f>IFERROR(AVERAGE(G35,J35,M35,P35,S35,V35,Y35,AB35,AE35,AH35,AK35,AN35,AQ35,AT35,AW35,AZ35,BC35,BF35,BI35,BL35,BO35,BR35,BU35,BX35,CA35,CD35,CG35,CJ35,CM35,CP35,CS35), 0)</f>
        <v/>
      </c>
      <c r="CW35" s="57">
        <f>CU35*CV35</f>
        <v/>
      </c>
    </row>
    <row r="36" ht="15.75" customHeight="1">
      <c r="A36" s="53" t="inlineStr">
        <is>
          <t>Guanabana 100g</t>
        </is>
      </c>
      <c r="B36" s="53" t="inlineStr">
        <is>
          <t>Und</t>
        </is>
      </c>
      <c r="C36" s="55" t="n"/>
      <c r="D36" s="56" t="n"/>
      <c r="E36" s="57">
        <f>IFERROR(C36*D36, 0)</f>
        <v/>
      </c>
      <c r="F36" s="55" t="n"/>
      <c r="G36" s="56" t="n"/>
      <c r="H36" s="57">
        <f>IFERROR(F36*G36, 0)</f>
        <v/>
      </c>
      <c r="I36" s="55" t="n"/>
      <c r="J36" s="56" t="n"/>
      <c r="K36" s="57">
        <f>IFERROR(I36*J36, 0)</f>
        <v/>
      </c>
      <c r="L36" s="55" t="n"/>
      <c r="M36" s="56" t="n"/>
      <c r="N36" s="57">
        <f>IFERROR(L36*M36, 0)</f>
        <v/>
      </c>
      <c r="O36" s="55" t="n">
        <v>1</v>
      </c>
      <c r="P36" s="56" t="n">
        <v>15500</v>
      </c>
      <c r="Q36" s="57" t="n">
        <v>15500</v>
      </c>
      <c r="R36" s="55" t="n"/>
      <c r="S36" s="56" t="n"/>
      <c r="T36" s="57">
        <f>IFERROR(R36*S36, 0)</f>
        <v/>
      </c>
      <c r="U36" s="55" t="n"/>
      <c r="V36" s="56" t="n"/>
      <c r="W36" s="57">
        <f>IFERROR(U36*V36, 0)</f>
        <v/>
      </c>
      <c r="X36" s="55" t="n"/>
      <c r="Y36" s="56" t="n"/>
      <c r="Z36" s="57">
        <f>IFERROR(X36*Y36, 0)</f>
        <v/>
      </c>
      <c r="AA36" s="55" t="n"/>
      <c r="AB36" s="56" t="n"/>
      <c r="AC36" s="57">
        <f>IFERROR(AA36*AB36, 0)</f>
        <v/>
      </c>
      <c r="AD36" s="55" t="n"/>
      <c r="AE36" s="56" t="n"/>
      <c r="AF36" s="57">
        <f>IFERROR(AD36*AE36, 0)</f>
        <v/>
      </c>
      <c r="AG36" s="55" t="n">
        <v>3</v>
      </c>
      <c r="AH36" s="56" t="n">
        <v>15500</v>
      </c>
      <c r="AI36" s="57" t="n">
        <v>46500</v>
      </c>
      <c r="AJ36" s="55" t="n"/>
      <c r="AK36" s="56" t="n"/>
      <c r="AL36" s="57">
        <f>IFERROR(AJ36*AK36, 0)</f>
        <v/>
      </c>
      <c r="AM36" s="55" t="n"/>
      <c r="AN36" s="56" t="n"/>
      <c r="AO36" s="57">
        <f>IFERROR(AM36*AN36, 0)</f>
        <v/>
      </c>
      <c r="AP36" s="55" t="n"/>
      <c r="AQ36" s="56" t="n"/>
      <c r="AR36" s="57">
        <f>IFERROR(AP36*AQ36, 0)</f>
        <v/>
      </c>
      <c r="AS36" s="55" t="n"/>
      <c r="AT36" s="56" t="n"/>
      <c r="AU36" s="57">
        <f>IFERROR(AS36*AT36, 0)</f>
        <v/>
      </c>
      <c r="AV36" s="55" t="n"/>
      <c r="AW36" s="56" t="n"/>
      <c r="AX36" s="57">
        <f>IFERROR(AV36*AW36, 0)</f>
        <v/>
      </c>
      <c r="AY36" s="55" t="n"/>
      <c r="AZ36" s="56" t="n"/>
      <c r="BA36" s="57">
        <f>IFERROR(AY36*AZ36, 0)</f>
        <v/>
      </c>
      <c r="BB36" s="55" t="n"/>
      <c r="BC36" s="56" t="n"/>
      <c r="BD36" s="57">
        <f>IFERROR(BB36*BC36, 0)</f>
        <v/>
      </c>
      <c r="BE36" s="55" t="n">
        <v>1</v>
      </c>
      <c r="BF36" s="56" t="n">
        <v>15500</v>
      </c>
      <c r="BG36" s="57" t="n">
        <v>15500</v>
      </c>
      <c r="BH36" s="55" t="n"/>
      <c r="BI36" s="56" t="n"/>
      <c r="BJ36" s="57">
        <f>IFERROR(BH36*BI36, 0)</f>
        <v/>
      </c>
      <c r="BK36" s="55" t="n">
        <v>1</v>
      </c>
      <c r="BL36" s="56" t="n">
        <v>15500</v>
      </c>
      <c r="BM36" s="57" t="n">
        <v>15500</v>
      </c>
      <c r="BN36" s="55" t="n"/>
      <c r="BO36" s="56" t="n"/>
      <c r="BP36" s="57">
        <f>IFERROR(BN36*BO36, 0)</f>
        <v/>
      </c>
      <c r="BQ36" s="55" t="n"/>
      <c r="BR36" s="56" t="n"/>
      <c r="BS36" s="57">
        <f>IFERROR(BQ36*BR36, 0)</f>
        <v/>
      </c>
      <c r="BT36" s="55" t="n"/>
      <c r="BU36" s="56" t="n"/>
      <c r="BV36" s="57">
        <f>IFERROR(BT36*BU36, 0)</f>
        <v/>
      </c>
      <c r="BW36" s="55" t="n"/>
      <c r="BX36" s="56" t="n"/>
      <c r="BY36" s="57">
        <f>IFERROR(BW36*BX36, 0)</f>
        <v/>
      </c>
      <c r="BZ36" s="55" t="n"/>
      <c r="CA36" s="56" t="n"/>
      <c r="CB36" s="57">
        <f>IFERROR(BZ36*CA36, 0)</f>
        <v/>
      </c>
      <c r="CC36" s="55" t="n"/>
      <c r="CD36" s="56" t="n"/>
      <c r="CE36" s="57">
        <f>IFERROR(CC36*CD36, 0)</f>
        <v/>
      </c>
      <c r="CF36" s="55" t="n"/>
      <c r="CG36" s="56" t="n"/>
      <c r="CH36" s="57">
        <f>IFERROR(CF36*CG36, 0)</f>
        <v/>
      </c>
      <c r="CI36" s="55" t="n"/>
      <c r="CJ36" s="56" t="n"/>
      <c r="CK36" s="57">
        <f>IFERROR(CI36*CJ36, 0)</f>
        <v/>
      </c>
      <c r="CL36" s="55" t="n"/>
      <c r="CM36" s="56" t="n"/>
      <c r="CN36" s="57">
        <f>IFERROR(CL36*CM36, 0)</f>
        <v/>
      </c>
      <c r="CO36" s="55" t="n"/>
      <c r="CP36" s="56" t="n"/>
      <c r="CQ36" s="57">
        <f>IFERROR(CO36*CP36, 0)</f>
        <v/>
      </c>
      <c r="CR36" s="55" t="n"/>
      <c r="CS36" s="56" t="n"/>
      <c r="CT36" s="57">
        <f>IFERROR(CR36*CS36, 0)</f>
        <v/>
      </c>
      <c r="CU36" s="58">
        <f>IFERROR(SUM(F36,I36,L36,O36,R36,U36,X36,AA36,AD36,AG36,AJ36,AM36,AP36,AS36,AV36,AY36,BB36,BE36,BH36,BK36,BN36,BQ36,BT36,BW36,BZ36,CC36,CF36,CI36,CL36,CO36,CR36), 0)</f>
        <v/>
      </c>
      <c r="CV36" s="57">
        <f>IFERROR(AVERAGE(G36,J36,M36,P36,S36,V36,Y36,AB36,AE36,AH36,AK36,AN36,AQ36,AT36,AW36,AZ36,BC36,BF36,BI36,BL36,BO36,BR36,BU36,BX36,CA36,CD36,CG36,CJ36,CM36,CP36,CS36), 0)</f>
        <v/>
      </c>
      <c r="CW36" s="57">
        <f>CU36*CV36</f>
        <v/>
      </c>
    </row>
    <row r="37" ht="15.75" customHeight="1">
      <c r="A37" s="53" t="inlineStr">
        <is>
          <t>Mora 100gr</t>
        </is>
      </c>
      <c r="B37" s="53" t="inlineStr">
        <is>
          <t>Und</t>
        </is>
      </c>
      <c r="C37" s="55" t="n"/>
      <c r="D37" s="56" t="n"/>
      <c r="E37" s="57">
        <f>IFERROR(C37*D37, 0)</f>
        <v/>
      </c>
      <c r="F37" s="55" t="n"/>
      <c r="G37" s="56" t="n"/>
      <c r="H37" s="57">
        <f>IFERROR(F37*G37, 0)</f>
        <v/>
      </c>
      <c r="I37" s="55" t="n"/>
      <c r="J37" s="56" t="n"/>
      <c r="K37" s="57">
        <f>IFERROR(I37*J37, 0)</f>
        <v/>
      </c>
      <c r="L37" s="55" t="n"/>
      <c r="M37" s="56" t="n"/>
      <c r="N37" s="57">
        <f>IFERROR(L37*M37, 0)</f>
        <v/>
      </c>
      <c r="O37" s="55" t="n"/>
      <c r="P37" s="56" t="n"/>
      <c r="Q37" s="57">
        <f>IFERROR(O37*P37, 0)</f>
        <v/>
      </c>
      <c r="R37" s="55" t="n"/>
      <c r="S37" s="56" t="n"/>
      <c r="T37" s="57">
        <f>IFERROR(R37*S37, 0)</f>
        <v/>
      </c>
      <c r="U37" s="55" t="n"/>
      <c r="V37" s="56" t="n"/>
      <c r="W37" s="57">
        <f>IFERROR(U37*V37, 0)</f>
        <v/>
      </c>
      <c r="X37" s="55" t="n"/>
      <c r="Y37" s="56" t="n"/>
      <c r="Z37" s="57">
        <f>IFERROR(X37*Y37, 0)</f>
        <v/>
      </c>
      <c r="AA37" s="55" t="n"/>
      <c r="AB37" s="56" t="n"/>
      <c r="AC37" s="57">
        <f>IFERROR(AA37*AB37, 0)</f>
        <v/>
      </c>
      <c r="AD37" s="55" t="n"/>
      <c r="AE37" s="56" t="n"/>
      <c r="AF37" s="57">
        <f>IFERROR(AD37*AE37, 0)</f>
        <v/>
      </c>
      <c r="AG37" s="55" t="n">
        <v>2</v>
      </c>
      <c r="AH37" s="56" t="n">
        <v>12700</v>
      </c>
      <c r="AI37" s="57" t="n">
        <v>25400</v>
      </c>
      <c r="AJ37" s="55" t="n"/>
      <c r="AK37" s="56" t="n"/>
      <c r="AL37" s="57">
        <f>IFERROR(AJ37*AK37, 0)</f>
        <v/>
      </c>
      <c r="AM37" s="55" t="n"/>
      <c r="AN37" s="56" t="n"/>
      <c r="AO37" s="57">
        <f>IFERROR(AM37*AN37, 0)</f>
        <v/>
      </c>
      <c r="AP37" s="55" t="n"/>
      <c r="AQ37" s="56" t="n"/>
      <c r="AR37" s="57">
        <f>IFERROR(AP37*AQ37, 0)</f>
        <v/>
      </c>
      <c r="AS37" s="55" t="n"/>
      <c r="AT37" s="56" t="n"/>
      <c r="AU37" s="57">
        <f>IFERROR(AS37*AT37, 0)</f>
        <v/>
      </c>
      <c r="AV37" s="55" t="n"/>
      <c r="AW37" s="56" t="n"/>
      <c r="AX37" s="57">
        <f>IFERROR(AV37*AW37, 0)</f>
        <v/>
      </c>
      <c r="AY37" s="55" t="n"/>
      <c r="AZ37" s="56" t="n"/>
      <c r="BA37" s="57">
        <f>IFERROR(AY37*AZ37, 0)</f>
        <v/>
      </c>
      <c r="BB37" s="55" t="n"/>
      <c r="BC37" s="56" t="n"/>
      <c r="BD37" s="57">
        <f>IFERROR(BB37*BC37, 0)</f>
        <v/>
      </c>
      <c r="BE37" s="55" t="n">
        <v>1</v>
      </c>
      <c r="BF37" s="56" t="n">
        <v>12700</v>
      </c>
      <c r="BG37" s="57" t="n">
        <v>12700</v>
      </c>
      <c r="BH37" s="55" t="n"/>
      <c r="BI37" s="56" t="n"/>
      <c r="BJ37" s="57">
        <f>IFERROR(BH37*BI37, 0)</f>
        <v/>
      </c>
      <c r="BK37" s="55" t="n"/>
      <c r="BL37" s="56" t="n"/>
      <c r="BM37" s="57">
        <f>IFERROR(BK37*BL37, 0)</f>
        <v/>
      </c>
      <c r="BN37" s="55" t="n"/>
      <c r="BO37" s="56" t="n"/>
      <c r="BP37" s="57">
        <f>IFERROR(BN37*BO37, 0)</f>
        <v/>
      </c>
      <c r="BQ37" s="55" t="n"/>
      <c r="BR37" s="56" t="n"/>
      <c r="BS37" s="57">
        <f>IFERROR(BQ37*BR37, 0)</f>
        <v/>
      </c>
      <c r="BT37" s="55" t="n"/>
      <c r="BU37" s="56" t="n"/>
      <c r="BV37" s="57">
        <f>IFERROR(BT37*BU37, 0)</f>
        <v/>
      </c>
      <c r="BW37" s="55" t="n"/>
      <c r="BX37" s="56" t="n"/>
      <c r="BY37" s="57">
        <f>IFERROR(BW37*BX37, 0)</f>
        <v/>
      </c>
      <c r="BZ37" s="55" t="n"/>
      <c r="CA37" s="56" t="n"/>
      <c r="CB37" s="57">
        <f>IFERROR(BZ37*CA37, 0)</f>
        <v/>
      </c>
      <c r="CC37" s="55" t="n"/>
      <c r="CD37" s="56" t="n"/>
      <c r="CE37" s="57">
        <f>IFERROR(CC37*CD37, 0)</f>
        <v/>
      </c>
      <c r="CF37" s="55" t="n"/>
      <c r="CG37" s="56" t="n"/>
      <c r="CH37" s="57">
        <f>IFERROR(CF37*CG37, 0)</f>
        <v/>
      </c>
      <c r="CI37" s="55" t="n"/>
      <c r="CJ37" s="56" t="n"/>
      <c r="CK37" s="57">
        <f>IFERROR(CI37*CJ37, 0)</f>
        <v/>
      </c>
      <c r="CL37" s="55" t="n"/>
      <c r="CM37" s="56" t="n"/>
      <c r="CN37" s="57">
        <f>IFERROR(CL37*CM37, 0)</f>
        <v/>
      </c>
      <c r="CO37" s="55" t="n"/>
      <c r="CP37" s="56" t="n"/>
      <c r="CQ37" s="57">
        <f>IFERROR(CO37*CP37, 0)</f>
        <v/>
      </c>
      <c r="CR37" s="55" t="n"/>
      <c r="CS37" s="56" t="n"/>
      <c r="CT37" s="57">
        <f>IFERROR(CR37*CS37, 0)</f>
        <v/>
      </c>
      <c r="CU37" s="58">
        <f>IFERROR(SUM(F37,I37,L37,O37,R37,U37,X37,AA37,AD37,AG37,AJ37,AM37,AP37,AS37,AV37,AY37,BB37,BE37,BH37,BK37,BN37,BQ37,BT37,BW37,BZ37,CC37,CF37,CI37,CL37,CO37,CR37), 0)</f>
        <v/>
      </c>
      <c r="CV37" s="57">
        <f>IFERROR(AVERAGE(G37,J37,M37,P37,S37,V37,Y37,AB37,AE37,AH37,AK37,AN37,AQ37,AT37,AW37,AZ37,BC37,BF37,BI37,BL37,BO37,BR37,BU37,BX37,CA37,CD37,CG37,CJ37,CM37,CP37,CS37), 0)</f>
        <v/>
      </c>
      <c r="CW37" s="57">
        <f>CU37*CV37</f>
        <v/>
      </c>
    </row>
    <row r="38" ht="15.75" customHeight="1">
      <c r="A38" s="53" t="inlineStr">
        <is>
          <t>Cerezada</t>
        </is>
      </c>
      <c r="B38" s="53" t="inlineStr">
        <is>
          <t>Und</t>
        </is>
      </c>
      <c r="C38" s="55" t="n"/>
      <c r="D38" s="56" t="n"/>
      <c r="E38" s="57">
        <f>IFERROR(C38*D38, 0)</f>
        <v/>
      </c>
      <c r="F38" s="55" t="n"/>
      <c r="G38" s="56" t="n"/>
      <c r="H38" s="57">
        <f>IFERROR(F38*G38, 0)</f>
        <v/>
      </c>
      <c r="I38" s="55" t="n"/>
      <c r="J38" s="56" t="n"/>
      <c r="K38" s="57">
        <f>IFERROR(I38*J38, 0)</f>
        <v/>
      </c>
      <c r="L38" s="55" t="n"/>
      <c r="M38" s="56" t="n"/>
      <c r="N38" s="57">
        <f>IFERROR(L38*M38, 0)</f>
        <v/>
      </c>
      <c r="O38" s="55" t="n">
        <v>2</v>
      </c>
      <c r="P38" s="56" t="n">
        <v>16800</v>
      </c>
      <c r="Q38" s="57" t="n">
        <v>33600</v>
      </c>
      <c r="R38" s="55" t="n"/>
      <c r="S38" s="56" t="n"/>
      <c r="T38" s="57">
        <f>IFERROR(R38*S38, 0)</f>
        <v/>
      </c>
      <c r="U38" s="55" t="n"/>
      <c r="V38" s="56" t="n"/>
      <c r="W38" s="57">
        <f>IFERROR(U38*V38, 0)</f>
        <v/>
      </c>
      <c r="X38" s="55" t="n"/>
      <c r="Y38" s="56" t="n"/>
      <c r="Z38" s="57">
        <f>IFERROR(X38*Y38, 0)</f>
        <v/>
      </c>
      <c r="AA38" s="55" t="n"/>
      <c r="AB38" s="56" t="n"/>
      <c r="AC38" s="57">
        <f>IFERROR(AA38*AB38, 0)</f>
        <v/>
      </c>
      <c r="AD38" s="55" t="n"/>
      <c r="AE38" s="56" t="n"/>
      <c r="AF38" s="57">
        <f>IFERROR(AD38*AE38, 0)</f>
        <v/>
      </c>
      <c r="AG38" s="55" t="n">
        <v>2</v>
      </c>
      <c r="AH38" s="56" t="n">
        <v>16800</v>
      </c>
      <c r="AI38" s="57" t="n">
        <v>33600</v>
      </c>
      <c r="AJ38" s="55" t="n"/>
      <c r="AK38" s="56" t="n"/>
      <c r="AL38" s="57">
        <f>IFERROR(AJ38*AK38, 0)</f>
        <v/>
      </c>
      <c r="AM38" s="55" t="n"/>
      <c r="AN38" s="56" t="n"/>
      <c r="AO38" s="57">
        <f>IFERROR(AM38*AN38, 0)</f>
        <v/>
      </c>
      <c r="AP38" s="55" t="n"/>
      <c r="AQ38" s="56" t="n"/>
      <c r="AR38" s="57">
        <f>IFERROR(AP38*AQ38, 0)</f>
        <v/>
      </c>
      <c r="AS38" s="55" t="n"/>
      <c r="AT38" s="56" t="n"/>
      <c r="AU38" s="57">
        <f>IFERROR(AS38*AT38, 0)</f>
        <v/>
      </c>
      <c r="AV38" s="55" t="n"/>
      <c r="AW38" s="56" t="n"/>
      <c r="AX38" s="57">
        <f>IFERROR(AV38*AW38, 0)</f>
        <v/>
      </c>
      <c r="AY38" s="55" t="n"/>
      <c r="AZ38" s="56" t="n"/>
      <c r="BA38" s="57">
        <f>IFERROR(AY38*AZ38, 0)</f>
        <v/>
      </c>
      <c r="BB38" s="55" t="n"/>
      <c r="BC38" s="56" t="n"/>
      <c r="BD38" s="57">
        <f>IFERROR(BB38*BC38, 0)</f>
        <v/>
      </c>
      <c r="BE38" s="55" t="n"/>
      <c r="BF38" s="56" t="n"/>
      <c r="BG38" s="57">
        <f>IFERROR(BE38*BF38, 0)</f>
        <v/>
      </c>
      <c r="BH38" s="55" t="n"/>
      <c r="BI38" s="56" t="n"/>
      <c r="BJ38" s="57">
        <f>IFERROR(BH38*BI38, 0)</f>
        <v/>
      </c>
      <c r="BK38" s="55" t="n"/>
      <c r="BL38" s="56" t="n"/>
      <c r="BM38" s="57">
        <f>IFERROR(BK38*BL38, 0)</f>
        <v/>
      </c>
      <c r="BN38" s="55" t="n"/>
      <c r="BO38" s="56" t="n"/>
      <c r="BP38" s="57">
        <f>IFERROR(BN38*BO38, 0)</f>
        <v/>
      </c>
      <c r="BQ38" s="55" t="n"/>
      <c r="BR38" s="56" t="n"/>
      <c r="BS38" s="57">
        <f>IFERROR(BQ38*BR38, 0)</f>
        <v/>
      </c>
      <c r="BT38" s="55" t="n"/>
      <c r="BU38" s="56" t="n"/>
      <c r="BV38" s="57">
        <f>IFERROR(BT38*BU38, 0)</f>
        <v/>
      </c>
      <c r="BW38" s="55" t="n"/>
      <c r="BX38" s="56" t="n"/>
      <c r="BY38" s="57">
        <f>IFERROR(BW38*BX38, 0)</f>
        <v/>
      </c>
      <c r="BZ38" s="55" t="n"/>
      <c r="CA38" s="56" t="n"/>
      <c r="CB38" s="57">
        <f>IFERROR(BZ38*CA38, 0)</f>
        <v/>
      </c>
      <c r="CC38" s="55" t="n"/>
      <c r="CD38" s="56" t="n"/>
      <c r="CE38" s="57">
        <f>IFERROR(CC38*CD38, 0)</f>
        <v/>
      </c>
      <c r="CF38" s="55" t="n"/>
      <c r="CG38" s="56" t="n"/>
      <c r="CH38" s="57">
        <f>IFERROR(CF38*CG38, 0)</f>
        <v/>
      </c>
      <c r="CI38" s="55" t="n"/>
      <c r="CJ38" s="56" t="n"/>
      <c r="CK38" s="57">
        <f>IFERROR(CI38*CJ38, 0)</f>
        <v/>
      </c>
      <c r="CL38" s="55" t="n"/>
      <c r="CM38" s="56" t="n"/>
      <c r="CN38" s="57">
        <f>IFERROR(CL38*CM38, 0)</f>
        <v/>
      </c>
      <c r="CO38" s="55" t="n"/>
      <c r="CP38" s="56" t="n"/>
      <c r="CQ38" s="57">
        <f>IFERROR(CO38*CP38, 0)</f>
        <v/>
      </c>
      <c r="CR38" s="55" t="n"/>
      <c r="CS38" s="56" t="n"/>
      <c r="CT38" s="57">
        <f>IFERROR(CR38*CS38, 0)</f>
        <v/>
      </c>
      <c r="CU38" s="58">
        <f>IFERROR(SUM(F38,I38,L38,O38,R38,U38,X38,AA38,AD38,AG38,AJ38,AM38,AP38,AS38,AV38,AY38,BB38,BE38,BH38,BK38,BN38,BQ38,BT38,BW38,BZ38,CC38,CF38,CI38,CL38,CO38,CR38), 0)</f>
        <v/>
      </c>
      <c r="CV38" s="57">
        <f>IFERROR(AVERAGE(G38,J38,M38,P38,S38,V38,Y38,AB38,AE38,AH38,AK38,AN38,AQ38,AT38,AW38,AZ38,BC38,BF38,BI38,BL38,BO38,BR38,BU38,BX38,CA38,CD38,CG38,CJ38,CM38,CP38,CS38), 0)</f>
        <v/>
      </c>
      <c r="CW38" s="57">
        <f>CU38*CV38</f>
        <v/>
      </c>
    </row>
    <row r="39" ht="15.75" customHeight="1">
      <c r="A39" s="53" t="inlineStr">
        <is>
          <t xml:space="preserve">Bloque hielo </t>
        </is>
      </c>
      <c r="B39" s="53" t="inlineStr">
        <is>
          <t>Bloques</t>
        </is>
      </c>
      <c r="C39" s="55" t="n"/>
      <c r="D39" s="56" t="n"/>
      <c r="E39" s="57">
        <f>IFERROR(C39*D39, 0)</f>
        <v/>
      </c>
      <c r="F39" s="55" t="n"/>
      <c r="G39" s="56" t="n"/>
      <c r="H39" s="57">
        <f>IFERROR(F39*G39, 0)</f>
        <v/>
      </c>
      <c r="I39" s="55" t="n"/>
      <c r="J39" s="56" t="n"/>
      <c r="K39" s="57">
        <f>IFERROR(I39*J39, 0)</f>
        <v/>
      </c>
      <c r="L39" s="55" t="n"/>
      <c r="M39" s="56" t="n"/>
      <c r="N39" s="57">
        <f>IFERROR(L39*M39, 0)</f>
        <v/>
      </c>
      <c r="O39" s="55" t="n"/>
      <c r="P39" s="56" t="n"/>
      <c r="Q39" s="57">
        <f>IFERROR(O39*P39, 0)</f>
        <v/>
      </c>
      <c r="R39" s="55" t="n"/>
      <c r="S39" s="56" t="n"/>
      <c r="T39" s="57">
        <f>IFERROR(R39*S39, 0)</f>
        <v/>
      </c>
      <c r="U39" s="55" t="n"/>
      <c r="V39" s="56" t="n"/>
      <c r="W39" s="57">
        <f>IFERROR(U39*V39, 0)</f>
        <v/>
      </c>
      <c r="X39" s="55" t="n"/>
      <c r="Y39" s="56" t="n"/>
      <c r="Z39" s="57">
        <f>IFERROR(X39*Y39, 0)</f>
        <v/>
      </c>
      <c r="AA39" s="55" t="n"/>
      <c r="AB39" s="56" t="n"/>
      <c r="AC39" s="57">
        <f>IFERROR(AA39*AB39, 0)</f>
        <v/>
      </c>
      <c r="AD39" s="55" t="n"/>
      <c r="AE39" s="56" t="n"/>
      <c r="AF39" s="57">
        <f>IFERROR(AD39*AE39, 0)</f>
        <v/>
      </c>
      <c r="AG39" s="55" t="n"/>
      <c r="AH39" s="56" t="n"/>
      <c r="AI39" s="57">
        <f>IFERROR(AG39*AH39, 0)</f>
        <v/>
      </c>
      <c r="AJ39" s="55" t="n">
        <v>2</v>
      </c>
      <c r="AK39" s="56" t="n">
        <v>5000</v>
      </c>
      <c r="AL39" s="57" t="n">
        <v>10000</v>
      </c>
      <c r="AM39" s="55" t="n"/>
      <c r="AN39" s="56" t="n"/>
      <c r="AO39" s="57">
        <f>IFERROR(AM39*AN39, 0)</f>
        <v/>
      </c>
      <c r="AP39" s="55" t="n"/>
      <c r="AQ39" s="56" t="n"/>
      <c r="AR39" s="57">
        <f>IFERROR(AP39*AQ39, 0)</f>
        <v/>
      </c>
      <c r="AS39" s="55" t="n"/>
      <c r="AT39" s="56" t="n"/>
      <c r="AU39" s="57">
        <f>IFERROR(AS39*AT39, 0)</f>
        <v/>
      </c>
      <c r="AV39" s="55" t="n"/>
      <c r="AW39" s="56" t="n"/>
      <c r="AX39" s="57">
        <f>IFERROR(AV39*AW39, 0)</f>
        <v/>
      </c>
      <c r="AY39" s="55" t="n"/>
      <c r="AZ39" s="56" t="n"/>
      <c r="BA39" s="57">
        <f>IFERROR(AY39*AZ39, 0)</f>
        <v/>
      </c>
      <c r="BB39" s="55" t="n"/>
      <c r="BC39" s="56" t="n"/>
      <c r="BD39" s="57">
        <f>IFERROR(BB39*BC39, 0)</f>
        <v/>
      </c>
      <c r="BE39" s="55" t="n"/>
      <c r="BF39" s="56" t="n"/>
      <c r="BG39" s="57">
        <f>IFERROR(BE39*BF39, 0)</f>
        <v/>
      </c>
      <c r="BH39" s="55" t="n"/>
      <c r="BI39" s="56" t="n"/>
      <c r="BJ39" s="57">
        <f>IFERROR(BH39*BI39, 0)</f>
        <v/>
      </c>
      <c r="BK39" s="55" t="n"/>
      <c r="BL39" s="56" t="n"/>
      <c r="BM39" s="57">
        <f>IFERROR(BK39*BL39, 0)</f>
        <v/>
      </c>
      <c r="BN39" s="55" t="n"/>
      <c r="BO39" s="56" t="n"/>
      <c r="BP39" s="57">
        <f>IFERROR(BN39*BO39, 0)</f>
        <v/>
      </c>
      <c r="BQ39" s="55" t="n"/>
      <c r="BR39" s="56" t="n"/>
      <c r="BS39" s="57">
        <f>IFERROR(BQ39*BR39, 0)</f>
        <v/>
      </c>
      <c r="BT39" s="55" t="n"/>
      <c r="BU39" s="56" t="n"/>
      <c r="BV39" s="57">
        <f>IFERROR(BT39*BU39, 0)</f>
        <v/>
      </c>
      <c r="BW39" s="55" t="n"/>
      <c r="BX39" s="56" t="n"/>
      <c r="BY39" s="57">
        <f>IFERROR(BW39*BX39, 0)</f>
        <v/>
      </c>
      <c r="BZ39" s="55" t="n"/>
      <c r="CA39" s="56" t="n"/>
      <c r="CB39" s="57">
        <f>IFERROR(BZ39*CA39, 0)</f>
        <v/>
      </c>
      <c r="CC39" s="55" t="n"/>
      <c r="CD39" s="56" t="n"/>
      <c r="CE39" s="57">
        <f>IFERROR(CC39*CD39, 0)</f>
        <v/>
      </c>
      <c r="CF39" s="55" t="n"/>
      <c r="CG39" s="56" t="n"/>
      <c r="CH39" s="57">
        <f>IFERROR(CF39*CG39, 0)</f>
        <v/>
      </c>
      <c r="CI39" s="55" t="n"/>
      <c r="CJ39" s="56" t="n"/>
      <c r="CK39" s="57">
        <f>IFERROR(CI39*CJ39, 0)</f>
        <v/>
      </c>
      <c r="CL39" s="55" t="n"/>
      <c r="CM39" s="56" t="n"/>
      <c r="CN39" s="57">
        <f>IFERROR(CL39*CM39, 0)</f>
        <v/>
      </c>
      <c r="CO39" s="55" t="n"/>
      <c r="CP39" s="56" t="n"/>
      <c r="CQ39" s="57">
        <f>IFERROR(CO39*CP39, 0)</f>
        <v/>
      </c>
      <c r="CR39" s="55" t="n"/>
      <c r="CS39" s="56" t="n"/>
      <c r="CT39" s="57">
        <f>IFERROR(CR39*CS39, 0)</f>
        <v/>
      </c>
      <c r="CU39" s="58">
        <f>IFERROR(SUM(F39,I39,L39,O39,R39,U39,X39,AA39,AD39,AG39,AJ39,AM39,AP39,AS39,AV39,AY39,BB39,BE39,BH39,BK39,BN39,BQ39,BT39,BW39,BZ39,CC39,CF39,CI39,CL39,CO39,CR39), 0)</f>
        <v/>
      </c>
      <c r="CV39" s="57">
        <f>IFERROR(AVERAGE(G39,J39,M39,P39,S39,V39,Y39,AB39,AE39,AH39,AK39,AN39,AQ39,AT39,AW39,AZ39,BC39,BF39,BI39,BL39,BO39,BR39,BU39,BX39,CA39,CD39,CG39,CJ39,CM39,CP39,CS39), 0)</f>
        <v/>
      </c>
      <c r="CW39" s="57">
        <f>CU39*CV39</f>
        <v/>
      </c>
    </row>
    <row r="40" ht="15.75" customHeight="1">
      <c r="A40" s="53" t="inlineStr">
        <is>
          <t xml:space="preserve">Hielo trozos </t>
        </is>
      </c>
      <c r="B40" s="53" t="inlineStr">
        <is>
          <t>Pqte</t>
        </is>
      </c>
      <c r="C40" s="55" t="n"/>
      <c r="D40" s="56" t="n"/>
      <c r="E40" s="57">
        <f>IFERROR(C40*D40, 0)</f>
        <v/>
      </c>
      <c r="F40" s="55" t="n"/>
      <c r="G40" s="56" t="n"/>
      <c r="H40" s="57">
        <f>IFERROR(F40*G40, 0)</f>
        <v/>
      </c>
      <c r="I40" s="55" t="n"/>
      <c r="J40" s="56" t="n"/>
      <c r="K40" s="57">
        <f>IFERROR(I40*J40, 0)</f>
        <v/>
      </c>
      <c r="L40" s="55" t="n"/>
      <c r="M40" s="56" t="n"/>
      <c r="N40" s="57">
        <f>IFERROR(L40*M40, 0)</f>
        <v/>
      </c>
      <c r="O40" s="55" t="n"/>
      <c r="P40" s="56" t="n"/>
      <c r="Q40" s="57">
        <f>IFERROR(O40*P40, 0)</f>
        <v/>
      </c>
      <c r="R40" s="55" t="n"/>
      <c r="S40" s="56" t="n"/>
      <c r="T40" s="57">
        <f>IFERROR(R40*S40, 0)</f>
        <v/>
      </c>
      <c r="U40" s="55" t="n"/>
      <c r="V40" s="56" t="n"/>
      <c r="W40" s="57">
        <f>IFERROR(U40*V40, 0)</f>
        <v/>
      </c>
      <c r="X40" s="55" t="n"/>
      <c r="Y40" s="56" t="n"/>
      <c r="Z40" s="57">
        <f>IFERROR(X40*Y40, 0)</f>
        <v/>
      </c>
      <c r="AA40" s="55" t="n"/>
      <c r="AB40" s="56" t="n"/>
      <c r="AC40" s="57">
        <f>IFERROR(AA40*AB40, 0)</f>
        <v/>
      </c>
      <c r="AD40" s="55" t="n">
        <v>1</v>
      </c>
      <c r="AE40" s="56" t="n">
        <v>8500</v>
      </c>
      <c r="AF40" s="57" t="n">
        <v>8500</v>
      </c>
      <c r="AG40" s="55" t="n"/>
      <c r="AH40" s="56" t="n"/>
      <c r="AI40" s="57">
        <f>IFERROR(AG40*AH40, 0)</f>
        <v/>
      </c>
      <c r="AJ40" s="55" t="n"/>
      <c r="AK40" s="56" t="n"/>
      <c r="AL40" s="57">
        <f>IFERROR(AJ40*AK40, 0)</f>
        <v/>
      </c>
      <c r="AM40" s="55" t="n"/>
      <c r="AN40" s="56" t="n"/>
      <c r="AO40" s="57">
        <f>IFERROR(AM40*AN40, 0)</f>
        <v/>
      </c>
      <c r="AP40" s="55" t="n"/>
      <c r="AQ40" s="56" t="n"/>
      <c r="AR40" s="57">
        <f>IFERROR(AP40*AQ40, 0)</f>
        <v/>
      </c>
      <c r="AS40" s="55" t="n"/>
      <c r="AT40" s="56" t="n"/>
      <c r="AU40" s="57">
        <f>IFERROR(AS40*AT40, 0)</f>
        <v/>
      </c>
      <c r="AV40" s="55" t="n"/>
      <c r="AW40" s="56" t="n"/>
      <c r="AX40" s="57">
        <f>IFERROR(AV40*AW40, 0)</f>
        <v/>
      </c>
      <c r="AY40" s="55" t="n"/>
      <c r="AZ40" s="56" t="n"/>
      <c r="BA40" s="57">
        <f>IFERROR(AY40*AZ40, 0)</f>
        <v/>
      </c>
      <c r="BB40" s="55" t="n"/>
      <c r="BC40" s="56" t="n"/>
      <c r="BD40" s="57">
        <f>IFERROR(BB40*BC40, 0)</f>
        <v/>
      </c>
      <c r="BE40" s="55" t="n"/>
      <c r="BF40" s="56" t="n"/>
      <c r="BG40" s="57">
        <f>IFERROR(BE40*BF40, 0)</f>
        <v/>
      </c>
      <c r="BH40" s="55" t="n"/>
      <c r="BI40" s="56" t="n"/>
      <c r="BJ40" s="57">
        <f>IFERROR(BH40*BI40, 0)</f>
        <v/>
      </c>
      <c r="BK40" s="55" t="n"/>
      <c r="BL40" s="56" t="n"/>
      <c r="BM40" s="57">
        <f>IFERROR(BK40*BL40, 0)</f>
        <v/>
      </c>
      <c r="BN40" s="55" t="n"/>
      <c r="BO40" s="56" t="n"/>
      <c r="BP40" s="57">
        <f>IFERROR(BN40*BO40, 0)</f>
        <v/>
      </c>
      <c r="BQ40" s="55" t="n"/>
      <c r="BR40" s="56" t="n"/>
      <c r="BS40" s="57">
        <f>IFERROR(BQ40*BR40, 0)</f>
        <v/>
      </c>
      <c r="BT40" s="55" t="n"/>
      <c r="BU40" s="56" t="n"/>
      <c r="BV40" s="57">
        <f>IFERROR(BT40*BU40, 0)</f>
        <v/>
      </c>
      <c r="BW40" s="55" t="n"/>
      <c r="BX40" s="56" t="n"/>
      <c r="BY40" s="57">
        <f>IFERROR(BW40*BX40, 0)</f>
        <v/>
      </c>
      <c r="BZ40" s="55" t="n"/>
      <c r="CA40" s="56" t="n"/>
      <c r="CB40" s="57">
        <f>IFERROR(BZ40*CA40, 0)</f>
        <v/>
      </c>
      <c r="CC40" s="55" t="n"/>
      <c r="CD40" s="56" t="n"/>
      <c r="CE40" s="57">
        <f>IFERROR(CC40*CD40, 0)</f>
        <v/>
      </c>
      <c r="CF40" s="55" t="n"/>
      <c r="CG40" s="56" t="n"/>
      <c r="CH40" s="57">
        <f>IFERROR(CF40*CG40, 0)</f>
        <v/>
      </c>
      <c r="CI40" s="55" t="n"/>
      <c r="CJ40" s="56" t="n"/>
      <c r="CK40" s="57">
        <f>IFERROR(CI40*CJ40, 0)</f>
        <v/>
      </c>
      <c r="CL40" s="55" t="n"/>
      <c r="CM40" s="56" t="n"/>
      <c r="CN40" s="57">
        <f>IFERROR(CL40*CM40, 0)</f>
        <v/>
      </c>
      <c r="CO40" s="55" t="n"/>
      <c r="CP40" s="56" t="n"/>
      <c r="CQ40" s="57">
        <f>IFERROR(CO40*CP40, 0)</f>
        <v/>
      </c>
      <c r="CR40" s="55" t="n"/>
      <c r="CS40" s="56" t="n"/>
      <c r="CT40" s="57">
        <f>IFERROR(CR40*CS40, 0)</f>
        <v/>
      </c>
      <c r="CU40" s="58">
        <f>IFERROR(SUM(F40,I40,L40,O40,R40,U40,X40,AA40,AD40,AG40,AJ40,AM40,AP40,AS40,AV40,AY40,BB40,BE40,BH40,BK40,BN40,BQ40,BT40,BW40,BZ40,CC40,CF40,CI40,CL40,CO40,CR40), 0)</f>
        <v/>
      </c>
      <c r="CV40" s="57">
        <f>IFERROR(AVERAGE(G40,J40,M40,P40,S40,V40,Y40,AB40,AE40,AH40,AK40,AN40,AQ40,AT40,AW40,AZ40,BC40,BF40,BI40,BL40,BO40,BR40,BU40,BX40,CA40,CD40,CG40,CJ40,CM40,CP40,CS40), 0)</f>
        <v/>
      </c>
      <c r="CW40" s="57">
        <f>CU40*CV40</f>
        <v/>
      </c>
    </row>
    <row r="41" ht="15.75" customHeight="1">
      <c r="A41" s="53" t="inlineStr">
        <is>
          <t>Bloque media</t>
        </is>
      </c>
      <c r="B41" s="53" t="inlineStr">
        <is>
          <t>Bloque</t>
        </is>
      </c>
      <c r="C41" s="55" t="n"/>
      <c r="D41" s="56" t="n"/>
      <c r="E41" s="57">
        <f>IFERROR(C41*D41, 0)</f>
        <v/>
      </c>
      <c r="F41" s="55" t="n">
        <v>2</v>
      </c>
      <c r="G41" s="56" t="n">
        <v>9500</v>
      </c>
      <c r="H41" s="57" t="n">
        <v>19000</v>
      </c>
      <c r="I41" s="55" t="n">
        <v>2</v>
      </c>
      <c r="J41" s="56" t="n">
        <v>9500</v>
      </c>
      <c r="K41" s="57" t="n">
        <v>19000</v>
      </c>
      <c r="L41" s="55" t="n">
        <v>4</v>
      </c>
      <c r="M41" s="56" t="n">
        <v>9500</v>
      </c>
      <c r="N41" s="57" t="n">
        <v>38000</v>
      </c>
      <c r="O41" s="55" t="n">
        <v>4</v>
      </c>
      <c r="P41" s="56" t="n">
        <v>9500</v>
      </c>
      <c r="Q41" s="57" t="n">
        <v>38000</v>
      </c>
      <c r="R41" s="55" t="n"/>
      <c r="S41" s="56" t="n"/>
      <c r="T41" s="57">
        <f>IFERROR(R41*S41, 0)</f>
        <v/>
      </c>
      <c r="U41" s="55" t="n">
        <v>3</v>
      </c>
      <c r="V41" s="56" t="n">
        <v>9500</v>
      </c>
      <c r="W41" s="57" t="n">
        <v>48000</v>
      </c>
      <c r="X41" s="55" t="n">
        <v>4</v>
      </c>
      <c r="Y41" s="56" t="n">
        <v>9500</v>
      </c>
      <c r="Z41" s="57" t="n">
        <v>38000</v>
      </c>
      <c r="AA41" s="55" t="n">
        <v>4</v>
      </c>
      <c r="AB41" s="56" t="n">
        <v>9500</v>
      </c>
      <c r="AC41" s="57" t="n">
        <v>38000</v>
      </c>
      <c r="AD41" s="55" t="n">
        <v>2</v>
      </c>
      <c r="AE41" s="56" t="n">
        <v>9500</v>
      </c>
      <c r="AF41" s="57" t="n">
        <v>19000</v>
      </c>
      <c r="AG41" s="55" t="n">
        <v>2</v>
      </c>
      <c r="AH41" s="56" t="n">
        <v>9500</v>
      </c>
      <c r="AI41" s="57" t="n">
        <v>19000</v>
      </c>
      <c r="AJ41" s="55" t="n">
        <v>2</v>
      </c>
      <c r="AK41" s="56" t="n">
        <v>9500</v>
      </c>
      <c r="AL41" s="57" t="n">
        <v>19000</v>
      </c>
      <c r="AM41" s="55" t="n">
        <v>4</v>
      </c>
      <c r="AN41" s="56" t="n">
        <v>9500</v>
      </c>
      <c r="AO41" s="57" t="n">
        <v>38000</v>
      </c>
      <c r="AP41" s="55" t="n"/>
      <c r="AQ41" s="56" t="n"/>
      <c r="AR41" s="57">
        <f>IFERROR(AP41*AQ41, 0)</f>
        <v/>
      </c>
      <c r="AS41" s="55" t="n">
        <v>4</v>
      </c>
      <c r="AT41" s="56" t="n">
        <v>9500</v>
      </c>
      <c r="AU41" s="57" t="n">
        <v>38000</v>
      </c>
      <c r="AV41" s="55" t="n">
        <v>2</v>
      </c>
      <c r="AW41" s="56" t="n">
        <v>9500</v>
      </c>
      <c r="AX41" s="57" t="n">
        <v>19000</v>
      </c>
      <c r="AY41" s="55" t="n">
        <v>2</v>
      </c>
      <c r="AZ41" s="56" t="n">
        <v>9500</v>
      </c>
      <c r="BA41" s="57" t="n">
        <v>19000</v>
      </c>
      <c r="BB41" s="55" t="n">
        <v>2</v>
      </c>
      <c r="BC41" s="56" t="n">
        <v>9500</v>
      </c>
      <c r="BD41" s="57" t="n">
        <v>19000</v>
      </c>
      <c r="BE41" s="55" t="n">
        <v>2</v>
      </c>
      <c r="BF41" s="56" t="n">
        <v>9500</v>
      </c>
      <c r="BG41" s="57" t="n">
        <v>19000</v>
      </c>
      <c r="BH41" s="55" t="n"/>
      <c r="BI41" s="56" t="n"/>
      <c r="BJ41" s="57">
        <f>IFERROR(BH41*BI41, 0)</f>
        <v/>
      </c>
      <c r="BK41" s="55" t="n"/>
      <c r="BL41" s="56" t="n"/>
      <c r="BM41" s="57">
        <f>IFERROR(BK41*BL41, 0)</f>
        <v/>
      </c>
      <c r="BN41" s="55" t="n"/>
      <c r="BO41" s="56" t="n"/>
      <c r="BP41" s="57">
        <f>IFERROR(BN41*BO41, 0)</f>
        <v/>
      </c>
      <c r="BQ41" s="55" t="n">
        <v>2</v>
      </c>
      <c r="BR41" s="56" t="n">
        <v>9500</v>
      </c>
      <c r="BS41" s="57" t="n">
        <v>19000</v>
      </c>
      <c r="BT41" s="55" t="n"/>
      <c r="BU41" s="56" t="n"/>
      <c r="BV41" s="57">
        <f>IFERROR(BT41*BU41, 0)</f>
        <v/>
      </c>
      <c r="BW41" s="55" t="n"/>
      <c r="BX41" s="56" t="n"/>
      <c r="BY41" s="57">
        <f>IFERROR(BW41*BX41, 0)</f>
        <v/>
      </c>
      <c r="BZ41" s="55" t="n"/>
      <c r="CA41" s="56" t="n"/>
      <c r="CB41" s="57">
        <f>IFERROR(BZ41*CA41, 0)</f>
        <v/>
      </c>
      <c r="CC41" s="55" t="n"/>
      <c r="CD41" s="56" t="n"/>
      <c r="CE41" s="57">
        <f>IFERROR(CC41*CD41, 0)</f>
        <v/>
      </c>
      <c r="CF41" s="55" t="n"/>
      <c r="CG41" s="56" t="n"/>
      <c r="CH41" s="57">
        <f>IFERROR(CF41*CG41, 0)</f>
        <v/>
      </c>
      <c r="CI41" s="55" t="n"/>
      <c r="CJ41" s="56" t="n"/>
      <c r="CK41" s="57">
        <f>IFERROR(CI41*CJ41, 0)</f>
        <v/>
      </c>
      <c r="CL41" s="55" t="n"/>
      <c r="CM41" s="56" t="n"/>
      <c r="CN41" s="57">
        <f>IFERROR(CL41*CM41, 0)</f>
        <v/>
      </c>
      <c r="CO41" s="55" t="n"/>
      <c r="CP41" s="56" t="n"/>
      <c r="CQ41" s="57">
        <f>IFERROR(CO41*CP41, 0)</f>
        <v/>
      </c>
      <c r="CR41" s="55" t="n"/>
      <c r="CS41" s="56" t="n"/>
      <c r="CT41" s="57">
        <f>IFERROR(CR41*CS41, 0)</f>
        <v/>
      </c>
      <c r="CU41" s="58">
        <f>IFERROR(SUM(F41,I41,L41,O41,R41,U41,X41,AA41,AD41,AG41,AJ41,AM41,AP41,AS41,AV41,AY41,BB41,BE41,BH41,BK41,BN41,BQ41,BT41,BW41,BZ41,CC41,CF41,CI41,CL41,CO41,CR41), 0)</f>
        <v/>
      </c>
      <c r="CV41" s="57">
        <f>IFERROR(AVERAGE(G41,J41,M41,P41,S41,V41,Y41,AB41,AE41,AH41,AK41,AN41,AQ41,AT41,AW41,AZ41,BC41,BF41,BI41,BL41,BO41,BR41,BU41,BX41,CA41,CD41,CG41,CJ41,CM41,CP41,CS41), 0)</f>
        <v/>
      </c>
      <c r="CW41" s="57">
        <f>CU41*CV41</f>
        <v/>
      </c>
    </row>
    <row r="42" ht="15.75" customHeight="1">
      <c r="A42" s="53" t="inlineStr">
        <is>
          <t>Bolsa 5kl tubular</t>
        </is>
      </c>
      <c r="B42" s="53" t="inlineStr">
        <is>
          <t>Pqte</t>
        </is>
      </c>
      <c r="C42" s="55" t="n"/>
      <c r="D42" s="56" t="n"/>
      <c r="E42" s="57">
        <f>IFERROR(C42*D42, 0)</f>
        <v/>
      </c>
      <c r="F42" s="55" t="n">
        <v>2</v>
      </c>
      <c r="G42" s="56" t="n">
        <v>5000</v>
      </c>
      <c r="H42" s="57" t="n">
        <v>10000</v>
      </c>
      <c r="I42" s="55" t="n">
        <v>2</v>
      </c>
      <c r="J42" s="56" t="n">
        <v>5000</v>
      </c>
      <c r="K42" s="57" t="n">
        <v>10000</v>
      </c>
      <c r="L42" s="55" t="n">
        <v>4</v>
      </c>
      <c r="M42" s="56" t="n">
        <v>5000</v>
      </c>
      <c r="N42" s="57" t="n">
        <v>20000</v>
      </c>
      <c r="O42" s="55" t="n">
        <v>2</v>
      </c>
      <c r="P42" s="56" t="n">
        <v>5000</v>
      </c>
      <c r="Q42" s="57" t="n">
        <v>10000</v>
      </c>
      <c r="R42" s="55" t="n">
        <v>2</v>
      </c>
      <c r="S42" s="56" t="n">
        <v>5000</v>
      </c>
      <c r="T42" s="57" t="n">
        <v>10000</v>
      </c>
      <c r="U42" s="55" t="n">
        <v>2</v>
      </c>
      <c r="V42" s="56" t="n">
        <v>5000</v>
      </c>
      <c r="W42" s="57" t="n">
        <v>10000</v>
      </c>
      <c r="X42" s="55" t="n">
        <v>4</v>
      </c>
      <c r="Y42" s="56" t="n">
        <v>5000</v>
      </c>
      <c r="Z42" s="57" t="n">
        <v>20000</v>
      </c>
      <c r="AA42" s="55" t="n">
        <v>4</v>
      </c>
      <c r="AB42" s="56" t="n">
        <v>5000</v>
      </c>
      <c r="AC42" s="57" t="n">
        <v>20000</v>
      </c>
      <c r="AD42" s="55" t="n">
        <v>5</v>
      </c>
      <c r="AE42" s="56" t="n">
        <v>5000</v>
      </c>
      <c r="AF42" s="57" t="n">
        <v>25000</v>
      </c>
      <c r="AG42" s="55" t="n">
        <v>5</v>
      </c>
      <c r="AH42" s="56" t="n">
        <v>5000</v>
      </c>
      <c r="AI42" s="57" t="n">
        <v>25000</v>
      </c>
      <c r="AJ42" s="55" t="n">
        <v>4</v>
      </c>
      <c r="AK42" s="56" t="n">
        <v>5000</v>
      </c>
      <c r="AL42" s="57" t="n">
        <v>29000</v>
      </c>
      <c r="AM42" s="55" t="n">
        <v>5</v>
      </c>
      <c r="AN42" s="56" t="n">
        <v>5000</v>
      </c>
      <c r="AO42" s="57" t="n">
        <v>25000</v>
      </c>
      <c r="AP42" s="55" t="n"/>
      <c r="AQ42" s="56" t="n"/>
      <c r="AR42" s="57">
        <f>IFERROR(AP42*AQ42, 0)</f>
        <v/>
      </c>
      <c r="AS42" s="55" t="n">
        <v>5</v>
      </c>
      <c r="AT42" s="56" t="n">
        <v>5000</v>
      </c>
      <c r="AU42" s="57" t="n">
        <v>25000</v>
      </c>
      <c r="AV42" s="55" t="n">
        <v>2</v>
      </c>
      <c r="AW42" s="56" t="n">
        <v>5000</v>
      </c>
      <c r="AX42" s="57" t="n">
        <v>10000</v>
      </c>
      <c r="AY42" s="55" t="n"/>
      <c r="AZ42" s="56" t="n"/>
      <c r="BA42" s="57">
        <f>IFERROR(AY42*AZ42, 0)</f>
        <v/>
      </c>
      <c r="BB42" s="55" t="n"/>
      <c r="BC42" s="56" t="n"/>
      <c r="BD42" s="57">
        <f>IFERROR(BB42*BC42, 0)</f>
        <v/>
      </c>
      <c r="BE42" s="55" t="n">
        <v>3</v>
      </c>
      <c r="BF42" s="56" t="n">
        <v>5000</v>
      </c>
      <c r="BG42" s="57" t="n">
        <v>15000</v>
      </c>
      <c r="BH42" s="55" t="n">
        <v>4</v>
      </c>
      <c r="BI42" s="56" t="n">
        <v>5000</v>
      </c>
      <c r="BJ42" s="57" t="n">
        <v>20000</v>
      </c>
      <c r="BK42" s="55" t="n">
        <v>3</v>
      </c>
      <c r="BL42" s="56" t="n">
        <v>5000</v>
      </c>
      <c r="BM42" s="57" t="n">
        <v>15000</v>
      </c>
      <c r="BN42" s="55" t="n"/>
      <c r="BO42" s="56" t="n"/>
      <c r="BP42" s="57">
        <f>IFERROR(BN42*BO42, 0)</f>
        <v/>
      </c>
      <c r="BQ42" s="55" t="n">
        <v>3</v>
      </c>
      <c r="BR42" s="56" t="n">
        <v>5000</v>
      </c>
      <c r="BS42" s="57" t="n">
        <v>15000</v>
      </c>
      <c r="BT42" s="55" t="n"/>
      <c r="BU42" s="56" t="n"/>
      <c r="BV42" s="57">
        <f>IFERROR(BT42*BU42, 0)</f>
        <v/>
      </c>
      <c r="BW42" s="55" t="n"/>
      <c r="BX42" s="56" t="n"/>
      <c r="BY42" s="57">
        <f>IFERROR(BW42*BX42, 0)</f>
        <v/>
      </c>
      <c r="BZ42" s="55" t="n"/>
      <c r="CA42" s="56" t="n"/>
      <c r="CB42" s="57">
        <f>IFERROR(BZ42*CA42, 0)</f>
        <v/>
      </c>
      <c r="CC42" s="55" t="n"/>
      <c r="CD42" s="56" t="n"/>
      <c r="CE42" s="57">
        <f>IFERROR(CC42*CD42, 0)</f>
        <v/>
      </c>
      <c r="CF42" s="55" t="n"/>
      <c r="CG42" s="56" t="n"/>
      <c r="CH42" s="57">
        <f>IFERROR(CF42*CG42, 0)</f>
        <v/>
      </c>
      <c r="CI42" s="55" t="n"/>
      <c r="CJ42" s="56" t="n"/>
      <c r="CK42" s="57">
        <f>IFERROR(CI42*CJ42, 0)</f>
        <v/>
      </c>
      <c r="CL42" s="55" t="n"/>
      <c r="CM42" s="56" t="n"/>
      <c r="CN42" s="57">
        <f>IFERROR(CL42*CM42, 0)</f>
        <v/>
      </c>
      <c r="CO42" s="55" t="n"/>
      <c r="CP42" s="56" t="n"/>
      <c r="CQ42" s="57">
        <f>IFERROR(CO42*CP42, 0)</f>
        <v/>
      </c>
      <c r="CR42" s="55" t="n"/>
      <c r="CS42" s="56" t="n"/>
      <c r="CT42" s="57">
        <f>IFERROR(CR42*CS42, 0)</f>
        <v/>
      </c>
      <c r="CU42" s="58">
        <f>IFERROR(SUM(F42,I42,L42,O42,R42,U42,X42,AA42,AD42,AG42,AJ42,AM42,AP42,AS42,AV42,AY42,BB42,BE42,BH42,BK42,BN42,BQ42,BT42,BW42,BZ42,CC42,CF42,CI42,CL42,CO42,CR42), 0)</f>
        <v/>
      </c>
      <c r="CV42" s="57">
        <f>IFERROR(AVERAGE(G42,J42,M42,P42,S42,V42,Y42,AB42,AE42,AH42,AK42,AN42,AQ42,AT42,AW42,AZ42,BC42,BF42,BI42,BL42,BO42,BR42,BU42,BX42,CA42,CD42,CG42,CJ42,CM42,CP42,CS42), 0)</f>
        <v/>
      </c>
      <c r="CW42" s="57">
        <f>CU42*CV42</f>
        <v/>
      </c>
    </row>
    <row r="43" ht="15.75" customHeight="1">
      <c r="A43" s="53" t="inlineStr">
        <is>
          <t>Coca cola zero 400ml pet(12)kz</t>
        </is>
      </c>
      <c r="B43" s="53" t="inlineStr">
        <is>
          <t>Und</t>
        </is>
      </c>
      <c r="C43" s="55" t="n"/>
      <c r="D43" s="56" t="n"/>
      <c r="E43" s="57">
        <f>IFERROR(C43*D43, 0)</f>
        <v/>
      </c>
      <c r="F43" s="55" t="n"/>
      <c r="G43" s="56" t="n"/>
      <c r="H43" s="57">
        <f>IFERROR(F43*G43, 0)</f>
        <v/>
      </c>
      <c r="I43" s="55" t="n"/>
      <c r="J43" s="56" t="n"/>
      <c r="K43" s="57">
        <f>IFERROR(I43*J43, 0)</f>
        <v/>
      </c>
      <c r="L43" s="55" t="n"/>
      <c r="M43" s="56" t="n"/>
      <c r="N43" s="57">
        <f>IFERROR(L43*M43, 0)</f>
        <v/>
      </c>
      <c r="O43" s="55" t="n"/>
      <c r="P43" s="56" t="n"/>
      <c r="Q43" s="57">
        <f>IFERROR(O43*P43, 0)</f>
        <v/>
      </c>
      <c r="R43" s="55" t="n"/>
      <c r="S43" s="56" t="n"/>
      <c r="T43" s="57">
        <f>IFERROR(R43*S43, 0)</f>
        <v/>
      </c>
      <c r="U43" s="55" t="n"/>
      <c r="V43" s="56" t="n"/>
      <c r="W43" s="57">
        <f>IFERROR(U43*V43, 0)</f>
        <v/>
      </c>
      <c r="X43" s="55" t="n"/>
      <c r="Y43" s="56" t="n"/>
      <c r="Z43" s="57">
        <f>IFERROR(X43*Y43, 0)</f>
        <v/>
      </c>
      <c r="AA43" s="55" t="n"/>
      <c r="AB43" s="56" t="n"/>
      <c r="AC43" s="57">
        <f>IFERROR(AA43*AB43, 0)</f>
        <v/>
      </c>
      <c r="AD43" s="55" t="n"/>
      <c r="AE43" s="56" t="n"/>
      <c r="AF43" s="57">
        <f>IFERROR(AD43*AE43, 0)</f>
        <v/>
      </c>
      <c r="AG43" s="55" t="n"/>
      <c r="AH43" s="56" t="n"/>
      <c r="AI43" s="57">
        <f>IFERROR(AG43*AH43, 0)</f>
        <v/>
      </c>
      <c r="AJ43" s="55" t="n"/>
      <c r="AK43" s="56" t="n"/>
      <c r="AL43" s="57">
        <f>IFERROR(AJ43*AK43, 0)</f>
        <v/>
      </c>
      <c r="AM43" s="55" t="n"/>
      <c r="AN43" s="56" t="n"/>
      <c r="AO43" s="57">
        <f>IFERROR(AM43*AN43, 0)</f>
        <v/>
      </c>
      <c r="AP43" s="55" t="n">
        <v>4</v>
      </c>
      <c r="AQ43" s="56" t="n">
        <v>19412</v>
      </c>
      <c r="AR43" s="57" t="n">
        <v>77647</v>
      </c>
      <c r="AS43" s="55" t="n"/>
      <c r="AT43" s="56" t="n"/>
      <c r="AU43" s="57">
        <f>IFERROR(AS43*AT43, 0)</f>
        <v/>
      </c>
      <c r="AV43" s="55" t="n"/>
      <c r="AW43" s="56" t="n"/>
      <c r="AX43" s="57">
        <f>IFERROR(AV43*AW43, 0)</f>
        <v/>
      </c>
      <c r="AY43" s="55" t="n"/>
      <c r="AZ43" s="56" t="n"/>
      <c r="BA43" s="57">
        <f>IFERROR(AY43*AZ43, 0)</f>
        <v/>
      </c>
      <c r="BB43" s="55" t="n"/>
      <c r="BC43" s="56" t="n"/>
      <c r="BD43" s="57">
        <f>IFERROR(BB43*BC43, 0)</f>
        <v/>
      </c>
      <c r="BE43" s="55" t="n"/>
      <c r="BF43" s="56" t="n"/>
      <c r="BG43" s="57">
        <f>IFERROR(BE43*BF43, 0)</f>
        <v/>
      </c>
      <c r="BH43" s="55" t="n"/>
      <c r="BI43" s="56" t="n"/>
      <c r="BJ43" s="57">
        <f>IFERROR(BH43*BI43, 0)</f>
        <v/>
      </c>
      <c r="BK43" s="55" t="n"/>
      <c r="BL43" s="56" t="n"/>
      <c r="BM43" s="57">
        <f>IFERROR(BK43*BL43, 0)</f>
        <v/>
      </c>
      <c r="BN43" s="55" t="n"/>
      <c r="BO43" s="56" t="n"/>
      <c r="BP43" s="57">
        <f>IFERROR(BN43*BO43, 0)</f>
        <v/>
      </c>
      <c r="BQ43" s="55" t="n"/>
      <c r="BR43" s="56" t="n"/>
      <c r="BS43" s="57">
        <f>IFERROR(BQ43*BR43, 0)</f>
        <v/>
      </c>
      <c r="BT43" s="55" t="n"/>
      <c r="BU43" s="56" t="n"/>
      <c r="BV43" s="57">
        <f>IFERROR(BT43*BU43, 0)</f>
        <v/>
      </c>
      <c r="BW43" s="55" t="n"/>
      <c r="BX43" s="56" t="n"/>
      <c r="BY43" s="57">
        <f>IFERROR(BW43*BX43, 0)</f>
        <v/>
      </c>
      <c r="BZ43" s="55" t="n"/>
      <c r="CA43" s="56" t="n"/>
      <c r="CB43" s="57">
        <f>IFERROR(BZ43*CA43, 0)</f>
        <v/>
      </c>
      <c r="CC43" s="55" t="n"/>
      <c r="CD43" s="56" t="n"/>
      <c r="CE43" s="57">
        <f>IFERROR(CC43*CD43, 0)</f>
        <v/>
      </c>
      <c r="CF43" s="55" t="n"/>
      <c r="CG43" s="56" t="n"/>
      <c r="CH43" s="57">
        <f>IFERROR(CF43*CG43, 0)</f>
        <v/>
      </c>
      <c r="CI43" s="55" t="n"/>
      <c r="CJ43" s="56" t="n"/>
      <c r="CK43" s="57">
        <f>IFERROR(CI43*CJ43, 0)</f>
        <v/>
      </c>
      <c r="CL43" s="55" t="n"/>
      <c r="CM43" s="56" t="n"/>
      <c r="CN43" s="57">
        <f>IFERROR(CL43*CM43, 0)</f>
        <v/>
      </c>
      <c r="CO43" s="55" t="n"/>
      <c r="CP43" s="56" t="n"/>
      <c r="CQ43" s="57">
        <f>IFERROR(CO43*CP43, 0)</f>
        <v/>
      </c>
      <c r="CR43" s="55" t="n"/>
      <c r="CS43" s="56" t="n"/>
      <c r="CT43" s="57">
        <f>IFERROR(CR43*CS43, 0)</f>
        <v/>
      </c>
      <c r="CU43" s="58">
        <f>IFERROR(SUM(F43,I43,L43,O43,R43,U43,X43,AA43,AD43,AG43,AJ43,AM43,AP43,AS43,AV43,AY43,BB43,BE43,BH43,BK43,BN43,BQ43,BT43,BW43,BZ43,CC43,CF43,CI43,CL43,CO43,CR43), 0)</f>
        <v/>
      </c>
      <c r="CV43" s="57">
        <f>IFERROR(AVERAGE(G43,J43,M43,P43,S43,V43,Y43,AB43,AE43,AH43,AK43,AN43,AQ43,AT43,AW43,AZ43,BC43,BF43,BI43,BL43,BO43,BR43,BU43,BX43,CA43,CD43,CG43,CJ43,CM43,CP43,CS43), 0)</f>
        <v/>
      </c>
      <c r="CW43" s="57">
        <f>CU43*CV43</f>
        <v/>
      </c>
    </row>
    <row r="44" ht="15.75" customHeight="1">
      <c r="A44" s="53" t="inlineStr">
        <is>
          <t>Coca cola 3ltrs pet</t>
        </is>
      </c>
      <c r="B44" s="53" t="inlineStr">
        <is>
          <t>Und</t>
        </is>
      </c>
      <c r="C44" s="55" t="n"/>
      <c r="D44" s="56" t="n"/>
      <c r="E44" s="57">
        <f>IFERROR(C44*D44, 0)</f>
        <v/>
      </c>
      <c r="F44" s="55" t="n"/>
      <c r="G44" s="56" t="n"/>
      <c r="H44" s="57">
        <f>IFERROR(F44*G44, 0)</f>
        <v/>
      </c>
      <c r="I44" s="55" t="n"/>
      <c r="J44" s="56" t="n"/>
      <c r="K44" s="57">
        <f>IFERROR(I44*J44, 0)</f>
        <v/>
      </c>
      <c r="L44" s="55" t="n"/>
      <c r="M44" s="56" t="n"/>
      <c r="N44" s="57">
        <f>IFERROR(L44*M44, 0)</f>
        <v/>
      </c>
      <c r="O44" s="55" t="n"/>
      <c r="P44" s="56" t="n"/>
      <c r="Q44" s="57">
        <f>IFERROR(O44*P44, 0)</f>
        <v/>
      </c>
      <c r="R44" s="55" t="n"/>
      <c r="S44" s="56" t="n"/>
      <c r="T44" s="57">
        <f>IFERROR(R44*S44, 0)</f>
        <v/>
      </c>
      <c r="U44" s="55" t="n"/>
      <c r="V44" s="56" t="n"/>
      <c r="W44" s="57">
        <f>IFERROR(U44*V44, 0)</f>
        <v/>
      </c>
      <c r="X44" s="55" t="n"/>
      <c r="Y44" s="56" t="n"/>
      <c r="Z44" s="57">
        <f>IFERROR(X44*Y44, 0)</f>
        <v/>
      </c>
      <c r="AA44" s="55" t="n"/>
      <c r="AB44" s="56" t="n"/>
      <c r="AC44" s="57">
        <f>IFERROR(AA44*AB44, 0)</f>
        <v/>
      </c>
      <c r="AD44" s="55" t="n"/>
      <c r="AE44" s="56" t="n"/>
      <c r="AF44" s="57">
        <f>IFERROR(AD44*AE44, 0)</f>
        <v/>
      </c>
      <c r="AG44" s="55" t="n"/>
      <c r="AH44" s="56" t="n"/>
      <c r="AI44" s="57">
        <f>IFERROR(AG44*AH44, 0)</f>
        <v/>
      </c>
      <c r="AJ44" s="55" t="n"/>
      <c r="AK44" s="56" t="n"/>
      <c r="AL44" s="57">
        <f>IFERROR(AJ44*AK44, 0)</f>
        <v/>
      </c>
      <c r="AM44" s="55" t="n"/>
      <c r="AN44" s="56" t="n"/>
      <c r="AO44" s="57">
        <f>IFERROR(AM44*AN44, 0)</f>
        <v/>
      </c>
      <c r="AP44" s="55" t="n"/>
      <c r="AQ44" s="56" t="n"/>
      <c r="AR44" s="57">
        <f>IFERROR(AP44*AQ44, 0)</f>
        <v/>
      </c>
      <c r="AS44" s="55" t="n"/>
      <c r="AT44" s="56" t="n"/>
      <c r="AU44" s="57">
        <f>IFERROR(AS44*AT44, 0)</f>
        <v/>
      </c>
      <c r="AV44" s="55" t="n"/>
      <c r="AW44" s="56" t="n"/>
      <c r="AX44" s="57">
        <f>IFERROR(AV44*AW44, 0)</f>
        <v/>
      </c>
      <c r="AY44" s="55" t="n"/>
      <c r="AZ44" s="56" t="n"/>
      <c r="BA44" s="57">
        <f>IFERROR(AY44*AZ44, 0)</f>
        <v/>
      </c>
      <c r="BB44" s="55" t="n"/>
      <c r="BC44" s="56" t="n"/>
      <c r="BD44" s="57">
        <f>IFERROR(BB44*BC44, 0)</f>
        <v/>
      </c>
      <c r="BE44" s="55" t="n"/>
      <c r="BF44" s="56" t="n"/>
      <c r="BG44" s="57">
        <f>IFERROR(BE44*BF44, 0)</f>
        <v/>
      </c>
      <c r="BH44" s="55" t="n"/>
      <c r="BI44" s="56" t="n"/>
      <c r="BJ44" s="57">
        <f>IFERROR(BH44*BI44, 0)</f>
        <v/>
      </c>
      <c r="BK44" s="55" t="n"/>
      <c r="BL44" s="56" t="n"/>
      <c r="BM44" s="57">
        <f>IFERROR(BK44*BL44, 0)</f>
        <v/>
      </c>
      <c r="BN44" s="55" t="n"/>
      <c r="BO44" s="56" t="n"/>
      <c r="BP44" s="57">
        <f>IFERROR(BN44*BO44, 0)</f>
        <v/>
      </c>
      <c r="BQ44" s="55" t="n"/>
      <c r="BR44" s="56" t="n"/>
      <c r="BS44" s="57">
        <f>IFERROR(BQ44*BR44, 0)</f>
        <v/>
      </c>
      <c r="BT44" s="55" t="n"/>
      <c r="BU44" s="56" t="n"/>
      <c r="BV44" s="57">
        <f>IFERROR(BT44*BU44, 0)</f>
        <v/>
      </c>
      <c r="BW44" s="55" t="n"/>
      <c r="BX44" s="56" t="n"/>
      <c r="BY44" s="57">
        <f>IFERROR(BW44*BX44, 0)</f>
        <v/>
      </c>
      <c r="BZ44" s="55" t="n"/>
      <c r="CA44" s="56" t="n"/>
      <c r="CB44" s="57">
        <f>IFERROR(BZ44*CA44, 0)</f>
        <v/>
      </c>
      <c r="CC44" s="55" t="n"/>
      <c r="CD44" s="56" t="n"/>
      <c r="CE44" s="57">
        <f>IFERROR(CC44*CD44, 0)</f>
        <v/>
      </c>
      <c r="CF44" s="55" t="n"/>
      <c r="CG44" s="56" t="n"/>
      <c r="CH44" s="57">
        <f>IFERROR(CF44*CG44, 0)</f>
        <v/>
      </c>
      <c r="CI44" s="55" t="n"/>
      <c r="CJ44" s="56" t="n"/>
      <c r="CK44" s="57">
        <f>IFERROR(CI44*CJ44, 0)</f>
        <v/>
      </c>
      <c r="CL44" s="55" t="n"/>
      <c r="CM44" s="56" t="n"/>
      <c r="CN44" s="57">
        <f>IFERROR(CL44*CM44, 0)</f>
        <v/>
      </c>
      <c r="CO44" s="55" t="n"/>
      <c r="CP44" s="56" t="n"/>
      <c r="CQ44" s="57">
        <f>IFERROR(CO44*CP44, 0)</f>
        <v/>
      </c>
      <c r="CR44" s="55" t="n"/>
      <c r="CS44" s="56" t="n"/>
      <c r="CT44" s="57">
        <f>IFERROR(CR44*CS44, 0)</f>
        <v/>
      </c>
      <c r="CU44" s="58">
        <f>IFERROR(SUM(F44,I44,L44,O44,R44,U44,X44,AA44,AD44,AG44,AJ44,AM44,AP44,AS44,AV44,AY44,BB44,BE44,BH44,BK44,BN44,BQ44,BT44,BW44,BZ44,CC44,CF44,CI44,CL44,CO44,CR44), 0)</f>
        <v/>
      </c>
      <c r="CV44" s="57">
        <f>IFERROR(AVERAGE(G44,J44,M44,P44,S44,V44,Y44,AB44,AE44,AH44,AK44,AN44,AQ44,AT44,AW44,AZ44,BC44,BF44,BI44,BL44,BO44,BR44,BU44,BX44,CA44,CD44,CG44,CJ44,CM44,CP44,CS44), 0)</f>
        <v/>
      </c>
      <c r="CW44" s="57">
        <f>CU44*CV44</f>
        <v/>
      </c>
    </row>
    <row r="45" ht="15.75" customHeight="1">
      <c r="A45" s="53" t="inlineStr">
        <is>
          <t>Coca cola zero 1,5 ltrs</t>
        </is>
      </c>
      <c r="B45" s="53" t="inlineStr">
        <is>
          <t>Und</t>
        </is>
      </c>
      <c r="C45" s="55" t="n"/>
      <c r="D45" s="56" t="n"/>
      <c r="E45" s="57">
        <f>IFERROR(C45*D45, 0)</f>
        <v/>
      </c>
      <c r="F45" s="55" t="n"/>
      <c r="G45" s="56" t="n"/>
      <c r="H45" s="57">
        <f>IFERROR(F45*G45, 0)</f>
        <v/>
      </c>
      <c r="I45" s="55" t="n"/>
      <c r="J45" s="56" t="n"/>
      <c r="K45" s="57">
        <f>IFERROR(I45*J45, 0)</f>
        <v/>
      </c>
      <c r="L45" s="55" t="n"/>
      <c r="M45" s="56" t="n"/>
      <c r="N45" s="57">
        <f>IFERROR(L45*M45, 0)</f>
        <v/>
      </c>
      <c r="O45" s="55" t="n"/>
      <c r="P45" s="56" t="n"/>
      <c r="Q45" s="57">
        <f>IFERROR(O45*P45, 0)</f>
        <v/>
      </c>
      <c r="R45" s="55" t="n"/>
      <c r="S45" s="56" t="n"/>
      <c r="T45" s="57">
        <f>IFERROR(R45*S45, 0)</f>
        <v/>
      </c>
      <c r="U45" s="55" t="n"/>
      <c r="V45" s="56" t="n"/>
      <c r="W45" s="57">
        <f>IFERROR(U45*V45, 0)</f>
        <v/>
      </c>
      <c r="X45" s="55" t="n"/>
      <c r="Y45" s="56" t="n"/>
      <c r="Z45" s="57">
        <f>IFERROR(X45*Y45, 0)</f>
        <v/>
      </c>
      <c r="AA45" s="55" t="n"/>
      <c r="AB45" s="56" t="n"/>
      <c r="AC45" s="57">
        <f>IFERROR(AA45*AB45, 0)</f>
        <v/>
      </c>
      <c r="AD45" s="55" t="n"/>
      <c r="AE45" s="56" t="n"/>
      <c r="AF45" s="57">
        <f>IFERROR(AD45*AE45, 0)</f>
        <v/>
      </c>
      <c r="AG45" s="55" t="n"/>
      <c r="AH45" s="56" t="n"/>
      <c r="AI45" s="57">
        <f>IFERROR(AG45*AH45, 0)</f>
        <v/>
      </c>
      <c r="AJ45" s="55" t="n"/>
      <c r="AK45" s="56" t="n"/>
      <c r="AL45" s="57">
        <f>IFERROR(AJ45*AK45, 0)</f>
        <v/>
      </c>
      <c r="AM45" s="55" t="n"/>
      <c r="AN45" s="56" t="n"/>
      <c r="AO45" s="57">
        <f>IFERROR(AM45*AN45, 0)</f>
        <v/>
      </c>
      <c r="AP45" s="55" t="n"/>
      <c r="AQ45" s="56" t="n"/>
      <c r="AR45" s="57">
        <f>IFERROR(AP45*AQ45, 0)</f>
        <v/>
      </c>
      <c r="AS45" s="55" t="n"/>
      <c r="AT45" s="56" t="n"/>
      <c r="AU45" s="57">
        <f>IFERROR(AS45*AT45, 0)</f>
        <v/>
      </c>
      <c r="AV45" s="55" t="n"/>
      <c r="AW45" s="56" t="n"/>
      <c r="AX45" s="57">
        <f>IFERROR(AV45*AW45, 0)</f>
        <v/>
      </c>
      <c r="AY45" s="55" t="n"/>
      <c r="AZ45" s="56" t="n"/>
      <c r="BA45" s="57">
        <f>IFERROR(AY45*AZ45, 0)</f>
        <v/>
      </c>
      <c r="BB45" s="55" t="n"/>
      <c r="BC45" s="56" t="n"/>
      <c r="BD45" s="57">
        <f>IFERROR(BB45*BC45, 0)</f>
        <v/>
      </c>
      <c r="BE45" s="55" t="n"/>
      <c r="BF45" s="56" t="n"/>
      <c r="BG45" s="57">
        <f>IFERROR(BE45*BF45, 0)</f>
        <v/>
      </c>
      <c r="BH45" s="55" t="n"/>
      <c r="BI45" s="56" t="n"/>
      <c r="BJ45" s="57">
        <f>IFERROR(BH45*BI45, 0)</f>
        <v/>
      </c>
      <c r="BK45" s="55" t="n"/>
      <c r="BL45" s="56" t="n"/>
      <c r="BM45" s="57">
        <f>IFERROR(BK45*BL45, 0)</f>
        <v/>
      </c>
      <c r="BN45" s="55" t="n"/>
      <c r="BO45" s="56" t="n"/>
      <c r="BP45" s="57">
        <f>IFERROR(BN45*BO45, 0)</f>
        <v/>
      </c>
      <c r="BQ45" s="55" t="n"/>
      <c r="BR45" s="56" t="n"/>
      <c r="BS45" s="57">
        <f>IFERROR(BQ45*BR45, 0)</f>
        <v/>
      </c>
      <c r="BT45" s="55" t="n"/>
      <c r="BU45" s="56" t="n"/>
      <c r="BV45" s="57">
        <f>IFERROR(BT45*BU45, 0)</f>
        <v/>
      </c>
      <c r="BW45" s="55" t="n"/>
      <c r="BX45" s="56" t="n"/>
      <c r="BY45" s="57">
        <f>IFERROR(BW45*BX45, 0)</f>
        <v/>
      </c>
      <c r="BZ45" s="55" t="n"/>
      <c r="CA45" s="56" t="n"/>
      <c r="CB45" s="57">
        <f>IFERROR(BZ45*CA45, 0)</f>
        <v/>
      </c>
      <c r="CC45" s="55" t="n"/>
      <c r="CD45" s="56" t="n"/>
      <c r="CE45" s="57">
        <f>IFERROR(CC45*CD45, 0)</f>
        <v/>
      </c>
      <c r="CF45" s="55" t="n"/>
      <c r="CG45" s="56" t="n"/>
      <c r="CH45" s="57">
        <f>IFERROR(CF45*CG45, 0)</f>
        <v/>
      </c>
      <c r="CI45" s="55" t="n"/>
      <c r="CJ45" s="56" t="n"/>
      <c r="CK45" s="57">
        <f>IFERROR(CI45*CJ45, 0)</f>
        <v/>
      </c>
      <c r="CL45" s="55" t="n"/>
      <c r="CM45" s="56" t="n"/>
      <c r="CN45" s="57">
        <f>IFERROR(CL45*CM45, 0)</f>
        <v/>
      </c>
      <c r="CO45" s="55" t="n"/>
      <c r="CP45" s="56" t="n"/>
      <c r="CQ45" s="57">
        <f>IFERROR(CO45*CP45, 0)</f>
        <v/>
      </c>
      <c r="CR45" s="55" t="n"/>
      <c r="CS45" s="56" t="n"/>
      <c r="CT45" s="57">
        <f>IFERROR(CR45*CS45, 0)</f>
        <v/>
      </c>
      <c r="CU45" s="58">
        <f>IFERROR(SUM(F45,I45,L45,O45,R45,U45,X45,AA45,AD45,AG45,AJ45,AM45,AP45,AS45,AV45,AY45,BB45,BE45,BH45,BK45,BN45,BQ45,BT45,BW45,BZ45,CC45,CF45,CI45,CL45,CO45,CR45), 0)</f>
        <v/>
      </c>
      <c r="CV45" s="57">
        <f>IFERROR(AVERAGE(G45,J45,M45,P45,S45,V45,Y45,AB45,AE45,AH45,AK45,AN45,AQ45,AT45,AW45,AZ45,BC45,BF45,BI45,BL45,BO45,BR45,BU45,BX45,CA45,CD45,CG45,CJ45,CM45,CP45,CS45), 0)</f>
        <v/>
      </c>
      <c r="CW45" s="57">
        <f>CU45*CV45</f>
        <v/>
      </c>
    </row>
    <row r="46" ht="15.75" customHeight="1">
      <c r="A46" s="53" t="inlineStr">
        <is>
          <t>Itamarindo postobo n 350 ml vidrio r x 30</t>
        </is>
      </c>
      <c r="B46" s="53" t="inlineStr">
        <is>
          <t>Und</t>
        </is>
      </c>
      <c r="C46" s="55" t="n"/>
      <c r="D46" s="56" t="n"/>
      <c r="E46" s="57">
        <f>IFERROR(C46*D46, 0)</f>
        <v/>
      </c>
      <c r="F46" s="55" t="n"/>
      <c r="G46" s="56" t="n"/>
      <c r="H46" s="57">
        <f>IFERROR(F46*G46, 0)</f>
        <v/>
      </c>
      <c r="I46" s="55" t="n"/>
      <c r="J46" s="56" t="n"/>
      <c r="K46" s="57">
        <f>IFERROR(I46*J46, 0)</f>
        <v/>
      </c>
      <c r="L46" s="55" t="n"/>
      <c r="M46" s="56" t="n"/>
      <c r="N46" s="57">
        <f>IFERROR(L46*M46, 0)</f>
        <v/>
      </c>
      <c r="O46" s="55" t="n"/>
      <c r="P46" s="56" t="n"/>
      <c r="Q46" s="57">
        <f>IFERROR(O46*P46, 0)</f>
        <v/>
      </c>
      <c r="R46" s="55" t="n"/>
      <c r="S46" s="56" t="n"/>
      <c r="T46" s="57">
        <f>IFERROR(R46*S46, 0)</f>
        <v/>
      </c>
      <c r="U46" s="55" t="n"/>
      <c r="V46" s="56" t="n"/>
      <c r="W46" s="57">
        <f>IFERROR(U46*V46, 0)</f>
        <v/>
      </c>
      <c r="X46" s="55" t="n"/>
      <c r="Y46" s="56" t="n"/>
      <c r="Z46" s="57">
        <f>IFERROR(X46*Y46, 0)</f>
        <v/>
      </c>
      <c r="AA46" s="55" t="n"/>
      <c r="AB46" s="56" t="n"/>
      <c r="AC46" s="57">
        <f>IFERROR(AA46*AB46, 0)</f>
        <v/>
      </c>
      <c r="AD46" s="55" t="n"/>
      <c r="AE46" s="56" t="n"/>
      <c r="AF46" s="57">
        <f>IFERROR(AD46*AE46, 0)</f>
        <v/>
      </c>
      <c r="AG46" s="55" t="n"/>
      <c r="AH46" s="56" t="n"/>
      <c r="AI46" s="57">
        <f>IFERROR(AG46*AH46, 0)</f>
        <v/>
      </c>
      <c r="AJ46" s="55" t="n"/>
      <c r="AK46" s="56" t="n"/>
      <c r="AL46" s="57">
        <f>IFERROR(AJ46*AK46, 0)</f>
        <v/>
      </c>
      <c r="AM46" s="55" t="n"/>
      <c r="AN46" s="56" t="n"/>
      <c r="AO46" s="57">
        <f>IFERROR(AM46*AN46, 0)</f>
        <v/>
      </c>
      <c r="AP46" s="55" t="n"/>
      <c r="AQ46" s="56" t="n"/>
      <c r="AR46" s="57">
        <f>IFERROR(AP46*AQ46, 0)</f>
        <v/>
      </c>
      <c r="AS46" s="55" t="n"/>
      <c r="AT46" s="56" t="n"/>
      <c r="AU46" s="57">
        <f>IFERROR(AS46*AT46, 0)</f>
        <v/>
      </c>
      <c r="AV46" s="55" t="n"/>
      <c r="AW46" s="56" t="n"/>
      <c r="AX46" s="57">
        <f>IFERROR(AV46*AW46, 0)</f>
        <v/>
      </c>
      <c r="AY46" s="55" t="n"/>
      <c r="AZ46" s="56" t="n"/>
      <c r="BA46" s="57">
        <f>IFERROR(AY46*AZ46, 0)</f>
        <v/>
      </c>
      <c r="BB46" s="55" t="n"/>
      <c r="BC46" s="56" t="n"/>
      <c r="BD46" s="57">
        <f>IFERROR(BB46*BC46, 0)</f>
        <v/>
      </c>
      <c r="BE46" s="55" t="n"/>
      <c r="BF46" s="56" t="n"/>
      <c r="BG46" s="57">
        <f>IFERROR(BE46*BF46, 0)</f>
        <v/>
      </c>
      <c r="BH46" s="55" t="n"/>
      <c r="BI46" s="56" t="n"/>
      <c r="BJ46" s="57">
        <f>IFERROR(BH46*BI46, 0)</f>
        <v/>
      </c>
      <c r="BK46" s="55" t="n"/>
      <c r="BL46" s="56" t="n"/>
      <c r="BM46" s="57">
        <f>IFERROR(BK46*BL46, 0)</f>
        <v/>
      </c>
      <c r="BN46" s="55" t="n">
        <v>15</v>
      </c>
      <c r="BO46" s="56" t="n">
        <v>1260.5</v>
      </c>
      <c r="BP46" s="57" t="n">
        <v>18907.5</v>
      </c>
      <c r="BQ46" s="55" t="n"/>
      <c r="BR46" s="56" t="n"/>
      <c r="BS46" s="57">
        <f>IFERROR(BQ46*BR46, 0)</f>
        <v/>
      </c>
      <c r="BT46" s="55" t="n"/>
      <c r="BU46" s="56" t="n"/>
      <c r="BV46" s="57">
        <f>IFERROR(BT46*BU46, 0)</f>
        <v/>
      </c>
      <c r="BW46" s="55" t="n"/>
      <c r="BX46" s="56" t="n"/>
      <c r="BY46" s="57">
        <f>IFERROR(BW46*BX46, 0)</f>
        <v/>
      </c>
      <c r="BZ46" s="55" t="n"/>
      <c r="CA46" s="56" t="n"/>
      <c r="CB46" s="57">
        <f>IFERROR(BZ46*CA46, 0)</f>
        <v/>
      </c>
      <c r="CC46" s="55" t="n"/>
      <c r="CD46" s="56" t="n"/>
      <c r="CE46" s="57">
        <f>IFERROR(CC46*CD46, 0)</f>
        <v/>
      </c>
      <c r="CF46" s="55" t="n"/>
      <c r="CG46" s="56" t="n"/>
      <c r="CH46" s="57">
        <f>IFERROR(CF46*CG46, 0)</f>
        <v/>
      </c>
      <c r="CI46" s="55" t="n"/>
      <c r="CJ46" s="56" t="n"/>
      <c r="CK46" s="57">
        <f>IFERROR(CI46*CJ46, 0)</f>
        <v/>
      </c>
      <c r="CL46" s="55" t="n"/>
      <c r="CM46" s="56" t="n"/>
      <c r="CN46" s="57">
        <f>IFERROR(CL46*CM46, 0)</f>
        <v/>
      </c>
      <c r="CO46" s="55" t="n"/>
      <c r="CP46" s="56" t="n"/>
      <c r="CQ46" s="57">
        <f>IFERROR(CO46*CP46, 0)</f>
        <v/>
      </c>
      <c r="CR46" s="55" t="n"/>
      <c r="CS46" s="56" t="n"/>
      <c r="CT46" s="57">
        <f>IFERROR(CR46*CS46, 0)</f>
        <v/>
      </c>
      <c r="CU46" s="58">
        <f>IFERROR(SUM(F46,I46,L46,O46,R46,U46,X46,AA46,AD46,AG46,AJ46,AM46,AP46,AS46,AV46,AY46,BB46,BE46,BH46,BK46,BN46,BQ46,BT46,BW46,BZ46,CC46,CF46,CI46,CL46,CO46,CR46), 0)</f>
        <v/>
      </c>
      <c r="CV46" s="57">
        <f>IFERROR(AVERAGE(G46,J46,M46,P46,S46,V46,Y46,AB46,AE46,AH46,AK46,AN46,AQ46,AT46,AW46,AZ46,BC46,BF46,BI46,BL46,BO46,BR46,BU46,BX46,CA46,CD46,CG46,CJ46,CM46,CP46,CS46), 0)</f>
        <v/>
      </c>
      <c r="CW46" s="57">
        <f>CU46*CV46</f>
        <v/>
      </c>
    </row>
    <row r="47" ht="15.75" customHeight="1">
      <c r="A47" s="53" t="inlineStr">
        <is>
          <t>Piña nacional 350 ml vidrio r x 30</t>
        </is>
      </c>
      <c r="B47" s="53" t="inlineStr">
        <is>
          <t>Und</t>
        </is>
      </c>
      <c r="C47" s="55" t="n"/>
      <c r="D47" s="56" t="n"/>
      <c r="E47" s="57">
        <f>IFERROR(C47*D47, 0)</f>
        <v/>
      </c>
      <c r="F47" s="55" t="n"/>
      <c r="G47" s="56" t="n"/>
      <c r="H47" s="57">
        <f>IFERROR(F47*G47, 0)</f>
        <v/>
      </c>
      <c r="I47" s="55" t="n"/>
      <c r="J47" s="56" t="n"/>
      <c r="K47" s="57">
        <f>IFERROR(I47*J47, 0)</f>
        <v/>
      </c>
      <c r="L47" s="55" t="n"/>
      <c r="M47" s="56" t="n"/>
      <c r="N47" s="57">
        <f>IFERROR(L47*M47, 0)</f>
        <v/>
      </c>
      <c r="O47" s="55" t="n">
        <v>15</v>
      </c>
      <c r="P47" s="56" t="n">
        <v>1450.98</v>
      </c>
      <c r="Q47" s="57" t="n">
        <v>21764.7</v>
      </c>
      <c r="R47" s="55" t="n"/>
      <c r="S47" s="56" t="n"/>
      <c r="T47" s="57">
        <f>IFERROR(R47*S47, 0)</f>
        <v/>
      </c>
      <c r="U47" s="55" t="n"/>
      <c r="V47" s="56" t="n"/>
      <c r="W47" s="57">
        <f>IFERROR(U47*V47, 0)</f>
        <v/>
      </c>
      <c r="X47" s="55" t="n"/>
      <c r="Y47" s="56" t="n"/>
      <c r="Z47" s="57">
        <f>IFERROR(X47*Y47, 0)</f>
        <v/>
      </c>
      <c r="AA47" s="55" t="n"/>
      <c r="AB47" s="56" t="n"/>
      <c r="AC47" s="57">
        <f>IFERROR(AA47*AB47, 0)</f>
        <v/>
      </c>
      <c r="AD47" s="55" t="n"/>
      <c r="AE47" s="56" t="n"/>
      <c r="AF47" s="57">
        <f>IFERROR(AD47*AE47, 0)</f>
        <v/>
      </c>
      <c r="AG47" s="55" t="n"/>
      <c r="AH47" s="56" t="n"/>
      <c r="AI47" s="57">
        <f>IFERROR(AG47*AH47, 0)</f>
        <v/>
      </c>
      <c r="AJ47" s="55" t="n">
        <v>15</v>
      </c>
      <c r="AK47" s="56" t="n">
        <v>1450.98</v>
      </c>
      <c r="AL47" s="57" t="n">
        <v>21764.7</v>
      </c>
      <c r="AM47" s="55" t="n"/>
      <c r="AN47" s="56" t="n"/>
      <c r="AO47" s="57">
        <f>IFERROR(AM47*AN47, 0)</f>
        <v/>
      </c>
      <c r="AP47" s="55" t="n"/>
      <c r="AQ47" s="56" t="n"/>
      <c r="AR47" s="57">
        <f>IFERROR(AP47*AQ47, 0)</f>
        <v/>
      </c>
      <c r="AS47" s="55" t="n"/>
      <c r="AT47" s="56" t="n"/>
      <c r="AU47" s="57">
        <f>IFERROR(AS47*AT47, 0)</f>
        <v/>
      </c>
      <c r="AV47" s="55" t="n"/>
      <c r="AW47" s="56" t="n"/>
      <c r="AX47" s="57">
        <f>IFERROR(AV47*AW47, 0)</f>
        <v/>
      </c>
      <c r="AY47" s="55" t="n"/>
      <c r="AZ47" s="56" t="n"/>
      <c r="BA47" s="57">
        <f>IFERROR(AY47*AZ47, 0)</f>
        <v/>
      </c>
      <c r="BB47" s="55" t="n"/>
      <c r="BC47" s="56" t="n"/>
      <c r="BD47" s="57">
        <f>IFERROR(BB47*BC47, 0)</f>
        <v/>
      </c>
      <c r="BE47" s="55" t="n"/>
      <c r="BF47" s="56" t="n"/>
      <c r="BG47" s="57">
        <f>IFERROR(BE47*BF47, 0)</f>
        <v/>
      </c>
      <c r="BH47" s="55" t="n"/>
      <c r="BI47" s="56" t="n"/>
      <c r="BJ47" s="57">
        <f>IFERROR(BH47*BI47, 0)</f>
        <v/>
      </c>
      <c r="BK47" s="55" t="n"/>
      <c r="BL47" s="56" t="n"/>
      <c r="BM47" s="57">
        <f>IFERROR(BK47*BL47, 0)</f>
        <v/>
      </c>
      <c r="BN47" s="55" t="n"/>
      <c r="BO47" s="56" t="n"/>
      <c r="BP47" s="57">
        <f>IFERROR(BN47*BO47, 0)</f>
        <v/>
      </c>
      <c r="BQ47" s="55" t="n"/>
      <c r="BR47" s="56" t="n"/>
      <c r="BS47" s="57">
        <f>IFERROR(BQ47*BR47, 0)</f>
        <v/>
      </c>
      <c r="BT47" s="55" t="n"/>
      <c r="BU47" s="56" t="n"/>
      <c r="BV47" s="57">
        <f>IFERROR(BT47*BU47, 0)</f>
        <v/>
      </c>
      <c r="BW47" s="55" t="n"/>
      <c r="BX47" s="56" t="n"/>
      <c r="BY47" s="57">
        <f>IFERROR(BW47*BX47, 0)</f>
        <v/>
      </c>
      <c r="BZ47" s="55" t="n"/>
      <c r="CA47" s="56" t="n"/>
      <c r="CB47" s="57">
        <f>IFERROR(BZ47*CA47, 0)</f>
        <v/>
      </c>
      <c r="CC47" s="55" t="n"/>
      <c r="CD47" s="56" t="n"/>
      <c r="CE47" s="57">
        <f>IFERROR(CC47*CD47, 0)</f>
        <v/>
      </c>
      <c r="CF47" s="55" t="n"/>
      <c r="CG47" s="56" t="n"/>
      <c r="CH47" s="57">
        <f>IFERROR(CF47*CG47, 0)</f>
        <v/>
      </c>
      <c r="CI47" s="55" t="n"/>
      <c r="CJ47" s="56" t="n"/>
      <c r="CK47" s="57">
        <f>IFERROR(CI47*CJ47, 0)</f>
        <v/>
      </c>
      <c r="CL47" s="55" t="n"/>
      <c r="CM47" s="56" t="n"/>
      <c r="CN47" s="57">
        <f>IFERROR(CL47*CM47, 0)</f>
        <v/>
      </c>
      <c r="CO47" s="55" t="n"/>
      <c r="CP47" s="56" t="n"/>
      <c r="CQ47" s="57">
        <f>IFERROR(CO47*CP47, 0)</f>
        <v/>
      </c>
      <c r="CR47" s="55" t="n"/>
      <c r="CS47" s="56" t="n"/>
      <c r="CT47" s="57">
        <f>IFERROR(CR47*CS47, 0)</f>
        <v/>
      </c>
      <c r="CU47" s="58">
        <f>IFERROR(SUM(F47,I47,L47,O47,R47,U47,X47,AA47,AD47,AG47,AJ47,AM47,AP47,AS47,AV47,AY47,BB47,BE47,BH47,BK47,BN47,BQ47,BT47,BW47,BZ47,CC47,CF47,CI47,CL47,CO47,CR47), 0)</f>
        <v/>
      </c>
      <c r="CV47" s="57">
        <f>IFERROR(AVERAGE(G47,J47,M47,P47,S47,V47,Y47,AB47,AE47,AH47,AK47,AN47,AQ47,AT47,AW47,AZ47,BC47,BF47,BI47,BL47,BO47,BR47,BU47,BX47,CA47,CD47,CG47,CJ47,CM47,CP47,CS47), 0)</f>
        <v/>
      </c>
      <c r="CW47" s="57">
        <f>CU47*CV47</f>
        <v/>
      </c>
    </row>
    <row r="48" ht="15.75" customHeight="1">
      <c r="A48" s="53" t="inlineStr">
        <is>
          <t>Bolsa 5kl escarcha</t>
        </is>
      </c>
      <c r="B48" s="53" t="inlineStr">
        <is>
          <t>Und</t>
        </is>
      </c>
      <c r="C48" s="55" t="n"/>
      <c r="D48" s="56" t="n"/>
      <c r="E48" s="57">
        <f>IFERROR(C48*D48, 0)</f>
        <v/>
      </c>
      <c r="F48" s="55" t="n"/>
      <c r="G48" s="56" t="n"/>
      <c r="H48" s="57">
        <f>IFERROR(F48*G48, 0)</f>
        <v/>
      </c>
      <c r="I48" s="55" t="n"/>
      <c r="J48" s="56" t="n"/>
      <c r="K48" s="57">
        <f>IFERROR(I48*J48, 0)</f>
        <v/>
      </c>
      <c r="L48" s="55" t="n"/>
      <c r="M48" s="56" t="n"/>
      <c r="N48" s="57">
        <f>IFERROR(L48*M48, 0)</f>
        <v/>
      </c>
      <c r="O48" s="55" t="n"/>
      <c r="P48" s="56" t="n"/>
      <c r="Q48" s="57">
        <f>IFERROR(O48*P48, 0)</f>
        <v/>
      </c>
      <c r="R48" s="55" t="n"/>
      <c r="S48" s="56" t="n"/>
      <c r="T48" s="57">
        <f>IFERROR(R48*S48, 0)</f>
        <v/>
      </c>
      <c r="U48" s="55" t="n"/>
      <c r="V48" s="56" t="n"/>
      <c r="W48" s="57">
        <f>IFERROR(U48*V48, 0)</f>
        <v/>
      </c>
      <c r="X48" s="55" t="n"/>
      <c r="Y48" s="56" t="n"/>
      <c r="Z48" s="57">
        <f>IFERROR(X48*Y48, 0)</f>
        <v/>
      </c>
      <c r="AA48" s="55" t="n"/>
      <c r="AB48" s="56" t="n"/>
      <c r="AC48" s="57">
        <f>IFERROR(AA48*AB48, 0)</f>
        <v/>
      </c>
      <c r="AD48" s="55" t="n"/>
      <c r="AE48" s="56" t="n"/>
      <c r="AF48" s="57">
        <f>IFERROR(AD48*AE48, 0)</f>
        <v/>
      </c>
      <c r="AG48" s="55" t="n"/>
      <c r="AH48" s="56" t="n"/>
      <c r="AI48" s="57">
        <f>IFERROR(AG48*AH48, 0)</f>
        <v/>
      </c>
      <c r="AJ48" s="55" t="n"/>
      <c r="AK48" s="56" t="n"/>
      <c r="AL48" s="57">
        <f>IFERROR(AJ48*AK48, 0)</f>
        <v/>
      </c>
      <c r="AM48" s="55" t="n"/>
      <c r="AN48" s="56" t="n"/>
      <c r="AO48" s="57">
        <f>IFERROR(AM48*AN48, 0)</f>
        <v/>
      </c>
      <c r="AP48" s="55" t="n"/>
      <c r="AQ48" s="56" t="n"/>
      <c r="AR48" s="57">
        <f>IFERROR(AP48*AQ48, 0)</f>
        <v/>
      </c>
      <c r="AS48" s="55" t="n"/>
      <c r="AT48" s="56" t="n"/>
      <c r="AU48" s="57">
        <f>IFERROR(AS48*AT48, 0)</f>
        <v/>
      </c>
      <c r="AV48" s="55" t="n"/>
      <c r="AW48" s="56" t="n"/>
      <c r="AX48" s="57">
        <f>IFERROR(AV48*AW48, 0)</f>
        <v/>
      </c>
      <c r="AY48" s="55" t="n">
        <v>2</v>
      </c>
      <c r="AZ48" s="56" t="n">
        <v>5000</v>
      </c>
      <c r="BA48" s="57" t="n">
        <v>10000</v>
      </c>
      <c r="BB48" s="55" t="n"/>
      <c r="BC48" s="56" t="n"/>
      <c r="BD48" s="57">
        <f>IFERROR(BB48*BC48, 0)</f>
        <v/>
      </c>
      <c r="BE48" s="55" t="n"/>
      <c r="BF48" s="56" t="n"/>
      <c r="BG48" s="57">
        <f>IFERROR(BE48*BF48, 0)</f>
        <v/>
      </c>
      <c r="BH48" s="55" t="n"/>
      <c r="BI48" s="56" t="n"/>
      <c r="BJ48" s="57">
        <f>IFERROR(BH48*BI48, 0)</f>
        <v/>
      </c>
      <c r="BK48" s="55" t="n"/>
      <c r="BL48" s="56" t="n"/>
      <c r="BM48" s="57">
        <f>IFERROR(BK48*BL48, 0)</f>
        <v/>
      </c>
      <c r="BN48" s="55" t="n"/>
      <c r="BO48" s="56" t="n"/>
      <c r="BP48" s="57">
        <f>IFERROR(BN48*BO48, 0)</f>
        <v/>
      </c>
      <c r="BQ48" s="55" t="n"/>
      <c r="BR48" s="56" t="n"/>
      <c r="BS48" s="57">
        <f>IFERROR(BQ48*BR48, 0)</f>
        <v/>
      </c>
      <c r="BT48" s="55" t="n"/>
      <c r="BU48" s="56" t="n"/>
      <c r="BV48" s="57">
        <f>IFERROR(BT48*BU48, 0)</f>
        <v/>
      </c>
      <c r="BW48" s="55" t="n"/>
      <c r="BX48" s="56" t="n"/>
      <c r="BY48" s="57">
        <f>IFERROR(BW48*BX48, 0)</f>
        <v/>
      </c>
      <c r="BZ48" s="55" t="n"/>
      <c r="CA48" s="56" t="n"/>
      <c r="CB48" s="57">
        <f>IFERROR(BZ48*CA48, 0)</f>
        <v/>
      </c>
      <c r="CC48" s="55" t="n"/>
      <c r="CD48" s="56" t="n"/>
      <c r="CE48" s="57">
        <f>IFERROR(CC48*CD48, 0)</f>
        <v/>
      </c>
      <c r="CF48" s="55" t="n"/>
      <c r="CG48" s="56" t="n"/>
      <c r="CH48" s="57">
        <f>IFERROR(CF48*CG48, 0)</f>
        <v/>
      </c>
      <c r="CI48" s="55" t="n"/>
      <c r="CJ48" s="56" t="n"/>
      <c r="CK48" s="57">
        <f>IFERROR(CI48*CJ48, 0)</f>
        <v/>
      </c>
      <c r="CL48" s="55" t="n"/>
      <c r="CM48" s="56" t="n"/>
      <c r="CN48" s="57">
        <f>IFERROR(CL48*CM48, 0)</f>
        <v/>
      </c>
      <c r="CO48" s="55" t="n"/>
      <c r="CP48" s="56" t="n"/>
      <c r="CQ48" s="57">
        <f>IFERROR(CO48*CP48, 0)</f>
        <v/>
      </c>
      <c r="CR48" s="55" t="n"/>
      <c r="CS48" s="56" t="n"/>
      <c r="CT48" s="57">
        <f>IFERROR(CR48*CS48, 0)</f>
        <v/>
      </c>
      <c r="CU48" s="58">
        <f>IFERROR(SUM(F48,I48,L48,O48,R48,U48,X48,AA48,AD48,AG48,AJ48,AM48,AP48,AS48,AV48,AY48,BB48,BE48,BH48,BK48,BN48,BQ48,BT48,BW48,BZ48,CC48,CF48,CI48,CL48,CO48,CR48), 0)</f>
        <v/>
      </c>
      <c r="CV48" s="57">
        <f>IFERROR(AVERAGE(G48,J48,M48,P48,S48,V48,Y48,AB48,AE48,AH48,AK48,AN48,AQ48,AT48,AW48,AZ48,BC48,BF48,BI48,BL48,BO48,BR48,BU48,BX48,CA48,CD48,CG48,CJ48,CM48,CP48,CS48), 0)</f>
        <v/>
      </c>
      <c r="CW48" s="57">
        <f>CU48*CV48</f>
        <v/>
      </c>
    </row>
    <row r="49" ht="15.75" customHeight="1">
      <c r="A49" s="53" t="inlineStr">
        <is>
          <t>Itamarindo postobo n 1500 ml pet x 12</t>
        </is>
      </c>
      <c r="B49" s="53" t="inlineStr">
        <is>
          <t>Und</t>
        </is>
      </c>
      <c r="C49" s="55" t="n"/>
      <c r="D49" s="56" t="n"/>
      <c r="E49" s="57">
        <f>IFERROR(C49*D49, 0)</f>
        <v/>
      </c>
      <c r="F49" s="55" t="n"/>
      <c r="G49" s="56" t="n"/>
      <c r="H49" s="57">
        <f>IFERROR(F49*G49, 0)</f>
        <v/>
      </c>
      <c r="I49" s="55" t="n"/>
      <c r="J49" s="56" t="n"/>
      <c r="K49" s="57">
        <f>IFERROR(I49*J49, 0)</f>
        <v/>
      </c>
      <c r="L49" s="55" t="n"/>
      <c r="M49" s="56" t="n"/>
      <c r="N49" s="57">
        <f>IFERROR(L49*M49, 0)</f>
        <v/>
      </c>
      <c r="O49" s="55" t="n">
        <v>6</v>
      </c>
      <c r="P49" s="56" t="n">
        <v>3151.26</v>
      </c>
      <c r="Q49" s="57" t="n">
        <v>18907.56</v>
      </c>
      <c r="R49" s="55" t="n"/>
      <c r="S49" s="56" t="n"/>
      <c r="T49" s="57">
        <f>IFERROR(R49*S49, 0)</f>
        <v/>
      </c>
      <c r="U49" s="55" t="n"/>
      <c r="V49" s="56" t="n"/>
      <c r="W49" s="57">
        <f>IFERROR(U49*V49, 0)</f>
        <v/>
      </c>
      <c r="X49" s="55" t="n"/>
      <c r="Y49" s="56" t="n"/>
      <c r="Z49" s="57">
        <f>IFERROR(X49*Y49, 0)</f>
        <v/>
      </c>
      <c r="AA49" s="55" t="n"/>
      <c r="AB49" s="56" t="n"/>
      <c r="AC49" s="57">
        <f>IFERROR(AA49*AB49, 0)</f>
        <v/>
      </c>
      <c r="AD49" s="55" t="n"/>
      <c r="AE49" s="56" t="n"/>
      <c r="AF49" s="57">
        <f>IFERROR(AD49*AE49, 0)</f>
        <v/>
      </c>
      <c r="AG49" s="55" t="n"/>
      <c r="AH49" s="56" t="n"/>
      <c r="AI49" s="57">
        <f>IFERROR(AG49*AH49, 0)</f>
        <v/>
      </c>
      <c r="AJ49" s="55" t="n"/>
      <c r="AK49" s="56" t="n"/>
      <c r="AL49" s="57">
        <f>IFERROR(AJ49*AK49, 0)</f>
        <v/>
      </c>
      <c r="AM49" s="55" t="n"/>
      <c r="AN49" s="56" t="n"/>
      <c r="AO49" s="57">
        <f>IFERROR(AM49*AN49, 0)</f>
        <v/>
      </c>
      <c r="AP49" s="55" t="n"/>
      <c r="AQ49" s="56" t="n"/>
      <c r="AR49" s="57">
        <f>IFERROR(AP49*AQ49, 0)</f>
        <v/>
      </c>
      <c r="AS49" s="55" t="n"/>
      <c r="AT49" s="56" t="n"/>
      <c r="AU49" s="57">
        <f>IFERROR(AS49*AT49, 0)</f>
        <v/>
      </c>
      <c r="AV49" s="55" t="n"/>
      <c r="AW49" s="56" t="n"/>
      <c r="AX49" s="57">
        <f>IFERROR(AV49*AW49, 0)</f>
        <v/>
      </c>
      <c r="AY49" s="55" t="n"/>
      <c r="AZ49" s="56" t="n"/>
      <c r="BA49" s="57">
        <f>IFERROR(AY49*AZ49, 0)</f>
        <v/>
      </c>
      <c r="BB49" s="55" t="n"/>
      <c r="BC49" s="56" t="n"/>
      <c r="BD49" s="57">
        <f>IFERROR(BB49*BC49, 0)</f>
        <v/>
      </c>
      <c r="BE49" s="55" t="n"/>
      <c r="BF49" s="56" t="n"/>
      <c r="BG49" s="57">
        <f>IFERROR(BE49*BF49, 0)</f>
        <v/>
      </c>
      <c r="BH49" s="55" t="n"/>
      <c r="BI49" s="56" t="n"/>
      <c r="BJ49" s="57">
        <f>IFERROR(BH49*BI49, 0)</f>
        <v/>
      </c>
      <c r="BK49" s="55" t="n"/>
      <c r="BL49" s="56" t="n"/>
      <c r="BM49" s="57">
        <f>IFERROR(BK49*BL49, 0)</f>
        <v/>
      </c>
      <c r="BN49" s="55" t="n">
        <v>12</v>
      </c>
      <c r="BO49" s="56" t="n">
        <v>3151.26</v>
      </c>
      <c r="BP49" s="57" t="n">
        <v>37815.12</v>
      </c>
      <c r="BQ49" s="55" t="n"/>
      <c r="BR49" s="56" t="n"/>
      <c r="BS49" s="57">
        <f>IFERROR(BQ49*BR49, 0)</f>
        <v/>
      </c>
      <c r="BT49" s="55" t="n"/>
      <c r="BU49" s="56" t="n"/>
      <c r="BV49" s="57">
        <f>IFERROR(BT49*BU49, 0)</f>
        <v/>
      </c>
      <c r="BW49" s="55" t="n"/>
      <c r="BX49" s="56" t="n"/>
      <c r="BY49" s="57">
        <f>IFERROR(BW49*BX49, 0)</f>
        <v/>
      </c>
      <c r="BZ49" s="55" t="n"/>
      <c r="CA49" s="56" t="n"/>
      <c r="CB49" s="57">
        <f>IFERROR(BZ49*CA49, 0)</f>
        <v/>
      </c>
      <c r="CC49" s="55" t="n"/>
      <c r="CD49" s="56" t="n"/>
      <c r="CE49" s="57">
        <f>IFERROR(CC49*CD49, 0)</f>
        <v/>
      </c>
      <c r="CF49" s="55" t="n"/>
      <c r="CG49" s="56" t="n"/>
      <c r="CH49" s="57">
        <f>IFERROR(CF49*CG49, 0)</f>
        <v/>
      </c>
      <c r="CI49" s="55" t="n"/>
      <c r="CJ49" s="56" t="n"/>
      <c r="CK49" s="57">
        <f>IFERROR(CI49*CJ49, 0)</f>
        <v/>
      </c>
      <c r="CL49" s="55" t="n"/>
      <c r="CM49" s="56" t="n"/>
      <c r="CN49" s="57">
        <f>IFERROR(CL49*CM49, 0)</f>
        <v/>
      </c>
      <c r="CO49" s="55" t="n"/>
      <c r="CP49" s="56" t="n"/>
      <c r="CQ49" s="57">
        <f>IFERROR(CO49*CP49, 0)</f>
        <v/>
      </c>
      <c r="CR49" s="55" t="n"/>
      <c r="CS49" s="56" t="n"/>
      <c r="CT49" s="57">
        <f>IFERROR(CR49*CS49, 0)</f>
        <v/>
      </c>
      <c r="CU49" s="58">
        <f>IFERROR(SUM(F49,I49,L49,O49,R49,U49,X49,AA49,AD49,AG49,AJ49,AM49,AP49,AS49,AV49,AY49,BB49,BE49,BH49,BK49,BN49,BQ49,BT49,BW49,BZ49,CC49,CF49,CI49,CL49,CO49,CR49), 0)</f>
        <v/>
      </c>
      <c r="CV49" s="57">
        <f>IFERROR(AVERAGE(G49,J49,M49,P49,S49,V49,Y49,AB49,AE49,AH49,AK49,AN49,AQ49,AT49,AW49,AZ49,BC49,BF49,BI49,BL49,BO49,BR49,BU49,BX49,CA49,CD49,CG49,CJ49,CM49,CP49,CS49), 0)</f>
        <v/>
      </c>
      <c r="CW49" s="57">
        <f>CU49*CV49</f>
        <v/>
      </c>
    </row>
    <row r="50" ht="15.75" customHeight="1">
      <c r="A50" s="53" t="inlineStr">
        <is>
          <t>Manzana postobo n 1.500 ml pet x 12 p.e.</t>
        </is>
      </c>
      <c r="B50" s="53" t="inlineStr">
        <is>
          <t>Und</t>
        </is>
      </c>
      <c r="C50" s="55" t="n"/>
      <c r="D50" s="56" t="n"/>
      <c r="E50" s="57">
        <f>IFERROR(C50*D50, 0)</f>
        <v/>
      </c>
      <c r="F50" s="55" t="n"/>
      <c r="G50" s="56" t="n"/>
      <c r="H50" s="57">
        <f>IFERROR(F50*G50, 0)</f>
        <v/>
      </c>
      <c r="I50" s="55" t="n"/>
      <c r="J50" s="56" t="n"/>
      <c r="K50" s="57">
        <f>IFERROR(I50*J50, 0)</f>
        <v/>
      </c>
      <c r="L50" s="55" t="n"/>
      <c r="M50" s="56" t="n"/>
      <c r="N50" s="57">
        <f>IFERROR(L50*M50, 0)</f>
        <v/>
      </c>
      <c r="O50" s="55" t="n"/>
      <c r="P50" s="56" t="n"/>
      <c r="Q50" s="57">
        <f>IFERROR(O50*P50, 0)</f>
        <v/>
      </c>
      <c r="R50" s="55" t="n"/>
      <c r="S50" s="56" t="n"/>
      <c r="T50" s="57">
        <f>IFERROR(R50*S50, 0)</f>
        <v/>
      </c>
      <c r="U50" s="55" t="n"/>
      <c r="V50" s="56" t="n"/>
      <c r="W50" s="57">
        <f>IFERROR(U50*V50, 0)</f>
        <v/>
      </c>
      <c r="X50" s="55" t="n"/>
      <c r="Y50" s="56" t="n"/>
      <c r="Z50" s="57">
        <f>IFERROR(X50*Y50, 0)</f>
        <v/>
      </c>
      <c r="AA50" s="55" t="n"/>
      <c r="AB50" s="56" t="n"/>
      <c r="AC50" s="57">
        <f>IFERROR(AA50*AB50, 0)</f>
        <v/>
      </c>
      <c r="AD50" s="55" t="n"/>
      <c r="AE50" s="56" t="n"/>
      <c r="AF50" s="57">
        <f>IFERROR(AD50*AE50, 0)</f>
        <v/>
      </c>
      <c r="AG50" s="55" t="n"/>
      <c r="AH50" s="56" t="n"/>
      <c r="AI50" s="57">
        <f>IFERROR(AG50*AH50, 0)</f>
        <v/>
      </c>
      <c r="AJ50" s="55" t="n"/>
      <c r="AK50" s="56" t="n"/>
      <c r="AL50" s="57">
        <f>IFERROR(AJ50*AK50, 0)</f>
        <v/>
      </c>
      <c r="AM50" s="55" t="n"/>
      <c r="AN50" s="56" t="n"/>
      <c r="AO50" s="57">
        <f>IFERROR(AM50*AN50, 0)</f>
        <v/>
      </c>
      <c r="AP50" s="55" t="n"/>
      <c r="AQ50" s="56" t="n"/>
      <c r="AR50" s="57">
        <f>IFERROR(AP50*AQ50, 0)</f>
        <v/>
      </c>
      <c r="AS50" s="55" t="n"/>
      <c r="AT50" s="56" t="n"/>
      <c r="AU50" s="57">
        <f>IFERROR(AS50*AT50, 0)</f>
        <v/>
      </c>
      <c r="AV50" s="55" t="n"/>
      <c r="AW50" s="56" t="n"/>
      <c r="AX50" s="57">
        <f>IFERROR(AV50*AW50, 0)</f>
        <v/>
      </c>
      <c r="AY50" s="55" t="n"/>
      <c r="AZ50" s="56" t="n"/>
      <c r="BA50" s="57">
        <f>IFERROR(AY50*AZ50, 0)</f>
        <v/>
      </c>
      <c r="BB50" s="55" t="n"/>
      <c r="BC50" s="56" t="n"/>
      <c r="BD50" s="57">
        <f>IFERROR(BB50*BC50, 0)</f>
        <v/>
      </c>
      <c r="BE50" s="55" t="n"/>
      <c r="BF50" s="56" t="n"/>
      <c r="BG50" s="57">
        <f>IFERROR(BE50*BF50, 0)</f>
        <v/>
      </c>
      <c r="BH50" s="55" t="n"/>
      <c r="BI50" s="56" t="n"/>
      <c r="BJ50" s="57">
        <f>IFERROR(BH50*BI50, 0)</f>
        <v/>
      </c>
      <c r="BK50" s="55" t="n"/>
      <c r="BL50" s="56" t="n"/>
      <c r="BM50" s="57">
        <f>IFERROR(BK50*BL50, 0)</f>
        <v/>
      </c>
      <c r="BN50" s="55" t="n"/>
      <c r="BO50" s="56" t="n"/>
      <c r="BP50" s="57">
        <f>IFERROR(BN50*BO50, 0)</f>
        <v/>
      </c>
      <c r="BQ50" s="55" t="n"/>
      <c r="BR50" s="56" t="n"/>
      <c r="BS50" s="57">
        <f>IFERROR(BQ50*BR50, 0)</f>
        <v/>
      </c>
      <c r="BT50" s="55" t="n"/>
      <c r="BU50" s="56" t="n"/>
      <c r="BV50" s="57">
        <f>IFERROR(BT50*BU50, 0)</f>
        <v/>
      </c>
      <c r="BW50" s="55" t="n"/>
      <c r="BX50" s="56" t="n"/>
      <c r="BY50" s="57">
        <f>IFERROR(BW50*BX50, 0)</f>
        <v/>
      </c>
      <c r="BZ50" s="55" t="n"/>
      <c r="CA50" s="56" t="n"/>
      <c r="CB50" s="57">
        <f>IFERROR(BZ50*CA50, 0)</f>
        <v/>
      </c>
      <c r="CC50" s="55" t="n"/>
      <c r="CD50" s="56" t="n"/>
      <c r="CE50" s="57">
        <f>IFERROR(CC50*CD50, 0)</f>
        <v/>
      </c>
      <c r="CF50" s="55" t="n"/>
      <c r="CG50" s="56" t="n"/>
      <c r="CH50" s="57">
        <f>IFERROR(CF50*CG50, 0)</f>
        <v/>
      </c>
      <c r="CI50" s="55" t="n"/>
      <c r="CJ50" s="56" t="n"/>
      <c r="CK50" s="57">
        <f>IFERROR(CI50*CJ50, 0)</f>
        <v/>
      </c>
      <c r="CL50" s="55" t="n"/>
      <c r="CM50" s="56" t="n"/>
      <c r="CN50" s="57">
        <f>IFERROR(CL50*CM50, 0)</f>
        <v/>
      </c>
      <c r="CO50" s="55" t="n"/>
      <c r="CP50" s="56" t="n"/>
      <c r="CQ50" s="57">
        <f>IFERROR(CO50*CP50, 0)</f>
        <v/>
      </c>
      <c r="CR50" s="55" t="n"/>
      <c r="CS50" s="56" t="n"/>
      <c r="CT50" s="57">
        <f>IFERROR(CR50*CS50, 0)</f>
        <v/>
      </c>
      <c r="CU50" s="58">
        <f>IFERROR(SUM(F50,I50,L50,O50,R50,U50,X50,AA50,AD50,AG50,AJ50,AM50,AP50,AS50,AV50,AY50,BB50,BE50,BH50,BK50,BN50,BQ50,BT50,BW50,BZ50,CC50,CF50,CI50,CL50,CO50,CR50), 0)</f>
        <v/>
      </c>
      <c r="CV50" s="57">
        <f>IFERROR(AVERAGE(G50,J50,M50,P50,S50,V50,Y50,AB50,AE50,AH50,AK50,AN50,AQ50,AT50,AW50,AZ50,BC50,BF50,BI50,BL50,BO50,BR50,BU50,BX50,CA50,CD50,CG50,CJ50,CM50,CP50,CS50), 0)</f>
        <v/>
      </c>
      <c r="CW50" s="57">
        <f>CU50*CV50</f>
        <v/>
      </c>
    </row>
    <row r="51" ht="15.75" customHeight="1">
      <c r="A51" s="53" t="inlineStr">
        <is>
          <t>Manzana postobo n 350 ml vidrio r x 30</t>
        </is>
      </c>
      <c r="B51" s="53" t="inlineStr">
        <is>
          <t>Und</t>
        </is>
      </c>
      <c r="C51" s="55" t="n"/>
      <c r="D51" s="56" t="n"/>
      <c r="E51" s="57">
        <f>IFERROR(C51*D51, 0)</f>
        <v/>
      </c>
      <c r="F51" s="55" t="n"/>
      <c r="G51" s="56" t="n"/>
      <c r="H51" s="57">
        <f>IFERROR(F51*G51, 0)</f>
        <v/>
      </c>
      <c r="I51" s="55" t="n"/>
      <c r="J51" s="56" t="n"/>
      <c r="K51" s="57">
        <f>IFERROR(I51*J51, 0)</f>
        <v/>
      </c>
      <c r="L51" s="55" t="n"/>
      <c r="M51" s="56" t="n"/>
      <c r="N51" s="57">
        <f>IFERROR(L51*M51, 0)</f>
        <v/>
      </c>
      <c r="O51" s="55" t="n"/>
      <c r="P51" s="56" t="n"/>
      <c r="Q51" s="57">
        <f>IFERROR(O51*P51, 0)</f>
        <v/>
      </c>
      <c r="R51" s="55" t="n"/>
      <c r="S51" s="56" t="n"/>
      <c r="T51" s="57">
        <f>IFERROR(R51*S51, 0)</f>
        <v/>
      </c>
      <c r="U51" s="55" t="n"/>
      <c r="V51" s="56" t="n"/>
      <c r="W51" s="57">
        <f>IFERROR(U51*V51, 0)</f>
        <v/>
      </c>
      <c r="X51" s="55" t="n"/>
      <c r="Y51" s="56" t="n"/>
      <c r="Z51" s="57">
        <f>IFERROR(X51*Y51, 0)</f>
        <v/>
      </c>
      <c r="AA51" s="55" t="n"/>
      <c r="AB51" s="56" t="n"/>
      <c r="AC51" s="57">
        <f>IFERROR(AA51*AB51, 0)</f>
        <v/>
      </c>
      <c r="AD51" s="55" t="n"/>
      <c r="AE51" s="56" t="n"/>
      <c r="AF51" s="57">
        <f>IFERROR(AD51*AE51, 0)</f>
        <v/>
      </c>
      <c r="AG51" s="55" t="n"/>
      <c r="AH51" s="56" t="n"/>
      <c r="AI51" s="57">
        <f>IFERROR(AG51*AH51, 0)</f>
        <v/>
      </c>
      <c r="AJ51" s="55" t="n"/>
      <c r="AK51" s="56" t="n"/>
      <c r="AL51" s="57">
        <f>IFERROR(AJ51*AK51, 0)</f>
        <v/>
      </c>
      <c r="AM51" s="55" t="n"/>
      <c r="AN51" s="56" t="n"/>
      <c r="AO51" s="57">
        <f>IFERROR(AM51*AN51, 0)</f>
        <v/>
      </c>
      <c r="AP51" s="55" t="n"/>
      <c r="AQ51" s="56" t="n"/>
      <c r="AR51" s="57">
        <f>IFERROR(AP51*AQ51, 0)</f>
        <v/>
      </c>
      <c r="AS51" s="55" t="n"/>
      <c r="AT51" s="56" t="n"/>
      <c r="AU51" s="57">
        <f>IFERROR(AS51*AT51, 0)</f>
        <v/>
      </c>
      <c r="AV51" s="55" t="n"/>
      <c r="AW51" s="56" t="n"/>
      <c r="AX51" s="57">
        <f>IFERROR(AV51*AW51, 0)</f>
        <v/>
      </c>
      <c r="AY51" s="55" t="n"/>
      <c r="AZ51" s="56" t="n"/>
      <c r="BA51" s="57">
        <f>IFERROR(AY51*AZ51, 0)</f>
        <v/>
      </c>
      <c r="BB51" s="55" t="n"/>
      <c r="BC51" s="56" t="n"/>
      <c r="BD51" s="57">
        <f>IFERROR(BB51*BC51, 0)</f>
        <v/>
      </c>
      <c r="BE51" s="55" t="n"/>
      <c r="BF51" s="56" t="n"/>
      <c r="BG51" s="57">
        <f>IFERROR(BE51*BF51, 0)</f>
        <v/>
      </c>
      <c r="BH51" s="55" t="n"/>
      <c r="BI51" s="56" t="n"/>
      <c r="BJ51" s="57">
        <f>IFERROR(BH51*BI51, 0)</f>
        <v/>
      </c>
      <c r="BK51" s="55" t="n"/>
      <c r="BL51" s="56" t="n"/>
      <c r="BM51" s="57">
        <f>IFERROR(BK51*BL51, 0)</f>
        <v/>
      </c>
      <c r="BN51" s="55" t="n"/>
      <c r="BO51" s="56" t="n"/>
      <c r="BP51" s="57">
        <f>IFERROR(BN51*BO51, 0)</f>
        <v/>
      </c>
      <c r="BQ51" s="55" t="n"/>
      <c r="BR51" s="56" t="n"/>
      <c r="BS51" s="57">
        <f>IFERROR(BQ51*BR51, 0)</f>
        <v/>
      </c>
      <c r="BT51" s="55" t="n"/>
      <c r="BU51" s="56" t="n"/>
      <c r="BV51" s="57">
        <f>IFERROR(BT51*BU51, 0)</f>
        <v/>
      </c>
      <c r="BW51" s="55" t="n"/>
      <c r="BX51" s="56" t="n"/>
      <c r="BY51" s="57">
        <f>IFERROR(BW51*BX51, 0)</f>
        <v/>
      </c>
      <c r="BZ51" s="55" t="n"/>
      <c r="CA51" s="56" t="n"/>
      <c r="CB51" s="57">
        <f>IFERROR(BZ51*CA51, 0)</f>
        <v/>
      </c>
      <c r="CC51" s="55" t="n"/>
      <c r="CD51" s="56" t="n"/>
      <c r="CE51" s="57">
        <f>IFERROR(CC51*CD51, 0)</f>
        <v/>
      </c>
      <c r="CF51" s="55" t="n"/>
      <c r="CG51" s="56" t="n"/>
      <c r="CH51" s="57">
        <f>IFERROR(CF51*CG51, 0)</f>
        <v/>
      </c>
      <c r="CI51" s="55" t="n"/>
      <c r="CJ51" s="56" t="n"/>
      <c r="CK51" s="57">
        <f>IFERROR(CI51*CJ51, 0)</f>
        <v/>
      </c>
      <c r="CL51" s="55" t="n"/>
      <c r="CM51" s="56" t="n"/>
      <c r="CN51" s="57">
        <f>IFERROR(CL51*CM51, 0)</f>
        <v/>
      </c>
      <c r="CO51" s="55" t="n"/>
      <c r="CP51" s="56" t="n"/>
      <c r="CQ51" s="57">
        <f>IFERROR(CO51*CP51, 0)</f>
        <v/>
      </c>
      <c r="CR51" s="55" t="n"/>
      <c r="CS51" s="56" t="n"/>
      <c r="CT51" s="57">
        <f>IFERROR(CR51*CS51, 0)</f>
        <v/>
      </c>
      <c r="CU51" s="58">
        <f>IFERROR(SUM(F51,I51,L51,O51,R51,U51,X51,AA51,AD51,AG51,AJ51,AM51,AP51,AS51,AV51,AY51,BB51,BE51,BH51,BK51,BN51,BQ51,BT51,BW51,BZ51,CC51,CF51,CI51,CL51,CO51,CR51), 0)</f>
        <v/>
      </c>
      <c r="CV51" s="57">
        <f>IFERROR(AVERAGE(G51,J51,M51,P51,S51,V51,Y51,AB51,AE51,AH51,AK51,AN51,AQ51,AT51,AW51,AZ51,BC51,BF51,BI51,BL51,BO51,BR51,BU51,BX51,CA51,CD51,CG51,CJ51,CM51,CP51,CS51), 0)</f>
        <v/>
      </c>
      <c r="CW51" s="57">
        <f>CU51*CV51</f>
        <v/>
      </c>
    </row>
    <row r="52" ht="15.75" customHeight="1">
      <c r="A52" s="53" t="inlineStr">
        <is>
          <t>Coca cola 1,5 lt pet (12) nvo</t>
        </is>
      </c>
      <c r="B52" s="53" t="inlineStr">
        <is>
          <t>Und</t>
        </is>
      </c>
      <c r="C52" s="55" t="n"/>
      <c r="D52" s="56" t="n"/>
      <c r="E52" s="57">
        <f>IFERROR(C52*D52, 0)</f>
        <v/>
      </c>
      <c r="F52" s="55" t="n"/>
      <c r="G52" s="56" t="n"/>
      <c r="H52" s="57">
        <f>IFERROR(F52*G52, 0)</f>
        <v/>
      </c>
      <c r="I52" s="55" t="n"/>
      <c r="J52" s="56" t="n"/>
      <c r="K52" s="57">
        <f>IFERROR(I52*J52, 0)</f>
        <v/>
      </c>
      <c r="L52" s="55" t="n"/>
      <c r="M52" s="56" t="n"/>
      <c r="N52" s="57">
        <f>IFERROR(L52*M52, 0)</f>
        <v/>
      </c>
      <c r="O52" s="55" t="n"/>
      <c r="P52" s="56" t="n"/>
      <c r="Q52" s="57">
        <f>IFERROR(O52*P52, 0)</f>
        <v/>
      </c>
      <c r="R52" s="55" t="n"/>
      <c r="S52" s="56" t="n"/>
      <c r="T52" s="57">
        <f>IFERROR(R52*S52, 0)</f>
        <v/>
      </c>
      <c r="U52" s="55" t="n"/>
      <c r="V52" s="56" t="n"/>
      <c r="W52" s="57">
        <f>IFERROR(U52*V52, 0)</f>
        <v/>
      </c>
      <c r="X52" s="55" t="n"/>
      <c r="Y52" s="56" t="n"/>
      <c r="Z52" s="57">
        <f>IFERROR(X52*Y52, 0)</f>
        <v/>
      </c>
      <c r="AA52" s="55" t="n"/>
      <c r="AB52" s="56" t="n"/>
      <c r="AC52" s="57">
        <f>IFERROR(AA52*AB52, 0)</f>
        <v/>
      </c>
      <c r="AD52" s="55" t="n"/>
      <c r="AE52" s="56" t="n"/>
      <c r="AF52" s="57">
        <f>IFERROR(AD52*AE52, 0)</f>
        <v/>
      </c>
      <c r="AG52" s="55" t="n"/>
      <c r="AH52" s="56" t="n"/>
      <c r="AI52" s="57">
        <f>IFERROR(AG52*AH52, 0)</f>
        <v/>
      </c>
      <c r="AJ52" s="55" t="n"/>
      <c r="AK52" s="56" t="n"/>
      <c r="AL52" s="57">
        <f>IFERROR(AJ52*AK52, 0)</f>
        <v/>
      </c>
      <c r="AM52" s="55" t="n"/>
      <c r="AN52" s="56" t="n"/>
      <c r="AO52" s="57">
        <f>IFERROR(AM52*AN52, 0)</f>
        <v/>
      </c>
      <c r="AP52" s="55" t="n"/>
      <c r="AQ52" s="56" t="n"/>
      <c r="AR52" s="57">
        <f>IFERROR(AP52*AQ52, 0)</f>
        <v/>
      </c>
      <c r="AS52" s="55" t="n"/>
      <c r="AT52" s="56" t="n"/>
      <c r="AU52" s="57">
        <f>IFERROR(AS52*AT52, 0)</f>
        <v/>
      </c>
      <c r="AV52" s="55" t="n"/>
      <c r="AW52" s="56" t="n"/>
      <c r="AX52" s="57">
        <f>IFERROR(AV52*AW52, 0)</f>
        <v/>
      </c>
      <c r="AY52" s="55" t="n"/>
      <c r="AZ52" s="56" t="n"/>
      <c r="BA52" s="57">
        <f>IFERROR(AY52*AZ52, 0)</f>
        <v/>
      </c>
      <c r="BB52" s="55" t="n"/>
      <c r="BC52" s="56" t="n"/>
      <c r="BD52" s="57">
        <f>IFERROR(BB52*BC52, 0)</f>
        <v/>
      </c>
      <c r="BE52" s="55" t="n"/>
      <c r="BF52" s="56" t="n"/>
      <c r="BG52" s="57">
        <f>IFERROR(BE52*BF52, 0)</f>
        <v/>
      </c>
      <c r="BH52" s="55" t="n"/>
      <c r="BI52" s="56" t="n"/>
      <c r="BJ52" s="57">
        <f>IFERROR(BH52*BI52, 0)</f>
        <v/>
      </c>
      <c r="BK52" s="55" t="n"/>
      <c r="BL52" s="56" t="n"/>
      <c r="BM52" s="57">
        <f>IFERROR(BK52*BL52, 0)</f>
        <v/>
      </c>
      <c r="BN52" s="55" t="n"/>
      <c r="BO52" s="56" t="n"/>
      <c r="BP52" s="57">
        <f>IFERROR(BN52*BO52, 0)</f>
        <v/>
      </c>
      <c r="BQ52" s="55" t="n"/>
      <c r="BR52" s="56" t="n"/>
      <c r="BS52" s="57">
        <f>IFERROR(BQ52*BR52, 0)</f>
        <v/>
      </c>
      <c r="BT52" s="55" t="n"/>
      <c r="BU52" s="56" t="n"/>
      <c r="BV52" s="57">
        <f>IFERROR(BT52*BU52, 0)</f>
        <v/>
      </c>
      <c r="BW52" s="55" t="n"/>
      <c r="BX52" s="56" t="n"/>
      <c r="BY52" s="57">
        <f>IFERROR(BW52*BX52, 0)</f>
        <v/>
      </c>
      <c r="BZ52" s="55" t="n"/>
      <c r="CA52" s="56" t="n"/>
      <c r="CB52" s="57">
        <f>IFERROR(BZ52*CA52, 0)</f>
        <v/>
      </c>
      <c r="CC52" s="55" t="n"/>
      <c r="CD52" s="56" t="n"/>
      <c r="CE52" s="57">
        <f>IFERROR(CC52*CD52, 0)</f>
        <v/>
      </c>
      <c r="CF52" s="55" t="n"/>
      <c r="CG52" s="56" t="n"/>
      <c r="CH52" s="57">
        <f>IFERROR(CF52*CG52, 0)</f>
        <v/>
      </c>
      <c r="CI52" s="55" t="n"/>
      <c r="CJ52" s="56" t="n"/>
      <c r="CK52" s="57">
        <f>IFERROR(CI52*CJ52, 0)</f>
        <v/>
      </c>
      <c r="CL52" s="55" t="n"/>
      <c r="CM52" s="56" t="n"/>
      <c r="CN52" s="57">
        <f>IFERROR(CL52*CM52, 0)</f>
        <v/>
      </c>
      <c r="CO52" s="55" t="n"/>
      <c r="CP52" s="56" t="n"/>
      <c r="CQ52" s="57">
        <f>IFERROR(CO52*CP52, 0)</f>
        <v/>
      </c>
      <c r="CR52" s="55" t="n"/>
      <c r="CS52" s="56" t="n"/>
      <c r="CT52" s="57">
        <f>IFERROR(CR52*CS52, 0)</f>
        <v/>
      </c>
      <c r="CU52" s="58">
        <f>IFERROR(SUM(F52,I52,L52,O52,R52,U52,X52,AA52,AD52,AG52,AJ52,AM52,AP52,AS52,AV52,AY52,BB52,BE52,BH52,BK52,BN52,BQ52,BT52,BW52,BZ52,CC52,CF52,CI52,CL52,CO52,CR52), 0)</f>
        <v/>
      </c>
      <c r="CV52" s="57">
        <f>IFERROR(AVERAGE(G52,J52,M52,P52,S52,V52,Y52,AB52,AE52,AH52,AK52,AN52,AQ52,AT52,AW52,AZ52,BC52,BF52,BI52,BL52,BO52,BR52,BU52,BX52,CA52,CD52,CG52,CJ52,CM52,CP52,CS52), 0)</f>
        <v/>
      </c>
      <c r="CW52" s="57">
        <f>CU52*CV52</f>
        <v/>
      </c>
    </row>
    <row r="53" ht="15.75" customHeight="1">
      <c r="A53" s="53" t="inlineStr">
        <is>
          <t>Coca-cola 400 ml pet (24)</t>
        </is>
      </c>
      <c r="B53" s="53" t="inlineStr">
        <is>
          <t>Und</t>
        </is>
      </c>
      <c r="C53" s="55" t="n"/>
      <c r="D53" s="56" t="n"/>
      <c r="E53" s="57">
        <f>IFERROR(C53*D53, 0)</f>
        <v/>
      </c>
      <c r="F53" s="55" t="n"/>
      <c r="G53" s="56" t="n"/>
      <c r="H53" s="57">
        <f>IFERROR(F53*G53, 0)</f>
        <v/>
      </c>
      <c r="I53" s="55" t="n"/>
      <c r="J53" s="56" t="n"/>
      <c r="K53" s="57">
        <f>IFERROR(I53*J53, 0)</f>
        <v/>
      </c>
      <c r="L53" s="55" t="n"/>
      <c r="M53" s="56" t="n"/>
      <c r="N53" s="57">
        <f>IFERROR(L53*M53, 0)</f>
        <v/>
      </c>
      <c r="O53" s="55" t="n"/>
      <c r="P53" s="56" t="n"/>
      <c r="Q53" s="57">
        <f>IFERROR(O53*P53, 0)</f>
        <v/>
      </c>
      <c r="R53" s="55" t="n"/>
      <c r="S53" s="56" t="n"/>
      <c r="T53" s="57">
        <f>IFERROR(R53*S53, 0)</f>
        <v/>
      </c>
      <c r="U53" s="55" t="n"/>
      <c r="V53" s="56" t="n"/>
      <c r="W53" s="57">
        <f>IFERROR(U53*V53, 0)</f>
        <v/>
      </c>
      <c r="X53" s="55" t="n"/>
      <c r="Y53" s="56" t="n"/>
      <c r="Z53" s="57">
        <f>IFERROR(X53*Y53, 0)</f>
        <v/>
      </c>
      <c r="AA53" s="55" t="n"/>
      <c r="AB53" s="56" t="n"/>
      <c r="AC53" s="57">
        <f>IFERROR(AA53*AB53, 0)</f>
        <v/>
      </c>
      <c r="AD53" s="55" t="n"/>
      <c r="AE53" s="56" t="n"/>
      <c r="AF53" s="57">
        <f>IFERROR(AD53*AE53, 0)</f>
        <v/>
      </c>
      <c r="AG53" s="55" t="n"/>
      <c r="AH53" s="56" t="n"/>
      <c r="AI53" s="57">
        <f>IFERROR(AG53*AH53, 0)</f>
        <v/>
      </c>
      <c r="AJ53" s="55" t="n"/>
      <c r="AK53" s="56" t="n"/>
      <c r="AL53" s="57">
        <f>IFERROR(AJ53*AK53, 0)</f>
        <v/>
      </c>
      <c r="AM53" s="55" t="n"/>
      <c r="AN53" s="56" t="n"/>
      <c r="AO53" s="57">
        <f>IFERROR(AM53*AN53, 0)</f>
        <v/>
      </c>
      <c r="AP53" s="55" t="n"/>
      <c r="AQ53" s="56" t="n"/>
      <c r="AR53" s="57">
        <f>IFERROR(AP53*AQ53, 0)</f>
        <v/>
      </c>
      <c r="AS53" s="55" t="n"/>
      <c r="AT53" s="56" t="n"/>
      <c r="AU53" s="57">
        <f>IFERROR(AS53*AT53, 0)</f>
        <v/>
      </c>
      <c r="AV53" s="55" t="n"/>
      <c r="AW53" s="56" t="n"/>
      <c r="AX53" s="57">
        <f>IFERROR(AV53*AW53, 0)</f>
        <v/>
      </c>
      <c r="AY53" s="55" t="n"/>
      <c r="AZ53" s="56" t="n"/>
      <c r="BA53" s="57">
        <f>IFERROR(AY53*AZ53, 0)</f>
        <v/>
      </c>
      <c r="BB53" s="55" t="n"/>
      <c r="BC53" s="56" t="n"/>
      <c r="BD53" s="57">
        <f>IFERROR(BB53*BC53, 0)</f>
        <v/>
      </c>
      <c r="BE53" s="55" t="n"/>
      <c r="BF53" s="56" t="n"/>
      <c r="BG53" s="57">
        <f>IFERROR(BE53*BF53, 0)</f>
        <v/>
      </c>
      <c r="BH53" s="55" t="n"/>
      <c r="BI53" s="56" t="n"/>
      <c r="BJ53" s="57">
        <f>IFERROR(BH53*BI53, 0)</f>
        <v/>
      </c>
      <c r="BK53" s="55" t="n"/>
      <c r="BL53" s="56" t="n"/>
      <c r="BM53" s="57">
        <f>IFERROR(BK53*BL53, 0)</f>
        <v/>
      </c>
      <c r="BN53" s="55" t="n"/>
      <c r="BO53" s="56" t="n"/>
      <c r="BP53" s="57">
        <f>IFERROR(BN53*BO53, 0)</f>
        <v/>
      </c>
      <c r="BQ53" s="55" t="n"/>
      <c r="BR53" s="56" t="n"/>
      <c r="BS53" s="57">
        <f>IFERROR(BQ53*BR53, 0)</f>
        <v/>
      </c>
      <c r="BT53" s="55" t="n"/>
      <c r="BU53" s="56" t="n"/>
      <c r="BV53" s="57">
        <f>IFERROR(BT53*BU53, 0)</f>
        <v/>
      </c>
      <c r="BW53" s="55" t="n"/>
      <c r="BX53" s="56" t="n"/>
      <c r="BY53" s="57">
        <f>IFERROR(BW53*BX53, 0)</f>
        <v/>
      </c>
      <c r="BZ53" s="55" t="n"/>
      <c r="CA53" s="56" t="n"/>
      <c r="CB53" s="57">
        <f>IFERROR(BZ53*CA53, 0)</f>
        <v/>
      </c>
      <c r="CC53" s="55" t="n"/>
      <c r="CD53" s="56" t="n"/>
      <c r="CE53" s="57">
        <f>IFERROR(CC53*CD53, 0)</f>
        <v/>
      </c>
      <c r="CF53" s="55" t="n"/>
      <c r="CG53" s="56" t="n"/>
      <c r="CH53" s="57">
        <f>IFERROR(CF53*CG53, 0)</f>
        <v/>
      </c>
      <c r="CI53" s="55" t="n"/>
      <c r="CJ53" s="56" t="n"/>
      <c r="CK53" s="57">
        <f>IFERROR(CI53*CJ53, 0)</f>
        <v/>
      </c>
      <c r="CL53" s="55" t="n"/>
      <c r="CM53" s="56" t="n"/>
      <c r="CN53" s="57">
        <f>IFERROR(CL53*CM53, 0)</f>
        <v/>
      </c>
      <c r="CO53" s="55" t="n"/>
      <c r="CP53" s="56" t="n"/>
      <c r="CQ53" s="57">
        <f>IFERROR(CO53*CP53, 0)</f>
        <v/>
      </c>
      <c r="CR53" s="55" t="n"/>
      <c r="CS53" s="56" t="n"/>
      <c r="CT53" s="57">
        <f>IFERROR(CR53*CS53, 0)</f>
        <v/>
      </c>
      <c r="CU53" s="58">
        <f>IFERROR(SUM(F53,I53,L53,O53,R53,U53,X53,AA53,AD53,AG53,AJ53,AM53,AP53,AS53,AV53,AY53,BB53,BE53,BH53,BK53,BN53,BQ53,BT53,BW53,BZ53,CC53,CF53,CI53,CL53,CO53,CR53), 0)</f>
        <v/>
      </c>
      <c r="CV53" s="57">
        <f>IFERROR(AVERAGE(G53,J53,M53,P53,S53,V53,Y53,AB53,AE53,AH53,AK53,AN53,AQ53,AT53,AW53,AZ53,BC53,BF53,BI53,BL53,BO53,BR53,BU53,BX53,CA53,CD53,CG53,CJ53,CM53,CP53,CS53), 0)</f>
        <v/>
      </c>
      <c r="CW53" s="57">
        <f>CU53*CV53</f>
        <v/>
      </c>
    </row>
    <row r="54" ht="15.75" customHeight="1">
      <c r="A54" s="53" t="inlineStr">
        <is>
          <t>Manzana postobo n 500 ml vidrio r x 30</t>
        </is>
      </c>
      <c r="B54" s="21" t="inlineStr">
        <is>
          <t>Und</t>
        </is>
      </c>
      <c r="C54" s="76" t="n"/>
      <c r="D54" s="76" t="n"/>
      <c r="E54" s="57">
        <f>IFERROR(C54*D54, 0)</f>
        <v/>
      </c>
      <c r="F54" s="55" t="n"/>
      <c r="G54" s="56" t="n"/>
      <c r="H54" s="57">
        <f>IFERROR(F54*G54, 0)</f>
        <v/>
      </c>
      <c r="I54" s="55" t="n"/>
      <c r="J54" s="56" t="n"/>
      <c r="K54" s="57">
        <f>IFERROR(I54*J54, 0)</f>
        <v/>
      </c>
      <c r="L54" s="55" t="n"/>
      <c r="M54" s="56" t="n"/>
      <c r="N54" s="57">
        <f>IFERROR(L54*M54, 0)</f>
        <v/>
      </c>
      <c r="O54" s="55" t="n"/>
      <c r="P54" s="56" t="n"/>
      <c r="Q54" s="57">
        <f>IFERROR(O54*P54, 0)</f>
        <v/>
      </c>
      <c r="R54" s="55" t="n"/>
      <c r="S54" s="56" t="n"/>
      <c r="T54" s="57">
        <f>IFERROR(R54*S54, 0)</f>
        <v/>
      </c>
      <c r="U54" s="55" t="n"/>
      <c r="V54" s="56" t="n"/>
      <c r="W54" s="57">
        <f>IFERROR(U54*V54, 0)</f>
        <v/>
      </c>
      <c r="X54" s="55" t="n"/>
      <c r="Y54" s="56" t="n"/>
      <c r="Z54" s="57">
        <f>IFERROR(X54*Y54, 0)</f>
        <v/>
      </c>
      <c r="AA54" s="55" t="n"/>
      <c r="AB54" s="56" t="n"/>
      <c r="AC54" s="57">
        <f>IFERROR(AA54*AB54, 0)</f>
        <v/>
      </c>
      <c r="AD54" s="55" t="n"/>
      <c r="AE54" s="56" t="n"/>
      <c r="AF54" s="57">
        <f>IFERROR(AD54*AE54, 0)</f>
        <v/>
      </c>
      <c r="AG54" s="55" t="n"/>
      <c r="AH54" s="56" t="n"/>
      <c r="AI54" s="57">
        <f>IFERROR(AG54*AH54, 0)</f>
        <v/>
      </c>
      <c r="AJ54" s="55" t="n"/>
      <c r="AK54" s="56" t="n"/>
      <c r="AL54" s="57">
        <f>IFERROR(AJ54*AK54, 0)</f>
        <v/>
      </c>
      <c r="AM54" s="55" t="n"/>
      <c r="AN54" s="56" t="n"/>
      <c r="AO54" s="57">
        <f>IFERROR(AM54*AN54, 0)</f>
        <v/>
      </c>
      <c r="AP54" s="55" t="n"/>
      <c r="AQ54" s="56" t="n"/>
      <c r="AR54" s="57">
        <f>IFERROR(AP54*AQ54, 0)</f>
        <v/>
      </c>
      <c r="AS54" s="55" t="n"/>
      <c r="AT54" s="56" t="n"/>
      <c r="AU54" s="57">
        <f>IFERROR(AS54*AT54, 0)</f>
        <v/>
      </c>
      <c r="AV54" s="55" t="n"/>
      <c r="AW54" s="56" t="n"/>
      <c r="AX54" s="57">
        <f>IFERROR(AV54*AW54, 0)</f>
        <v/>
      </c>
      <c r="AY54" s="55" t="n"/>
      <c r="AZ54" s="56" t="n"/>
      <c r="BA54" s="57">
        <f>IFERROR(AY54*AZ54, 0)</f>
        <v/>
      </c>
      <c r="BB54" s="55" t="n"/>
      <c r="BC54" s="56" t="n"/>
      <c r="BD54" s="57">
        <f>IFERROR(BB54*BC54, 0)</f>
        <v/>
      </c>
      <c r="BE54" s="55" t="n"/>
      <c r="BF54" s="56" t="n"/>
      <c r="BG54" s="57">
        <f>IFERROR(BE54*BF54, 0)</f>
        <v/>
      </c>
      <c r="BH54" s="55" t="n"/>
      <c r="BI54" s="56" t="n"/>
      <c r="BJ54" s="57">
        <f>IFERROR(BH54*BI54, 0)</f>
        <v/>
      </c>
      <c r="BK54" s="55" t="n"/>
      <c r="BL54" s="56" t="n"/>
      <c r="BM54" s="57">
        <f>IFERROR(BK54*BL54, 0)</f>
        <v/>
      </c>
      <c r="BN54" s="55" t="n"/>
      <c r="BO54" s="56" t="n"/>
      <c r="BP54" s="57">
        <f>IFERROR(BN54*BO54, 0)</f>
        <v/>
      </c>
      <c r="BQ54" s="55" t="n"/>
      <c r="BR54" s="56" t="n"/>
      <c r="BS54" s="57">
        <f>IFERROR(BQ54*BR54, 0)</f>
        <v/>
      </c>
      <c r="BT54" s="55" t="n"/>
      <c r="BU54" s="56" t="n"/>
      <c r="BV54" s="57">
        <f>IFERROR(BT54*BU54, 0)</f>
        <v/>
      </c>
      <c r="BW54" s="55" t="n"/>
      <c r="BX54" s="56" t="n"/>
      <c r="BY54" s="57">
        <f>IFERROR(BW54*BX54, 0)</f>
        <v/>
      </c>
      <c r="BZ54" s="55" t="n"/>
      <c r="CA54" s="56" t="n"/>
      <c r="CB54" s="57">
        <f>IFERROR(BZ54*CA54, 0)</f>
        <v/>
      </c>
      <c r="CC54" s="55" t="n"/>
      <c r="CD54" s="56" t="n"/>
      <c r="CE54" s="57">
        <f>IFERROR(CC54*CD54, 0)</f>
        <v/>
      </c>
      <c r="CF54" s="55" t="n"/>
      <c r="CG54" s="56" t="n"/>
      <c r="CH54" s="57">
        <f>IFERROR(CF54*CG54, 0)</f>
        <v/>
      </c>
      <c r="CI54" s="55" t="n"/>
      <c r="CJ54" s="56" t="n"/>
      <c r="CK54" s="57">
        <f>IFERROR(CI54*CJ54, 0)</f>
        <v/>
      </c>
      <c r="CL54" s="55" t="n"/>
      <c r="CM54" s="56" t="n"/>
      <c r="CN54" s="57">
        <f>IFERROR(CL54*CM54, 0)</f>
        <v/>
      </c>
      <c r="CO54" s="55" t="n"/>
      <c r="CP54" s="56" t="n"/>
      <c r="CQ54" s="57">
        <f>IFERROR(CO54*CP54, 0)</f>
        <v/>
      </c>
      <c r="CR54" s="55" t="n"/>
      <c r="CS54" s="56" t="n"/>
      <c r="CT54" s="57">
        <f>IFERROR(CR54*CS54, 0)</f>
        <v/>
      </c>
      <c r="CU54" s="58">
        <f>IFERROR(SUM(F54,I54,L54,O54,R54,U54,X54,AA54,AD54,AG54,AJ54,AM54,AP54,AS54,AV54,AY54,BB54,BE54,BH54,BK54,BN54,BQ54,BT54,BW54,BZ54,CC54,CF54,CI54,CL54,CO54,CR54), 0)</f>
        <v/>
      </c>
      <c r="CV54" s="57">
        <f>IFERROR(AVERAGE(G54,J54,M54,P54,S54,V54,Y54,AB54,AE54,AH54,AK54,AN54,AQ54,AT54,AW54,AZ54,BC54,BF54,BI54,BL54,BO54,BR54,BU54,BX54,CA54,CD54,CG54,CJ54,CM54,CP54,CS54), 0)</f>
        <v/>
      </c>
      <c r="CW54" s="57">
        <f>CU54*CV54</f>
        <v/>
      </c>
    </row>
    <row r="55" ht="15.75" customHeight="1">
      <c r="A55" s="21" t="inlineStr">
        <is>
          <t>Hielo</t>
        </is>
      </c>
      <c r="B55" s="21" t="inlineStr">
        <is>
          <t>Und</t>
        </is>
      </c>
      <c r="C55" s="21" t="n"/>
      <c r="D55" s="21" t="n"/>
      <c r="E55" s="57">
        <f>IFERROR(C55*D55, 0)</f>
        <v/>
      </c>
      <c r="F55" s="55" t="n"/>
      <c r="G55" s="56" t="n"/>
      <c r="H55" s="57">
        <f>IFERROR(F55*G55, 0)</f>
        <v/>
      </c>
      <c r="I55" s="55" t="n"/>
      <c r="J55" s="56" t="n"/>
      <c r="K55" s="57">
        <f>IFERROR(I55*J55, 0)</f>
        <v/>
      </c>
      <c r="L55" s="55" t="n"/>
      <c r="M55" s="56" t="n"/>
      <c r="N55" s="57">
        <f>IFERROR(L55*M55, 0)</f>
        <v/>
      </c>
      <c r="O55" s="55" t="n"/>
      <c r="P55" s="56" t="n"/>
      <c r="Q55" s="57">
        <f>IFERROR(O55*P55, 0)</f>
        <v/>
      </c>
      <c r="R55" s="55" t="n"/>
      <c r="S55" s="56" t="n"/>
      <c r="T55" s="57">
        <f>IFERROR(R55*S55, 0)</f>
        <v/>
      </c>
      <c r="U55" s="55" t="n"/>
      <c r="V55" s="56" t="n"/>
      <c r="W55" s="57">
        <f>IFERROR(U55*V55, 0)</f>
        <v/>
      </c>
      <c r="X55" s="55" t="n"/>
      <c r="Y55" s="56" t="n"/>
      <c r="Z55" s="57">
        <f>IFERROR(X55*Y55, 0)</f>
        <v/>
      </c>
      <c r="AA55" s="55" t="n"/>
      <c r="AB55" s="56" t="n"/>
      <c r="AC55" s="57">
        <f>IFERROR(AA55*AB55, 0)</f>
        <v/>
      </c>
      <c r="AD55" s="55" t="n"/>
      <c r="AE55" s="56" t="n"/>
      <c r="AF55" s="57">
        <f>IFERROR(AD55*AE55, 0)</f>
        <v/>
      </c>
      <c r="AG55" s="55" t="n"/>
      <c r="AH55" s="56" t="n"/>
      <c r="AI55" s="57">
        <f>IFERROR(AG55*AH55, 0)</f>
        <v/>
      </c>
      <c r="AJ55" s="55" t="n"/>
      <c r="AK55" s="56" t="n"/>
      <c r="AL55" s="57">
        <f>IFERROR(AJ55*AK55, 0)</f>
        <v/>
      </c>
      <c r="AM55" s="55" t="n"/>
      <c r="AN55" s="56" t="n"/>
      <c r="AO55" s="57">
        <f>IFERROR(AM55*AN55, 0)</f>
        <v/>
      </c>
      <c r="AP55" s="55" t="n"/>
      <c r="AQ55" s="56" t="n"/>
      <c r="AR55" s="57">
        <f>IFERROR(AP55*AQ55, 0)</f>
        <v/>
      </c>
      <c r="AS55" s="55" t="n"/>
      <c r="AT55" s="56" t="n"/>
      <c r="AU55" s="57">
        <f>IFERROR(AS55*AT55, 0)</f>
        <v/>
      </c>
      <c r="AV55" s="55" t="n"/>
      <c r="AW55" s="56" t="n"/>
      <c r="AX55" s="57">
        <f>IFERROR(AV55*AW55, 0)</f>
        <v/>
      </c>
      <c r="AY55" s="55" t="n"/>
      <c r="AZ55" s="56" t="n"/>
      <c r="BA55" s="57">
        <f>IFERROR(AY55*AZ55, 0)</f>
        <v/>
      </c>
      <c r="BB55" s="55" t="n"/>
      <c r="BC55" s="56" t="n"/>
      <c r="BD55" s="57">
        <f>IFERROR(BB55*BC55, 0)</f>
        <v/>
      </c>
      <c r="BE55" s="55" t="n"/>
      <c r="BF55" s="56" t="n"/>
      <c r="BG55" s="57">
        <f>IFERROR(BE55*BF55, 0)</f>
        <v/>
      </c>
      <c r="BH55" s="55" t="n"/>
      <c r="BI55" s="56" t="n"/>
      <c r="BJ55" s="57">
        <f>IFERROR(BH55*BI55, 0)</f>
        <v/>
      </c>
      <c r="BK55" s="55" t="n"/>
      <c r="BL55" s="56" t="n"/>
      <c r="BM55" s="57">
        <f>IFERROR(BK55*BL55, 0)</f>
        <v/>
      </c>
      <c r="BN55" s="55" t="n"/>
      <c r="BO55" s="56" t="n"/>
      <c r="BP55" s="57">
        <f>IFERROR(BN55*BO55, 0)</f>
        <v/>
      </c>
      <c r="BQ55" s="55" t="n"/>
      <c r="BR55" s="56" t="n"/>
      <c r="BS55" s="57">
        <f>IFERROR(BQ55*BR55, 0)</f>
        <v/>
      </c>
      <c r="BT55" s="55" t="n"/>
      <c r="BU55" s="56" t="n"/>
      <c r="BV55" s="57">
        <f>IFERROR(BT55*BU55, 0)</f>
        <v/>
      </c>
      <c r="BW55" s="55" t="n"/>
      <c r="BX55" s="56" t="n"/>
      <c r="BY55" s="57">
        <f>IFERROR(BW55*BX55, 0)</f>
        <v/>
      </c>
      <c r="BZ55" s="55" t="n"/>
      <c r="CA55" s="56" t="n"/>
      <c r="CB55" s="57">
        <f>IFERROR(BZ55*CA55, 0)</f>
        <v/>
      </c>
      <c r="CC55" s="55" t="n"/>
      <c r="CD55" s="56" t="n"/>
      <c r="CE55" s="57">
        <f>IFERROR(CC55*CD55, 0)</f>
        <v/>
      </c>
      <c r="CF55" s="55" t="n"/>
      <c r="CG55" s="56" t="n"/>
      <c r="CH55" s="57">
        <f>IFERROR(CF55*CG55, 0)</f>
        <v/>
      </c>
      <c r="CI55" s="55" t="n"/>
      <c r="CJ55" s="56" t="n"/>
      <c r="CK55" s="57">
        <f>IFERROR(CI55*CJ55, 0)</f>
        <v/>
      </c>
      <c r="CL55" s="55" t="n"/>
      <c r="CM55" s="56" t="n"/>
      <c r="CN55" s="57">
        <f>IFERROR(CL55*CM55, 0)</f>
        <v/>
      </c>
      <c r="CO55" s="55" t="n"/>
      <c r="CP55" s="56" t="n"/>
      <c r="CQ55" s="57">
        <f>IFERROR(CO55*CP55, 0)</f>
        <v/>
      </c>
      <c r="CR55" s="55" t="n"/>
      <c r="CS55" s="56" t="n"/>
      <c r="CT55" s="57">
        <f>IFERROR(CR55*CS55, 0)</f>
        <v/>
      </c>
      <c r="CU55" s="58">
        <f>IFERROR(SUM(F55,I55,L55,O55,R55,U55,X55,AA55,AD55,AG55,AJ55,AM55,AP55,AS55,AV55,AY55,BB55,BE55,BH55,BK55,BN55,BQ55,BT55,BW55,BZ55,CC55,CF55,CI55,CL55,CO55,CR55), 0)</f>
        <v/>
      </c>
      <c r="CV55" s="57">
        <f>IFERROR(AVERAGE(G55,J55,M55,P55,S55,V55,Y55,AB55,AE55,AH55,AK55,AN55,AQ55,AT55,AW55,AZ55,BC55,BF55,BI55,BL55,BO55,BR55,BU55,BX55,CA55,CD55,CG55,CJ55,CM55,CP55,CS55), 0)</f>
        <v/>
      </c>
      <c r="CW55" s="57">
        <f>CU55*CV55</f>
        <v/>
      </c>
    </row>
    <row r="56" ht="15.75" customHeight="1">
      <c r="A56" s="21" t="inlineStr">
        <is>
          <t>Cerveza costeña x caja</t>
        </is>
      </c>
      <c r="B56" s="21" t="inlineStr">
        <is>
          <t>Und</t>
        </is>
      </c>
      <c r="C56" s="21" t="n"/>
      <c r="D56" s="21" t="n"/>
      <c r="E56" s="57">
        <f>IFERROR(C56*D56, 0)</f>
        <v/>
      </c>
      <c r="F56" s="55" t="n"/>
      <c r="G56" s="56" t="n"/>
      <c r="H56" s="57">
        <f>IFERROR(F56*G56, 0)</f>
        <v/>
      </c>
      <c r="I56" s="55" t="n"/>
      <c r="J56" s="56" t="n"/>
      <c r="K56" s="57">
        <f>IFERROR(I56*J56, 0)</f>
        <v/>
      </c>
      <c r="L56" s="55" t="n"/>
      <c r="M56" s="56" t="n"/>
      <c r="N56" s="57">
        <f>IFERROR(L56*M56, 0)</f>
        <v/>
      </c>
      <c r="O56" s="55" t="n"/>
      <c r="P56" s="56" t="n"/>
      <c r="Q56" s="57">
        <f>IFERROR(O56*P56, 0)</f>
        <v/>
      </c>
      <c r="R56" s="55" t="n"/>
      <c r="S56" s="56" t="n"/>
      <c r="T56" s="57">
        <f>IFERROR(R56*S56, 0)</f>
        <v/>
      </c>
      <c r="U56" s="55" t="n"/>
      <c r="V56" s="56" t="n"/>
      <c r="W56" s="57">
        <f>IFERROR(U56*V56, 0)</f>
        <v/>
      </c>
      <c r="X56" s="55" t="n"/>
      <c r="Y56" s="56" t="n"/>
      <c r="Z56" s="57">
        <f>IFERROR(X56*Y56, 0)</f>
        <v/>
      </c>
      <c r="AA56" s="55" t="n"/>
      <c r="AB56" s="56" t="n"/>
      <c r="AC56" s="57">
        <f>IFERROR(AA56*AB56, 0)</f>
        <v/>
      </c>
      <c r="AD56" s="55" t="n"/>
      <c r="AE56" s="56" t="n"/>
      <c r="AF56" s="57">
        <f>IFERROR(AD56*AE56, 0)</f>
        <v/>
      </c>
      <c r="AG56" s="55" t="n"/>
      <c r="AH56" s="56" t="n"/>
      <c r="AI56" s="57">
        <f>IFERROR(AG56*AH56, 0)</f>
        <v/>
      </c>
      <c r="AJ56" s="55" t="n"/>
      <c r="AK56" s="56" t="n"/>
      <c r="AL56" s="57">
        <f>IFERROR(AJ56*AK56, 0)</f>
        <v/>
      </c>
      <c r="AM56" s="55" t="n"/>
      <c r="AN56" s="56" t="n"/>
      <c r="AO56" s="57">
        <f>IFERROR(AM56*AN56, 0)</f>
        <v/>
      </c>
      <c r="AP56" s="55" t="n"/>
      <c r="AQ56" s="56" t="n"/>
      <c r="AR56" s="57">
        <f>IFERROR(AP56*AQ56, 0)</f>
        <v/>
      </c>
      <c r="AS56" s="55" t="n"/>
      <c r="AT56" s="56" t="n"/>
      <c r="AU56" s="57">
        <f>IFERROR(AS56*AT56, 0)</f>
        <v/>
      </c>
      <c r="AV56" s="55" t="n"/>
      <c r="AW56" s="56" t="n"/>
      <c r="AX56" s="57">
        <f>IFERROR(AV56*AW56, 0)</f>
        <v/>
      </c>
      <c r="AY56" s="55" t="n"/>
      <c r="AZ56" s="56" t="n"/>
      <c r="BA56" s="57">
        <f>IFERROR(AY56*AZ56, 0)</f>
        <v/>
      </c>
      <c r="BB56" s="55" t="n"/>
      <c r="BC56" s="56" t="n"/>
      <c r="BD56" s="57">
        <f>IFERROR(BB56*BC56, 0)</f>
        <v/>
      </c>
      <c r="BE56" s="55" t="n"/>
      <c r="BF56" s="56" t="n"/>
      <c r="BG56" s="57">
        <f>IFERROR(BE56*BF56, 0)</f>
        <v/>
      </c>
      <c r="BH56" s="55" t="n"/>
      <c r="BI56" s="56" t="n"/>
      <c r="BJ56" s="57">
        <f>IFERROR(BH56*BI56, 0)</f>
        <v/>
      </c>
      <c r="BK56" s="55" t="n"/>
      <c r="BL56" s="56" t="n"/>
      <c r="BM56" s="57">
        <f>IFERROR(BK56*BL56, 0)</f>
        <v/>
      </c>
      <c r="BN56" s="55" t="n"/>
      <c r="BO56" s="56" t="n"/>
      <c r="BP56" s="57">
        <f>IFERROR(BN56*BO56, 0)</f>
        <v/>
      </c>
      <c r="BQ56" s="55" t="n"/>
      <c r="BR56" s="56" t="n"/>
      <c r="BS56" s="57">
        <f>IFERROR(BQ56*BR56, 0)</f>
        <v/>
      </c>
      <c r="BT56" s="55" t="n"/>
      <c r="BU56" s="56" t="n"/>
      <c r="BV56" s="57">
        <f>IFERROR(BT56*BU56, 0)</f>
        <v/>
      </c>
      <c r="BW56" s="55" t="n"/>
      <c r="BX56" s="56" t="n"/>
      <c r="BY56" s="57">
        <f>IFERROR(BW56*BX56, 0)</f>
        <v/>
      </c>
      <c r="BZ56" s="55" t="n"/>
      <c r="CA56" s="56" t="n"/>
      <c r="CB56" s="57">
        <f>IFERROR(BZ56*CA56, 0)</f>
        <v/>
      </c>
      <c r="CC56" s="55" t="n"/>
      <c r="CD56" s="56" t="n"/>
      <c r="CE56" s="57">
        <f>IFERROR(CC56*CD56, 0)</f>
        <v/>
      </c>
      <c r="CF56" s="55" t="n"/>
      <c r="CG56" s="56" t="n"/>
      <c r="CH56" s="57">
        <f>IFERROR(CF56*CG56, 0)</f>
        <v/>
      </c>
      <c r="CI56" s="55" t="n"/>
      <c r="CJ56" s="56" t="n"/>
      <c r="CK56" s="57">
        <f>IFERROR(CI56*CJ56, 0)</f>
        <v/>
      </c>
      <c r="CL56" s="55" t="n"/>
      <c r="CM56" s="56" t="n"/>
      <c r="CN56" s="57">
        <f>IFERROR(CL56*CM56, 0)</f>
        <v/>
      </c>
      <c r="CO56" s="55" t="n"/>
      <c r="CP56" s="56" t="n"/>
      <c r="CQ56" s="57">
        <f>IFERROR(CO56*CP56, 0)</f>
        <v/>
      </c>
      <c r="CR56" s="55" t="n"/>
      <c r="CS56" s="56" t="n"/>
      <c r="CT56" s="57">
        <f>IFERROR(CR56*CS56, 0)</f>
        <v/>
      </c>
      <c r="CU56" s="58">
        <f>IFERROR(SUM(F56,I56,L56,O56,R56,U56,X56,AA56,AD56,AG56,AJ56,AM56,AP56,AS56,AV56,AY56,BB56,BE56,BH56,BK56,BN56,BQ56,BT56,BW56,BZ56,CC56,CF56,CI56,CL56,CO56,CR56), 0)</f>
        <v/>
      </c>
      <c r="CV56" s="57">
        <f>IFERROR(AVERAGE(G56,J56,M56,P56,S56,V56,Y56,AB56,AE56,AH56,AK56,AN56,AQ56,AT56,AW56,AZ56,BC56,BF56,BI56,BL56,BO56,BR56,BU56,BX56,CA56,CD56,CG56,CJ56,CM56,CP56,CS56), 0)</f>
        <v/>
      </c>
      <c r="CW56" s="57">
        <f>CU56*CV56</f>
        <v/>
      </c>
    </row>
    <row r="57" ht="15.75" customHeight="1">
      <c r="A57" s="53" t="inlineStr">
        <is>
          <t>Pony malta x caja</t>
        </is>
      </c>
      <c r="B57" s="53" t="inlineStr">
        <is>
          <t>Und</t>
        </is>
      </c>
      <c r="C57" s="55" t="n"/>
      <c r="D57" s="56" t="n"/>
      <c r="E57" s="57">
        <f>IFERROR(C57*D57, 0)</f>
        <v/>
      </c>
      <c r="F57" s="55" t="n"/>
      <c r="G57" s="56" t="n"/>
      <c r="H57" s="57">
        <f>IFERROR(F57*G57, 0)</f>
        <v/>
      </c>
      <c r="I57" s="55" t="n"/>
      <c r="J57" s="56" t="n"/>
      <c r="K57" s="57">
        <f>IFERROR(I57*J57, 0)</f>
        <v/>
      </c>
      <c r="L57" s="55" t="n"/>
      <c r="M57" s="56" t="n"/>
      <c r="N57" s="57">
        <f>IFERROR(L57*M57, 0)</f>
        <v/>
      </c>
      <c r="O57" s="55" t="n"/>
      <c r="P57" s="56" t="n"/>
      <c r="Q57" s="57">
        <f>IFERROR(O57*P57, 0)</f>
        <v/>
      </c>
      <c r="R57" s="55" t="n"/>
      <c r="S57" s="56" t="n"/>
      <c r="T57" s="57">
        <f>IFERROR(R57*S57, 0)</f>
        <v/>
      </c>
      <c r="U57" s="55" t="n"/>
      <c r="V57" s="56" t="n"/>
      <c r="W57" s="57">
        <f>IFERROR(U57*V57, 0)</f>
        <v/>
      </c>
      <c r="X57" s="55" t="n"/>
      <c r="Y57" s="56" t="n"/>
      <c r="Z57" s="57">
        <f>IFERROR(X57*Y57, 0)</f>
        <v/>
      </c>
      <c r="AA57" s="55" t="n"/>
      <c r="AB57" s="56" t="n"/>
      <c r="AC57" s="57">
        <f>IFERROR(AA57*AB57, 0)</f>
        <v/>
      </c>
      <c r="AD57" s="55" t="n"/>
      <c r="AE57" s="56" t="n"/>
      <c r="AF57" s="57">
        <f>IFERROR(AD57*AE57, 0)</f>
        <v/>
      </c>
      <c r="AG57" s="55" t="n"/>
      <c r="AH57" s="56" t="n"/>
      <c r="AI57" s="57">
        <f>IFERROR(AG57*AH57, 0)</f>
        <v/>
      </c>
      <c r="AJ57" s="55" t="n">
        <v>1</v>
      </c>
      <c r="AK57" s="56" t="n">
        <v>60900</v>
      </c>
      <c r="AL57" s="57" t="n">
        <v>60900</v>
      </c>
      <c r="AM57" s="55" t="n"/>
      <c r="AN57" s="56" t="n"/>
      <c r="AO57" s="57">
        <f>IFERROR(AM57*AN57, 0)</f>
        <v/>
      </c>
      <c r="AP57" s="55" t="n"/>
      <c r="AQ57" s="56" t="n"/>
      <c r="AR57" s="57">
        <f>IFERROR(AP57*AQ57, 0)</f>
        <v/>
      </c>
      <c r="AS57" s="55" t="n"/>
      <c r="AT57" s="56" t="n"/>
      <c r="AU57" s="57">
        <f>IFERROR(AS57*AT57, 0)</f>
        <v/>
      </c>
      <c r="AV57" s="55" t="n"/>
      <c r="AW57" s="56" t="n"/>
      <c r="AX57" s="57">
        <f>IFERROR(AV57*AW57, 0)</f>
        <v/>
      </c>
      <c r="AY57" s="55" t="n"/>
      <c r="AZ57" s="56" t="n"/>
      <c r="BA57" s="57">
        <f>IFERROR(AY57*AZ57, 0)</f>
        <v/>
      </c>
      <c r="BB57" s="55" t="n">
        <v>1</v>
      </c>
      <c r="BC57" s="56" t="n">
        <v>60900</v>
      </c>
      <c r="BD57" s="57" t="n">
        <v>60900</v>
      </c>
      <c r="BE57" s="55" t="n"/>
      <c r="BF57" s="56" t="n"/>
      <c r="BG57" s="57">
        <f>IFERROR(BE57*BF57, 0)</f>
        <v/>
      </c>
      <c r="BH57" s="55" t="n"/>
      <c r="BI57" s="56" t="n"/>
      <c r="BJ57" s="57">
        <f>IFERROR(BH57*BI57, 0)</f>
        <v/>
      </c>
      <c r="BK57" s="55" t="n"/>
      <c r="BL57" s="56" t="n"/>
      <c r="BM57" s="57">
        <f>IFERROR(BK57*BL57, 0)</f>
        <v/>
      </c>
      <c r="BN57" s="55" t="n"/>
      <c r="BO57" s="56" t="n"/>
      <c r="BP57" s="57">
        <f>IFERROR(BN57*BO57, 0)</f>
        <v/>
      </c>
      <c r="BQ57" s="55" t="n"/>
      <c r="BR57" s="56" t="n"/>
      <c r="BS57" s="57">
        <f>IFERROR(BQ57*BR57, 0)</f>
        <v/>
      </c>
      <c r="BT57" s="55" t="n"/>
      <c r="BU57" s="56" t="n"/>
      <c r="BV57" s="57">
        <f>IFERROR(BT57*BU57, 0)</f>
        <v/>
      </c>
      <c r="BW57" s="55" t="n"/>
      <c r="BX57" s="56" t="n"/>
      <c r="BY57" s="57">
        <f>IFERROR(BW57*BX57, 0)</f>
        <v/>
      </c>
      <c r="BZ57" s="55" t="n"/>
      <c r="CA57" s="56" t="n"/>
      <c r="CB57" s="57">
        <f>IFERROR(BZ57*CA57, 0)</f>
        <v/>
      </c>
      <c r="CC57" s="55" t="n"/>
      <c r="CD57" s="56" t="n"/>
      <c r="CE57" s="57">
        <f>IFERROR(CC57*CD57, 0)</f>
        <v/>
      </c>
      <c r="CF57" s="55" t="n"/>
      <c r="CG57" s="56" t="n"/>
      <c r="CH57" s="57">
        <f>IFERROR(CF57*CG57, 0)</f>
        <v/>
      </c>
      <c r="CI57" s="55" t="n"/>
      <c r="CJ57" s="56" t="n"/>
      <c r="CK57" s="57">
        <f>IFERROR(CI57*CJ57, 0)</f>
        <v/>
      </c>
      <c r="CL57" s="55" t="n"/>
      <c r="CM57" s="56" t="n"/>
      <c r="CN57" s="57">
        <f>IFERROR(CL57*CM57, 0)</f>
        <v/>
      </c>
      <c r="CO57" s="55" t="n"/>
      <c r="CP57" s="56" t="n"/>
      <c r="CQ57" s="57">
        <f>IFERROR(CO57*CP57, 0)</f>
        <v/>
      </c>
      <c r="CR57" s="55" t="n"/>
      <c r="CS57" s="56" t="n"/>
      <c r="CT57" s="57">
        <f>IFERROR(CR57*CS57, 0)</f>
        <v/>
      </c>
      <c r="CU57" s="58">
        <f>IFERROR(SUM(F57,I57,L57,O57,R57,U57,X57,AA57,AD57,AG57,AJ57,AM57,AP57,AS57,AV57,AY57,BB57,BE57,BH57,BK57,BN57,BQ57,BT57,BW57,BZ57,CC57,CF57,CI57,CL57,CO57,CR57), 0)</f>
        <v/>
      </c>
      <c r="CV57" s="57">
        <f>IFERROR(AVERAGE(G57,J57,M57,P57,S57,V57,Y57,AB57,AE57,AH57,AK57,AN57,AQ57,AT57,AW57,AZ57,BC57,BF57,BI57,BL57,BO57,BR57,BU57,BX57,CA57,CD57,CG57,CJ57,CM57,CP57,CS57), 0)</f>
        <v/>
      </c>
      <c r="CW57" s="57">
        <f>CU57*CV57</f>
        <v/>
      </c>
    </row>
    <row r="58" ht="15.75" customHeight="1">
      <c r="A58" s="53" t="inlineStr">
        <is>
          <t>Zumo de limon</t>
        </is>
      </c>
      <c r="B58" s="53" t="inlineStr">
        <is>
          <t>Und</t>
        </is>
      </c>
      <c r="C58" s="55" t="n"/>
      <c r="D58" s="56" t="n"/>
      <c r="E58" s="57">
        <f>IFERROR(C58*D58, 0)</f>
        <v/>
      </c>
      <c r="F58" s="55" t="n"/>
      <c r="G58" s="56" t="n"/>
      <c r="H58" s="57">
        <f>IFERROR(F58*G58, 0)</f>
        <v/>
      </c>
      <c r="I58" s="55" t="n"/>
      <c r="J58" s="56" t="n"/>
      <c r="K58" s="57">
        <f>IFERROR(I58*J58, 0)</f>
        <v/>
      </c>
      <c r="L58" s="55" t="n"/>
      <c r="M58" s="56" t="n"/>
      <c r="N58" s="57">
        <f>IFERROR(L58*M58, 0)</f>
        <v/>
      </c>
      <c r="O58" s="55" t="n"/>
      <c r="P58" s="56" t="n"/>
      <c r="Q58" s="57">
        <f>IFERROR(O58*P58, 0)</f>
        <v/>
      </c>
      <c r="R58" s="55" t="n"/>
      <c r="S58" s="56" t="n"/>
      <c r="T58" s="57">
        <f>IFERROR(R58*S58, 0)</f>
        <v/>
      </c>
      <c r="U58" s="55" t="n"/>
      <c r="V58" s="56" t="n"/>
      <c r="W58" s="57">
        <f>IFERROR(U58*V58, 0)</f>
        <v/>
      </c>
      <c r="X58" s="55" t="n"/>
      <c r="Y58" s="56" t="n"/>
      <c r="Z58" s="57">
        <f>IFERROR(X58*Y58, 0)</f>
        <v/>
      </c>
      <c r="AA58" s="55" t="n"/>
      <c r="AB58" s="56" t="n"/>
      <c r="AC58" s="57">
        <f>IFERROR(AA58*AB58, 0)</f>
        <v/>
      </c>
      <c r="AD58" s="55" t="n"/>
      <c r="AE58" s="56" t="n"/>
      <c r="AF58" s="57">
        <f>IFERROR(AD58*AE58, 0)</f>
        <v/>
      </c>
      <c r="AG58" s="55" t="n"/>
      <c r="AH58" s="56" t="n"/>
      <c r="AI58" s="57">
        <f>IFERROR(AG58*AH58, 0)</f>
        <v/>
      </c>
      <c r="AJ58" s="55" t="n"/>
      <c r="AK58" s="56" t="n"/>
      <c r="AL58" s="57">
        <f>IFERROR(AJ58*AK58, 0)</f>
        <v/>
      </c>
      <c r="AM58" s="55" t="n"/>
      <c r="AN58" s="56" t="n"/>
      <c r="AO58" s="57">
        <f>IFERROR(AM58*AN58, 0)</f>
        <v/>
      </c>
      <c r="AP58" s="55" t="n"/>
      <c r="AQ58" s="56" t="n"/>
      <c r="AR58" s="57">
        <f>IFERROR(AP58*AQ58, 0)</f>
        <v/>
      </c>
      <c r="AS58" s="55" t="n"/>
      <c r="AT58" s="56" t="n"/>
      <c r="AU58" s="57">
        <f>IFERROR(AS58*AT58, 0)</f>
        <v/>
      </c>
      <c r="AV58" s="55" t="n"/>
      <c r="AW58" s="56" t="n"/>
      <c r="AX58" s="57">
        <f>IFERROR(AV58*AW58, 0)</f>
        <v/>
      </c>
      <c r="AY58" s="55" t="n"/>
      <c r="AZ58" s="56" t="n"/>
      <c r="BA58" s="57">
        <f>IFERROR(AY58*AZ58, 0)</f>
        <v/>
      </c>
      <c r="BB58" s="55" t="n"/>
      <c r="BC58" s="56" t="n"/>
      <c r="BD58" s="57">
        <f>IFERROR(BB58*BC58, 0)</f>
        <v/>
      </c>
      <c r="BE58" s="55" t="n"/>
      <c r="BF58" s="56" t="n"/>
      <c r="BG58" s="57">
        <f>IFERROR(BE58*BF58, 0)</f>
        <v/>
      </c>
      <c r="BH58" s="55" t="n"/>
      <c r="BI58" s="56" t="n"/>
      <c r="BJ58" s="57">
        <f>IFERROR(BH58*BI58, 0)</f>
        <v/>
      </c>
      <c r="BK58" s="55" t="n"/>
      <c r="BL58" s="56" t="n"/>
      <c r="BM58" s="57">
        <f>IFERROR(BK58*BL58, 0)</f>
        <v/>
      </c>
      <c r="BN58" s="55" t="n"/>
      <c r="BO58" s="56" t="n"/>
      <c r="BP58" s="57">
        <f>IFERROR(BN58*BO58, 0)</f>
        <v/>
      </c>
      <c r="BQ58" s="55" t="n"/>
      <c r="BR58" s="56" t="n"/>
      <c r="BS58" s="57">
        <f>IFERROR(BQ58*BR58, 0)</f>
        <v/>
      </c>
      <c r="BT58" s="55" t="n"/>
      <c r="BU58" s="56" t="n"/>
      <c r="BV58" s="57">
        <f>IFERROR(BT58*BU58, 0)</f>
        <v/>
      </c>
      <c r="BW58" s="55" t="n"/>
      <c r="BX58" s="56" t="n"/>
      <c r="BY58" s="57">
        <f>IFERROR(BW58*BX58, 0)</f>
        <v/>
      </c>
      <c r="BZ58" s="55" t="n"/>
      <c r="CA58" s="56" t="n"/>
      <c r="CB58" s="57">
        <f>IFERROR(BZ58*CA58, 0)</f>
        <v/>
      </c>
      <c r="CC58" s="55" t="n"/>
      <c r="CD58" s="56" t="n"/>
      <c r="CE58" s="57">
        <f>IFERROR(CC58*CD58, 0)</f>
        <v/>
      </c>
      <c r="CF58" s="55" t="n"/>
      <c r="CG58" s="56" t="n"/>
      <c r="CH58" s="57">
        <f>IFERROR(CF58*CG58, 0)</f>
        <v/>
      </c>
      <c r="CI58" s="55" t="n"/>
      <c r="CJ58" s="56" t="n"/>
      <c r="CK58" s="57">
        <f>IFERROR(CI58*CJ58, 0)</f>
        <v/>
      </c>
      <c r="CL58" s="55" t="n"/>
      <c r="CM58" s="56" t="n"/>
      <c r="CN58" s="57">
        <f>IFERROR(CL58*CM58, 0)</f>
        <v/>
      </c>
      <c r="CO58" s="55" t="n"/>
      <c r="CP58" s="56" t="n"/>
      <c r="CQ58" s="57">
        <f>IFERROR(CO58*CP58, 0)</f>
        <v/>
      </c>
      <c r="CR58" s="55" t="n"/>
      <c r="CS58" s="56" t="n"/>
      <c r="CT58" s="57">
        <f>IFERROR(CR58*CS58, 0)</f>
        <v/>
      </c>
      <c r="CU58" s="58">
        <f>IFERROR(SUM(F58,I58,L58,O58,R58,U58,X58,AA58,AD58,AG58,AJ58,AM58,AP58,AS58,AV58,AY58,BB58,BE58,BH58,BK58,BN58,BQ58,BT58,BW58,BZ58,CC58,CF58,CI58,CL58,CO58,CR58), 0)</f>
        <v/>
      </c>
      <c r="CV58" s="57">
        <f>IFERROR(AVERAGE(G58,J58,M58,P58,S58,V58,Y58,AB58,AE58,AH58,AK58,AN58,AQ58,AT58,AW58,AZ58,BC58,BF58,BI58,BL58,BO58,BR58,BU58,BX58,CA58,CD58,CG58,CJ58,CM58,CP58,CS58), 0)</f>
        <v/>
      </c>
      <c r="CW58" s="57">
        <f>CU58*CV58</f>
        <v/>
      </c>
    </row>
    <row r="59">
      <c r="A59" s="76" t="inlineStr">
        <is>
          <t>Cerv Stel Artois</t>
        </is>
      </c>
      <c r="B59" s="53" t="inlineStr">
        <is>
          <t>Und</t>
        </is>
      </c>
      <c r="C59" s="76" t="n"/>
      <c r="D59" s="76" t="n"/>
      <c r="E59" s="76" t="n"/>
      <c r="F59" s="55" t="n"/>
      <c r="G59" s="56" t="n"/>
      <c r="H59" s="57">
        <f>IFERROR(F59*G59, 0)</f>
        <v/>
      </c>
      <c r="I59" s="55" t="n"/>
      <c r="J59" s="56" t="n"/>
      <c r="K59" s="57">
        <f>IFERROR(I59*J59, 0)</f>
        <v/>
      </c>
      <c r="L59" s="55" t="n"/>
      <c r="M59" s="56" t="n"/>
      <c r="N59" s="57">
        <f>IFERROR(L59*M59, 0)</f>
        <v/>
      </c>
      <c r="O59" s="55" t="n"/>
      <c r="P59" s="56" t="n"/>
      <c r="Q59" s="57">
        <f>IFERROR(O59*P59, 0)</f>
        <v/>
      </c>
      <c r="R59" s="55" t="n"/>
      <c r="S59" s="56" t="n"/>
      <c r="T59" s="57">
        <f>IFERROR(R59*S59, 0)</f>
        <v/>
      </c>
      <c r="U59" s="55" t="n"/>
      <c r="V59" s="56" t="n"/>
      <c r="W59" s="57">
        <f>IFERROR(U59*V59, 0)</f>
        <v/>
      </c>
      <c r="X59" s="55" t="n"/>
      <c r="Y59" s="56" t="n"/>
      <c r="Z59" s="57">
        <f>IFERROR(X59*Y59, 0)</f>
        <v/>
      </c>
      <c r="AA59" s="55" t="n"/>
      <c r="AB59" s="56" t="n"/>
      <c r="AC59" s="57">
        <f>IFERROR(AA59*AB59, 0)</f>
        <v/>
      </c>
      <c r="AD59" s="55" t="n"/>
      <c r="AE59" s="56" t="n"/>
      <c r="AF59" s="57">
        <f>IFERROR(AD59*AE59, 0)</f>
        <v/>
      </c>
      <c r="AG59" s="55" t="n"/>
      <c r="AH59" s="56" t="n"/>
      <c r="AI59" s="57">
        <f>IFERROR(AG59*AH59, 0)</f>
        <v/>
      </c>
      <c r="AJ59" s="55" t="n">
        <v>1</v>
      </c>
      <c r="AK59" s="56" t="n">
        <v>92200</v>
      </c>
      <c r="AL59" s="57" t="n">
        <v>92200</v>
      </c>
      <c r="AM59" s="55" t="n"/>
      <c r="AN59" s="56" t="n"/>
      <c r="AO59" s="57">
        <f>IFERROR(AM59*AN59, 0)</f>
        <v/>
      </c>
      <c r="AP59" s="55" t="n"/>
      <c r="AQ59" s="56" t="n"/>
      <c r="AR59" s="57">
        <f>IFERROR(AP59*AQ59, 0)</f>
        <v/>
      </c>
      <c r="AS59" s="55" t="n"/>
      <c r="AT59" s="56" t="n"/>
      <c r="AU59" s="57">
        <f>IFERROR(AS59*AT59, 0)</f>
        <v/>
      </c>
      <c r="AV59" s="55" t="n"/>
      <c r="AW59" s="56" t="n"/>
      <c r="AX59" s="57">
        <f>IFERROR(AV59*AW59, 0)</f>
        <v/>
      </c>
      <c r="AY59" s="55" t="n"/>
      <c r="AZ59" s="56" t="n"/>
      <c r="BA59" s="57">
        <f>IFERROR(AY59*AZ59, 0)</f>
        <v/>
      </c>
      <c r="BB59" s="55" t="n"/>
      <c r="BC59" s="56" t="n"/>
      <c r="BD59" s="57">
        <f>IFERROR(BB59*BC59, 0)</f>
        <v/>
      </c>
      <c r="BE59" s="55" t="n"/>
      <c r="BF59" s="56" t="n"/>
      <c r="BG59" s="57">
        <f>IFERROR(BE59*BF59, 0)</f>
        <v/>
      </c>
      <c r="BH59" s="55" t="n"/>
      <c r="BI59" s="56" t="n"/>
      <c r="BJ59" s="57">
        <f>IFERROR(BH59*BI59, 0)</f>
        <v/>
      </c>
      <c r="BK59" s="55" t="n"/>
      <c r="BL59" s="56" t="n"/>
      <c r="BM59" s="57">
        <f>IFERROR(BK59*BL59, 0)</f>
        <v/>
      </c>
      <c r="BN59" s="55" t="n"/>
      <c r="BO59" s="56" t="n"/>
      <c r="BP59" s="57">
        <f>IFERROR(BN59*BO59, 0)</f>
        <v/>
      </c>
      <c r="BQ59" s="55" t="n"/>
      <c r="BR59" s="56" t="n"/>
      <c r="BS59" s="57">
        <f>IFERROR(BQ59*BR59, 0)</f>
        <v/>
      </c>
      <c r="BT59" s="55" t="n">
        <v>1</v>
      </c>
      <c r="BU59" s="56" t="n">
        <v>92200</v>
      </c>
      <c r="BV59" s="57" t="n">
        <v>92200</v>
      </c>
      <c r="BW59" s="55" t="n"/>
      <c r="BX59" s="56" t="n"/>
      <c r="BY59" s="57">
        <f>IFERROR(BW59*BX59, 0)</f>
        <v/>
      </c>
      <c r="BZ59" s="55" t="n"/>
      <c r="CA59" s="56" t="n"/>
      <c r="CB59" s="57">
        <f>IFERROR(BZ59*CA59, 0)</f>
        <v/>
      </c>
      <c r="CC59" s="55" t="n"/>
      <c r="CD59" s="56" t="n"/>
      <c r="CE59" s="57">
        <f>IFERROR(CC59*CD59, 0)</f>
        <v/>
      </c>
      <c r="CF59" s="55" t="n"/>
      <c r="CG59" s="56" t="n"/>
      <c r="CH59" s="57">
        <f>IFERROR(CF59*CG59, 0)</f>
        <v/>
      </c>
      <c r="CI59" s="55" t="n"/>
      <c r="CJ59" s="56" t="n"/>
      <c r="CK59" s="57">
        <f>IFERROR(CI59*CJ59, 0)</f>
        <v/>
      </c>
      <c r="CL59" s="55" t="n"/>
      <c r="CM59" s="56" t="n"/>
      <c r="CN59" s="57">
        <f>IFERROR(CL59*CM59, 0)</f>
        <v/>
      </c>
      <c r="CO59" s="55" t="n"/>
      <c r="CP59" s="56" t="n"/>
      <c r="CQ59" s="57">
        <f>IFERROR(CO59*CP59, 0)</f>
        <v/>
      </c>
      <c r="CR59" s="55" t="n"/>
      <c r="CS59" s="56" t="n"/>
      <c r="CT59" s="57">
        <f>IFERROR(CR59*CS59, 0)</f>
        <v/>
      </c>
      <c r="CU59" s="58">
        <f>IFERROR(SUM(F59,I59,L59,O59,R59,U59,X59,AA59,AD59,AG59,AJ59,AM59,AP59,AS59,AV59,AY59,BB59,BE59,BH59,BK59,BN59,BQ59,BT59,BW59,BZ59,CC59,CF59,CI59,CL59,CO59,CR59), 0)</f>
        <v/>
      </c>
      <c r="CV59" s="57">
        <f>IFERROR(AVERAGE(G59,J59,M59,P59,S59,V59,Y59,AB59,AE59,AH59,AK59,AN59,AQ59,AT59,AW59,AZ59,BC59,BF59,BI59,BL59,BO59,BR59,BU59,BX59,CA59,CD59,CG59,CJ59,CM59,CP59,CS59), 0)</f>
        <v/>
      </c>
      <c r="CW59" s="57">
        <f>CU59*CV59</f>
        <v/>
      </c>
    </row>
    <row r="60">
      <c r="A60" s="76" t="inlineStr">
        <is>
          <t>Cerveza Light</t>
        </is>
      </c>
      <c r="B60" s="53" t="inlineStr">
        <is>
          <t>Und</t>
        </is>
      </c>
      <c r="C60" s="76" t="n"/>
      <c r="D60" s="76" t="n"/>
      <c r="E60" s="76" t="n"/>
      <c r="F60" s="55" t="n"/>
      <c r="G60" s="56" t="n"/>
      <c r="H60" s="57">
        <f>IFERROR(F60*G60, 0)</f>
        <v/>
      </c>
      <c r="I60" s="55" t="n"/>
      <c r="J60" s="56" t="n"/>
      <c r="K60" s="57">
        <f>IFERROR(I60*J60, 0)</f>
        <v/>
      </c>
      <c r="L60" s="55" t="n"/>
      <c r="M60" s="56" t="n"/>
      <c r="N60" s="57">
        <f>IFERROR(L60*M60, 0)</f>
        <v/>
      </c>
      <c r="O60" s="55" t="n"/>
      <c r="P60" s="56" t="n"/>
      <c r="Q60" s="57">
        <f>IFERROR(O60*P60, 0)</f>
        <v/>
      </c>
      <c r="R60" s="55" t="n"/>
      <c r="S60" s="56" t="n"/>
      <c r="T60" s="57">
        <f>IFERROR(R60*S60, 0)</f>
        <v/>
      </c>
      <c r="U60" s="55" t="n"/>
      <c r="V60" s="56" t="n"/>
      <c r="W60" s="57">
        <f>IFERROR(U60*V60, 0)</f>
        <v/>
      </c>
      <c r="X60" s="55" t="n"/>
      <c r="Y60" s="56" t="n"/>
      <c r="Z60" s="57">
        <f>IFERROR(X60*Y60, 0)</f>
        <v/>
      </c>
      <c r="AA60" s="55" t="n"/>
      <c r="AB60" s="56" t="n"/>
      <c r="AC60" s="57">
        <f>IFERROR(AA60*AB60, 0)</f>
        <v/>
      </c>
      <c r="AD60" s="55" t="n"/>
      <c r="AE60" s="56" t="n"/>
      <c r="AF60" s="57">
        <f>IFERROR(AD60*AE60, 0)</f>
        <v/>
      </c>
      <c r="AG60" s="55" t="n"/>
      <c r="AH60" s="56" t="n"/>
      <c r="AI60" s="57">
        <f>IFERROR(AG60*AH60, 0)</f>
        <v/>
      </c>
      <c r="AJ60" s="55" t="n">
        <v>1</v>
      </c>
      <c r="AK60" s="56" t="n">
        <v>75500</v>
      </c>
      <c r="AL60" s="57" t="n">
        <v>75500</v>
      </c>
      <c r="AM60" s="55" t="n"/>
      <c r="AN60" s="56" t="n"/>
      <c r="AO60" s="57">
        <f>IFERROR(AM60*AN60, 0)</f>
        <v/>
      </c>
      <c r="AP60" s="55" t="n"/>
      <c r="AQ60" s="56" t="n"/>
      <c r="AR60" s="57">
        <f>IFERROR(AP60*AQ60, 0)</f>
        <v/>
      </c>
      <c r="AS60" s="55" t="n"/>
      <c r="AT60" s="56" t="n"/>
      <c r="AU60" s="57">
        <f>IFERROR(AS60*AT60, 0)</f>
        <v/>
      </c>
      <c r="AV60" s="55" t="n"/>
      <c r="AW60" s="56" t="n"/>
      <c r="AX60" s="57">
        <f>IFERROR(AV60*AW60, 0)</f>
        <v/>
      </c>
      <c r="AY60" s="55" t="n"/>
      <c r="AZ60" s="56" t="n"/>
      <c r="BA60" s="57">
        <f>IFERROR(AY60*AZ60, 0)</f>
        <v/>
      </c>
      <c r="BB60" s="55" t="n"/>
      <c r="BC60" s="56" t="n"/>
      <c r="BD60" s="57">
        <f>IFERROR(BB60*BC60, 0)</f>
        <v/>
      </c>
      <c r="BE60" s="55" t="n"/>
      <c r="BF60" s="56" t="n"/>
      <c r="BG60" s="57">
        <f>IFERROR(BE60*BF60, 0)</f>
        <v/>
      </c>
      <c r="BH60" s="55" t="n"/>
      <c r="BI60" s="56" t="n"/>
      <c r="BJ60" s="57">
        <f>IFERROR(BH60*BI60, 0)</f>
        <v/>
      </c>
      <c r="BK60" s="55" t="n"/>
      <c r="BL60" s="56" t="n"/>
      <c r="BM60" s="57">
        <f>IFERROR(BK60*BL60, 0)</f>
        <v/>
      </c>
      <c r="BN60" s="55" t="n"/>
      <c r="BO60" s="56" t="n"/>
      <c r="BP60" s="57">
        <f>IFERROR(BN60*BO60, 0)</f>
        <v/>
      </c>
      <c r="BQ60" s="55" t="n"/>
      <c r="BR60" s="56" t="n"/>
      <c r="BS60" s="57">
        <f>IFERROR(BQ60*BR60, 0)</f>
        <v/>
      </c>
      <c r="BT60" s="55" t="n"/>
      <c r="BU60" s="56" t="n"/>
      <c r="BV60" s="57">
        <f>IFERROR(BT60*BU60, 0)</f>
        <v/>
      </c>
      <c r="BW60" s="55" t="n"/>
      <c r="BX60" s="56" t="n"/>
      <c r="BY60" s="57">
        <f>IFERROR(BW60*BX60, 0)</f>
        <v/>
      </c>
      <c r="BZ60" s="55" t="n"/>
      <c r="CA60" s="56" t="n"/>
      <c r="CB60" s="57">
        <f>IFERROR(BZ60*CA60, 0)</f>
        <v/>
      </c>
      <c r="CC60" s="55" t="n"/>
      <c r="CD60" s="56" t="n"/>
      <c r="CE60" s="57">
        <f>IFERROR(CC60*CD60, 0)</f>
        <v/>
      </c>
      <c r="CF60" s="55" t="n"/>
      <c r="CG60" s="56" t="n"/>
      <c r="CH60" s="57">
        <f>IFERROR(CF60*CG60, 0)</f>
        <v/>
      </c>
      <c r="CI60" s="55" t="n"/>
      <c r="CJ60" s="56" t="n"/>
      <c r="CK60" s="57">
        <f>IFERROR(CI60*CJ60, 0)</f>
        <v/>
      </c>
      <c r="CL60" s="55" t="n"/>
      <c r="CM60" s="56" t="n"/>
      <c r="CN60" s="57">
        <f>IFERROR(CL60*CM60, 0)</f>
        <v/>
      </c>
      <c r="CO60" s="55" t="n"/>
      <c r="CP60" s="56" t="n"/>
      <c r="CQ60" s="57">
        <f>IFERROR(CO60*CP60, 0)</f>
        <v/>
      </c>
      <c r="CR60" s="55" t="n"/>
      <c r="CS60" s="56" t="n"/>
      <c r="CT60" s="57">
        <f>IFERROR(CR60*CS60, 0)</f>
        <v/>
      </c>
      <c r="CU60" s="58">
        <f>IFERROR(SUM(F60,I60,L60,O60,R60,U60,X60,AA60,AD60,AG60,AJ60,AM60,AP60,AS60,AV60,AY60,BB60,BE60,BH60,BK60,BN60,BQ60,BT60,BW60,BZ60,CC60,CF60,CI60,CL60,CO60,CR60), 0)</f>
        <v/>
      </c>
      <c r="CV60" s="57">
        <f>IFERROR(AVERAGE(G60,J60,M60,P60,S60,V60,Y60,AB60,AE60,AH60,AK60,AN60,AQ60,AT60,AW60,AZ60,BC60,BF60,BI60,BL60,BO60,BR60,BU60,BX60,CA60,CD60,CG60,CJ60,CM60,CP60,CS60), 0)</f>
        <v/>
      </c>
      <c r="CW60" s="57">
        <f>CU60*CV60</f>
        <v/>
      </c>
    </row>
  </sheetData>
  <autoFilter ref="A2:CW60"/>
  <mergeCells count="32">
    <mergeCell ref="AD1:AF1"/>
    <mergeCell ref="O1:Q1"/>
    <mergeCell ref="BE1:BG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BK1:BM1"/>
    <mergeCell ref="AJ1:AL1"/>
    <mergeCell ref="BT1:BV1"/>
    <mergeCell ref="U1:W1"/>
    <mergeCell ref="CL1:CN1"/>
    <mergeCell ref="F1:H1"/>
    <mergeCell ref="BW1:BY1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F1:C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D6" sqref="D6"/>
    </sheetView>
  </sheetViews>
  <sheetFormatPr baseColWidth="10" defaultColWidth="10.7265625" defaultRowHeight="14.5"/>
  <cols>
    <col width="38.54296875" customWidth="1" min="1" max="1"/>
    <col width="25.453125" customWidth="1" style="71" min="2" max="2"/>
  </cols>
  <sheetData>
    <row r="1" ht="23.25" customHeight="1">
      <c r="A1" s="126" t="inlineStr">
        <is>
          <t>Total compras Julio - 2026</t>
        </is>
      </c>
      <c r="B1" s="122" t="n"/>
    </row>
    <row r="2" ht="12.75" customHeight="1">
      <c r="A2" s="72" t="n"/>
      <c r="B2" s="73" t="n"/>
    </row>
    <row r="3" ht="23.25" customHeight="1">
      <c r="A3" s="37" t="inlineStr">
        <is>
          <t>Total  carnes</t>
        </is>
      </c>
      <c r="B3" s="78">
        <f>IFERROR(SUM(Carnes!CW3:CW800), 0)</f>
        <v/>
      </c>
    </row>
    <row r="4" ht="23.25" customHeight="1">
      <c r="A4" s="37" t="inlineStr">
        <is>
          <t>Total verduras</t>
        </is>
      </c>
      <c r="B4" s="78">
        <f>IFERROR(SUM(Verduras!CW3:CW800), 0)</f>
        <v/>
      </c>
    </row>
    <row r="5" ht="23.25" customHeight="1">
      <c r="A5" s="37" t="inlineStr">
        <is>
          <t>Total granos</t>
        </is>
      </c>
      <c r="B5" s="78">
        <f>IFERROR(SUM(Grano!CW3:CW800), 0)</f>
        <v/>
      </c>
    </row>
    <row r="6" ht="23.25" customHeight="1">
      <c r="A6" s="37" t="inlineStr">
        <is>
          <t>Total desechables</t>
        </is>
      </c>
      <c r="B6" s="78">
        <f>IFERROR(SUM(Desechables!CW3:CW800), 0)</f>
        <v/>
      </c>
    </row>
    <row r="7" ht="23.25" customHeight="1">
      <c r="A7" s="37" t="inlineStr">
        <is>
          <t>Total bebidas y licores</t>
        </is>
      </c>
      <c r="B7" s="78">
        <f>IFERROR(SUM(Bebidas!CW3:CW800), 0)</f>
        <v/>
      </c>
    </row>
    <row r="8" ht="23.25" customHeight="1">
      <c r="A8" s="37" t="inlineStr">
        <is>
          <t>Otros</t>
        </is>
      </c>
      <c r="B8" s="78">
        <f>IFERROR(SUM(Servicios!CW3:CW801), 0)</f>
        <v/>
      </c>
    </row>
    <row r="9" ht="23.25" customHeight="1">
      <c r="A9" s="74" t="inlineStr">
        <is>
          <t>Total general</t>
        </is>
      </c>
      <c r="B9" s="75">
        <f>IFERROR(SUM(B3:B8), 0)</f>
        <v/>
      </c>
    </row>
    <row r="10" ht="23.25" customHeight="1">
      <c r="A10" s="72" t="n"/>
      <c r="B10" s="73" t="n"/>
    </row>
    <row r="11" ht="23.25" customHeight="1">
      <c r="A11" s="72" t="n"/>
      <c r="B11" s="73" t="n"/>
    </row>
  </sheetData>
  <mergeCells count="1">
    <mergeCell ref="A1:B1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02"/>
  <sheetViews>
    <sheetView tabSelected="1" workbookViewId="0">
      <selection activeCell="A1" sqref="A1"/>
    </sheetView>
  </sheetViews>
  <sheetFormatPr baseColWidth="10" defaultRowHeight="14.5"/>
  <cols>
    <col width="11.453125" customWidth="1" style="91" min="1" max="1"/>
    <col width="18.453125" bestFit="1" customWidth="1" style="91" min="2" max="2"/>
    <col width="28.26953125" bestFit="1" customWidth="1" style="91" min="3" max="3"/>
    <col width="39.1796875" bestFit="1" customWidth="1" style="91" min="4" max="4"/>
    <col width="11.453125" customWidth="1" style="91" min="5" max="5"/>
    <col width="16.1796875" bestFit="1" customWidth="1" style="96" min="6" max="6"/>
    <col width="17.453125" bestFit="1" customWidth="1" style="96" min="7" max="7"/>
  </cols>
  <sheetData>
    <row r="1">
      <c r="A1" s="94" t="inlineStr">
        <is>
          <t>Día</t>
        </is>
      </c>
      <c r="B1" s="90" t="inlineStr">
        <is>
          <t>Categoría (Pestaña)</t>
        </is>
      </c>
      <c r="C1" s="90" t="inlineStr">
        <is>
          <t>Ítem (Exacto en tu Excel)</t>
        </is>
      </c>
      <c r="D1" s="90" t="inlineStr">
        <is>
          <t>Descripción Original (PDF)</t>
        </is>
      </c>
      <c r="E1" s="90" t="inlineStr">
        <is>
          <t>Cantidad</t>
        </is>
      </c>
      <c r="F1" s="95" t="inlineStr">
        <is>
          <t>Costo Unitario</t>
        </is>
      </c>
      <c r="G1" s="95" t="inlineStr">
        <is>
          <t>Vr. Compra (Total)</t>
        </is>
      </c>
    </row>
    <row r="2">
      <c r="A2" s="97" t="n">
        <v>1</v>
      </c>
      <c r="B2" s="98" t="inlineStr">
        <is>
          <t>Carnes</t>
        </is>
      </c>
      <c r="C2" s="98" t="inlineStr">
        <is>
          <t>Marisco</t>
        </is>
      </c>
      <c r="D2" s="98" t="inlineStr">
        <is>
          <t>Mix de Mariscos</t>
        </is>
      </c>
      <c r="E2" s="99" t="n">
        <v>5</v>
      </c>
      <c r="F2" s="100" t="n">
        <v>24000</v>
      </c>
      <c r="G2" s="100" t="n">
        <v>120000</v>
      </c>
    </row>
    <row r="3">
      <c r="A3" s="97" t="n">
        <v>1</v>
      </c>
      <c r="B3" s="98" t="inlineStr">
        <is>
          <t>Carnes</t>
        </is>
      </c>
      <c r="C3" s="98" t="inlineStr">
        <is>
          <t>Salmon</t>
        </is>
      </c>
      <c r="D3" s="98" t="inlineStr">
        <is>
          <t>Filete de Salmon Grande</t>
        </is>
      </c>
      <c r="E3" s="101" t="n">
        <v>4.5</v>
      </c>
      <c r="F3" s="100" t="n">
        <v>55000</v>
      </c>
      <c r="G3" s="100" t="n">
        <v>247500</v>
      </c>
    </row>
    <row r="4">
      <c r="A4" s="97" t="n">
        <v>1</v>
      </c>
      <c r="B4" s="98" t="inlineStr">
        <is>
          <t>Carnes</t>
        </is>
      </c>
      <c r="C4" s="98" t="inlineStr">
        <is>
          <t>Lomo de cerdo</t>
        </is>
      </c>
      <c r="D4" s="98" t="inlineStr">
        <is>
          <t>LOMO DE CERDO</t>
        </is>
      </c>
      <c r="E4" s="101" t="n">
        <v>12.7</v>
      </c>
      <c r="F4" s="100" t="n">
        <v>19500</v>
      </c>
      <c r="G4" s="100" t="n">
        <v>247650</v>
      </c>
    </row>
    <row r="5">
      <c r="A5" s="97" t="n">
        <v>1</v>
      </c>
      <c r="B5" s="98" t="inlineStr">
        <is>
          <t>Verduras</t>
        </is>
      </c>
      <c r="C5" s="98" t="inlineStr">
        <is>
          <t>Ajo pelado</t>
        </is>
      </c>
      <c r="D5" s="98" t="inlineStr">
        <is>
          <t>AJO PELADO X 1KG</t>
        </is>
      </c>
      <c r="E5" s="99" t="n">
        <v>10</v>
      </c>
      <c r="F5" s="100" t="n">
        <v>10900</v>
      </c>
      <c r="G5" s="100" t="n">
        <v>109000</v>
      </c>
    </row>
    <row r="6">
      <c r="A6" s="97" t="n">
        <v>1</v>
      </c>
      <c r="B6" s="98" t="inlineStr">
        <is>
          <t>Carnes</t>
        </is>
      </c>
      <c r="C6" s="98" t="inlineStr">
        <is>
          <t>Mix de verdura</t>
        </is>
      </c>
      <c r="D6" s="98" t="inlineStr">
        <is>
          <t>MIX DE VERDURAS PAQ X 1000G</t>
        </is>
      </c>
      <c r="E6" s="99" t="n">
        <v>10</v>
      </c>
      <c r="F6" s="100" t="n">
        <v>8487.4</v>
      </c>
      <c r="G6" s="100" t="n">
        <v>84874</v>
      </c>
    </row>
    <row r="7">
      <c r="A7" s="97" t="n">
        <v>1</v>
      </c>
      <c r="B7" s="98" t="inlineStr">
        <is>
          <t>Carnes</t>
        </is>
      </c>
      <c r="C7" s="98" t="inlineStr">
        <is>
          <t>Costilla san luis jr</t>
        </is>
      </c>
      <c r="D7" s="98" t="inlineStr">
        <is>
          <t>COSTILLA SAN LUIS JUNIOR T/M</t>
        </is>
      </c>
      <c r="E7" s="101" t="n">
        <v>38.53</v>
      </c>
      <c r="F7" s="100" t="n">
        <v>20900</v>
      </c>
      <c r="G7" s="100" t="n">
        <v>805277</v>
      </c>
    </row>
    <row r="8">
      <c r="A8" s="97" t="n">
        <v>1</v>
      </c>
      <c r="B8" s="98" t="inlineStr">
        <is>
          <t>Carnes</t>
        </is>
      </c>
      <c r="C8" s="98" t="inlineStr">
        <is>
          <t>Sobaco</t>
        </is>
      </c>
      <c r="D8" s="98" t="inlineStr">
        <is>
          <t>SOBACO</t>
        </is>
      </c>
      <c r="E8" s="101" t="n">
        <v>23.73</v>
      </c>
      <c r="F8" s="100" t="n">
        <v>25900</v>
      </c>
      <c r="G8" s="100" t="n">
        <v>614607</v>
      </c>
    </row>
    <row r="9">
      <c r="A9" s="97" t="n">
        <v>1</v>
      </c>
      <c r="B9" s="98" t="inlineStr">
        <is>
          <t>Carnes</t>
        </is>
      </c>
      <c r="C9" s="98" t="inlineStr">
        <is>
          <t>Sobrebarriga delgada</t>
        </is>
      </c>
      <c r="D9" s="98" t="inlineStr">
        <is>
          <t>SOBREBARRIGA DELGADA</t>
        </is>
      </c>
      <c r="E9" s="99" t="n">
        <v>20</v>
      </c>
      <c r="F9" s="100" t="n">
        <v>34500</v>
      </c>
      <c r="G9" s="100" t="n">
        <v>690000</v>
      </c>
    </row>
    <row r="10">
      <c r="A10" s="97" t="n">
        <v>1</v>
      </c>
      <c r="B10" s="98" t="inlineStr">
        <is>
          <t>Verduras</t>
        </is>
      </c>
      <c r="C10" s="98" t="inlineStr">
        <is>
          <t>Papa a la francesa paq 2.5 kl</t>
        </is>
      </c>
      <c r="D10" s="98" t="inlineStr">
        <is>
          <t>PAPA A LA FRANCESA FRITERS PAQ 2.5 KL</t>
        </is>
      </c>
      <c r="E10" s="99" t="n">
        <v>4</v>
      </c>
      <c r="F10" s="100" t="n">
        <v>15546.25</v>
      </c>
      <c r="G10" s="100" t="n">
        <v>62185</v>
      </c>
    </row>
    <row r="11">
      <c r="A11" s="97" t="n">
        <v>1</v>
      </c>
      <c r="B11" s="98" t="inlineStr">
        <is>
          <t>Carnes</t>
        </is>
      </c>
      <c r="C11" s="98" t="inlineStr">
        <is>
          <t>Tocineta barril</t>
        </is>
      </c>
      <c r="D11" s="98" t="inlineStr">
        <is>
          <t>TOCINETA BARRIL</t>
        </is>
      </c>
      <c r="E11" s="101" t="n">
        <v>126.75</v>
      </c>
      <c r="F11" s="100" t="n">
        <v>21900</v>
      </c>
      <c r="G11" s="100" t="n">
        <v>2775825</v>
      </c>
    </row>
    <row r="12">
      <c r="A12" s="97" t="n">
        <v>1</v>
      </c>
      <c r="B12" s="98" t="inlineStr">
        <is>
          <t>Carnes</t>
        </is>
      </c>
      <c r="C12" s="98" t="inlineStr">
        <is>
          <t>Punta de anca</t>
        </is>
      </c>
      <c r="D12" s="98" t="inlineStr">
        <is>
          <t>PUNTA DE ANCA PORC. PARRILLA</t>
        </is>
      </c>
      <c r="E12" s="101" t="n">
        <v>20.5</v>
      </c>
      <c r="F12" s="100" t="n">
        <v>44000</v>
      </c>
      <c r="G12" s="100" t="n">
        <v>902000</v>
      </c>
    </row>
    <row r="13">
      <c r="A13" s="97" t="n">
        <v>1</v>
      </c>
      <c r="B13" s="98" t="inlineStr">
        <is>
          <t>Grano</t>
        </is>
      </c>
      <c r="C13" s="98" t="inlineStr">
        <is>
          <t>Arroz</t>
        </is>
      </c>
      <c r="D13" s="98" t="inlineStr">
        <is>
          <t>ARROZ PROARROZ X 50 KL</t>
        </is>
      </c>
      <c r="E13" s="99" t="n">
        <v>2</v>
      </c>
      <c r="F13" s="100" t="n">
        <v>252000</v>
      </c>
      <c r="G13" s="100" t="n">
        <v>504000</v>
      </c>
    </row>
    <row r="14">
      <c r="A14" s="97" t="n">
        <v>1</v>
      </c>
      <c r="B14" s="98" t="inlineStr">
        <is>
          <t>Grano</t>
        </is>
      </c>
      <c r="C14" s="98" t="inlineStr">
        <is>
          <t>Panela</t>
        </is>
      </c>
      <c r="D14" s="98" t="inlineStr">
        <is>
          <t>PANELA REDONDA UNIDAD</t>
        </is>
      </c>
      <c r="E14" s="99" t="n">
        <v>2</v>
      </c>
      <c r="F14" s="100" t="n">
        <v>85000</v>
      </c>
      <c r="G14" s="100" t="n">
        <v>170000</v>
      </c>
    </row>
    <row r="15">
      <c r="A15" s="97" t="n">
        <v>1</v>
      </c>
      <c r="B15" s="98" t="inlineStr">
        <is>
          <t>Carnes</t>
        </is>
      </c>
      <c r="C15" s="98" t="inlineStr">
        <is>
          <t>Tilapia y truchas</t>
        </is>
      </c>
      <c r="D15" s="98" t="inlineStr">
        <is>
          <t>TILAPIA ROJA SIN ESCAM A Y AGALLAS 450-550 LIBRA</t>
        </is>
      </c>
      <c r="E15" s="101" t="n">
        <v>13.3</v>
      </c>
      <c r="F15" s="100" t="n">
        <v>17500</v>
      </c>
      <c r="G15" s="100" t="n">
        <v>232750</v>
      </c>
    </row>
    <row r="16">
      <c r="A16" s="97" t="n">
        <v>1</v>
      </c>
      <c r="B16" s="98" t="inlineStr">
        <is>
          <t>Carnes</t>
        </is>
      </c>
      <c r="C16" s="98" t="inlineStr">
        <is>
          <t>Trucha</t>
        </is>
      </c>
      <c r="D16" s="98" t="inlineStr">
        <is>
          <t>TRUCHA</t>
        </is>
      </c>
      <c r="E16" s="99" t="n">
        <v>7</v>
      </c>
      <c r="F16" s="100" t="n">
        <v>22000</v>
      </c>
      <c r="G16" s="100" t="n">
        <v>154000</v>
      </c>
    </row>
    <row r="17">
      <c r="A17" s="97" t="n">
        <v>1</v>
      </c>
      <c r="B17" s="98" t="inlineStr">
        <is>
          <t>Bebidas</t>
        </is>
      </c>
      <c r="C17" s="98" t="inlineStr">
        <is>
          <t>Bolsa 5kl tubular</t>
        </is>
      </c>
      <c r="D17" s="98" t="inlineStr">
        <is>
          <t>BOLSA X 5 KL TUBULAR</t>
        </is>
      </c>
      <c r="E17" s="99" t="n">
        <v>2</v>
      </c>
      <c r="F17" s="100" t="n">
        <v>5000</v>
      </c>
      <c r="G17" s="100" t="n">
        <v>10000</v>
      </c>
    </row>
    <row r="18">
      <c r="A18" s="97" t="n">
        <v>1</v>
      </c>
      <c r="B18" s="98" t="inlineStr">
        <is>
          <t>Bebidas</t>
        </is>
      </c>
      <c r="C18" s="98" t="inlineStr">
        <is>
          <t>Bloque media</t>
        </is>
      </c>
      <c r="D18" s="98" t="inlineStr">
        <is>
          <t>BLOQUE MEDIA</t>
        </is>
      </c>
      <c r="E18" s="99" t="n">
        <v>2</v>
      </c>
      <c r="F18" s="100" t="n">
        <v>9500</v>
      </c>
      <c r="G18" s="100" t="n">
        <v>19000</v>
      </c>
    </row>
    <row r="19">
      <c r="A19" s="127" t="n">
        <v>1</v>
      </c>
      <c r="B19" s="127" t="inlineStr">
        <is>
          <t>Servicios</t>
        </is>
      </c>
      <c r="C19" s="127" t="inlineStr">
        <is>
          <t>Quincena Antonio Diaz</t>
        </is>
      </c>
      <c r="D19" s="127" t="inlineStr">
        <is>
          <t>Quincena del 16 al 31 de Julio /26</t>
        </is>
      </c>
      <c r="E19" s="127" t="n">
        <v>1</v>
      </c>
      <c r="F19" s="127" t="n">
        <v>1250000</v>
      </c>
      <c r="G19" s="127" t="n">
        <v>1250000</v>
      </c>
    </row>
    <row r="20">
      <c r="A20" s="127" t="n">
        <v>1</v>
      </c>
      <c r="B20" s="127" t="inlineStr">
        <is>
          <t>Grano</t>
        </is>
      </c>
      <c r="C20" s="127" t="inlineStr">
        <is>
          <t>Aceite doña lupe</t>
        </is>
      </c>
      <c r="D20" s="127" t="inlineStr">
        <is>
          <t>LUPE*3000ml SOYA (x3)</t>
        </is>
      </c>
      <c r="E20" s="127" t="n">
        <v>3</v>
      </c>
      <c r="F20" s="127" t="n">
        <v>22500</v>
      </c>
      <c r="G20" s="127" t="n">
        <v>67500</v>
      </c>
    </row>
    <row r="21">
      <c r="A21" s="97" t="n">
        <v>3</v>
      </c>
      <c r="B21" s="98" t="inlineStr">
        <is>
          <t>Carnes</t>
        </is>
      </c>
      <c r="C21" s="98" t="inlineStr">
        <is>
          <t>Pernil de pollo</t>
        </is>
      </c>
      <c r="D21" s="98" t="inlineStr">
        <is>
          <t>PERNIL BLANCO</t>
        </is>
      </c>
      <c r="E21" s="101" t="n">
        <v>45.9</v>
      </c>
      <c r="F21" s="100" t="n">
        <v>7700</v>
      </c>
      <c r="G21" s="100" t="n">
        <v>353430</v>
      </c>
    </row>
    <row r="22">
      <c r="A22" s="97" t="n">
        <v>3</v>
      </c>
      <c r="B22" s="98" t="inlineStr">
        <is>
          <t>Bebidas</t>
        </is>
      </c>
      <c r="C22" s="98" t="inlineStr">
        <is>
          <t>Bloque media</t>
        </is>
      </c>
      <c r="D22" s="98" t="inlineStr">
        <is>
          <t>BLOQUE MEDIA</t>
        </is>
      </c>
      <c r="E22" s="99" t="n">
        <v>2</v>
      </c>
      <c r="F22" s="100" t="n">
        <v>9500</v>
      </c>
      <c r="G22" s="100" t="n">
        <v>19000</v>
      </c>
    </row>
    <row r="23">
      <c r="A23" s="97" t="n">
        <v>3</v>
      </c>
      <c r="B23" s="98" t="inlineStr">
        <is>
          <t>Bebidas</t>
        </is>
      </c>
      <c r="C23" s="98" t="inlineStr">
        <is>
          <t>Bolsa 5kl tubular</t>
        </is>
      </c>
      <c r="D23" s="98" t="inlineStr">
        <is>
          <t>BOLSA X 5 KL TUBULAR</t>
        </is>
      </c>
      <c r="E23" s="99" t="n">
        <v>2</v>
      </c>
      <c r="F23" s="100" t="n">
        <v>5000</v>
      </c>
      <c r="G23" s="100" t="n">
        <v>10000</v>
      </c>
    </row>
    <row r="24">
      <c r="A24" s="97" t="n">
        <v>3</v>
      </c>
      <c r="B24" s="98" t="inlineStr">
        <is>
          <t>Bebidas</t>
        </is>
      </c>
      <c r="C24" s="98" t="inlineStr">
        <is>
          <t>Bloque media</t>
        </is>
      </c>
      <c r="D24" s="98" t="inlineStr">
        <is>
          <t>BLOQUE MEDIA</t>
        </is>
      </c>
      <c r="E24" s="99" t="n">
        <v>2</v>
      </c>
      <c r="F24" s="100" t="n">
        <v>9500</v>
      </c>
      <c r="G24" s="100" t="n">
        <v>19000</v>
      </c>
    </row>
    <row r="25">
      <c r="A25" s="97" t="n">
        <v>3</v>
      </c>
      <c r="B25" s="98" t="inlineStr">
        <is>
          <t>Bebidas</t>
        </is>
      </c>
      <c r="C25" s="98" t="inlineStr">
        <is>
          <t>Bolsa 5kl tubular</t>
        </is>
      </c>
      <c r="D25" s="98" t="inlineStr">
        <is>
          <t>BOLSA X 5 KL TUBULAR</t>
        </is>
      </c>
      <c r="E25" s="99" t="n">
        <v>3</v>
      </c>
      <c r="F25" s="100" t="n">
        <v>5000</v>
      </c>
      <c r="G25" s="100" t="n">
        <v>15000</v>
      </c>
    </row>
    <row r="26">
      <c r="A26" s="97" t="n">
        <v>3</v>
      </c>
      <c r="B26" s="98" t="inlineStr">
        <is>
          <t>Bebidas</t>
        </is>
      </c>
      <c r="C26" s="98" t="inlineStr">
        <is>
          <t>Coca-cola 400 ml pet (24)</t>
        </is>
      </c>
      <c r="D26" s="98" t="inlineStr">
        <is>
          <t>COCA-COLA 400ML PET (12)</t>
        </is>
      </c>
      <c r="E26" s="99" t="n">
        <v>2</v>
      </c>
      <c r="F26" s="102" t="n">
        <v>22467.5</v>
      </c>
      <c r="G26" s="100" t="n">
        <v>44935</v>
      </c>
    </row>
    <row r="27">
      <c r="A27" s="97" t="n">
        <v>3</v>
      </c>
      <c r="B27" s="98" t="inlineStr">
        <is>
          <t>Bebidas</t>
        </is>
      </c>
      <c r="C27" s="98" t="inlineStr">
        <is>
          <t>Brisa 600 ml</t>
        </is>
      </c>
      <c r="D27" s="98" t="inlineStr">
        <is>
          <t>AGUA BRISA PET 600ML (24)</t>
        </is>
      </c>
      <c r="E27" s="99" t="n">
        <v>2</v>
      </c>
      <c r="F27" s="100" t="n">
        <v>25600</v>
      </c>
      <c r="G27" s="100" t="n">
        <v>51200</v>
      </c>
    </row>
    <row r="28">
      <c r="A28" s="97" t="n">
        <v>3</v>
      </c>
      <c r="B28" s="98" t="inlineStr">
        <is>
          <t>Bebidas</t>
        </is>
      </c>
      <c r="C28" s="98" t="inlineStr">
        <is>
          <t>Coca cola 3 litros</t>
        </is>
      </c>
      <c r="D28" s="98" t="inlineStr">
        <is>
          <t>COCA COLA 3LT PET(6) Nvo</t>
        </is>
      </c>
      <c r="E28" s="99" t="n">
        <v>1</v>
      </c>
      <c r="F28" s="100" t="n">
        <v>42269</v>
      </c>
      <c r="G28" s="100" t="n">
        <v>42269</v>
      </c>
    </row>
    <row r="29">
      <c r="A29" s="97" t="n">
        <v>3</v>
      </c>
      <c r="B29" s="98" t="inlineStr">
        <is>
          <t>Bebidas</t>
        </is>
      </c>
      <c r="C29" s="98" t="inlineStr">
        <is>
          <t>Coca cola zero 1,5 ltrs</t>
        </is>
      </c>
      <c r="D29" s="98" t="inlineStr">
        <is>
          <t>COCA COLA ZERO 1.5LT PET(12)KZ</t>
        </is>
      </c>
      <c r="E29" s="99" t="n">
        <v>1</v>
      </c>
      <c r="F29" s="100" t="n">
        <v>54622</v>
      </c>
      <c r="G29" s="100" t="n">
        <v>54622</v>
      </c>
    </row>
    <row r="30">
      <c r="A30" s="97" t="n">
        <v>3</v>
      </c>
      <c r="B30" s="98" t="inlineStr">
        <is>
          <t>Bebidas</t>
        </is>
      </c>
      <c r="C30" s="98" t="inlineStr">
        <is>
          <t>Coca cola zero 400ml pet(12)kz</t>
        </is>
      </c>
      <c r="D30" s="98" t="inlineStr">
        <is>
          <t>COCA COLA ZERO 400ML PET(12)KZ</t>
        </is>
      </c>
      <c r="E30" s="99" t="n">
        <v>2</v>
      </c>
      <c r="F30" s="102" t="n">
        <v>19411.5</v>
      </c>
      <c r="G30" s="100" t="n">
        <v>38823</v>
      </c>
    </row>
    <row r="31">
      <c r="A31" s="97" t="n">
        <v>3</v>
      </c>
      <c r="B31" s="98" t="inlineStr">
        <is>
          <t>Bebidas</t>
        </is>
      </c>
      <c r="C31" s="98" t="inlineStr">
        <is>
          <t xml:space="preserve">Agua con gas </t>
        </is>
      </c>
      <c r="D31" s="98" t="inlineStr">
        <is>
          <t>AGUA BRISA GAS PET 600ML (24)</t>
        </is>
      </c>
      <c r="E31" s="99" t="n">
        <v>2</v>
      </c>
      <c r="F31" s="100" t="n">
        <v>25600</v>
      </c>
      <c r="G31" s="100" t="n">
        <v>51200</v>
      </c>
    </row>
    <row r="32">
      <c r="A32" s="115" t="n">
        <v>3</v>
      </c>
      <c r="B32" s="116" t="inlineStr">
        <is>
          <t>Carnes</t>
        </is>
      </c>
      <c r="C32" s="116" t="inlineStr">
        <is>
          <t>Costilla de cerdo especial</t>
        </is>
      </c>
      <c r="D32" s="116" t="inlineStr">
        <is>
          <t>COSTILLA CERDO ESP CR (BS) X 4 KG</t>
        </is>
      </c>
      <c r="E32" s="118" t="n">
        <v>20</v>
      </c>
      <c r="F32" s="119" t="n">
        <v>18200</v>
      </c>
      <c r="G32" s="119" t="n">
        <v>364000</v>
      </c>
    </row>
    <row r="33">
      <c r="A33" s="127" t="n">
        <v>3</v>
      </c>
      <c r="B33" s="127" t="inlineStr">
        <is>
          <t>Bebidas</t>
        </is>
      </c>
      <c r="C33" s="127" t="inlineStr">
        <is>
          <t>Bloque media</t>
        </is>
      </c>
      <c r="D33" s="127" t="inlineStr">
        <is>
          <t>25 - BLOQUE MEDIA</t>
        </is>
      </c>
      <c r="E33" s="127" t="n">
        <v>2</v>
      </c>
      <c r="F33" s="127" t="n">
        <v>9500</v>
      </c>
      <c r="G33" s="127" t="n">
        <v>19000</v>
      </c>
    </row>
    <row r="34">
      <c r="A34" s="127" t="n">
        <v>3</v>
      </c>
      <c r="B34" s="127" t="inlineStr">
        <is>
          <t>Bebidas</t>
        </is>
      </c>
      <c r="C34" s="127" t="inlineStr">
        <is>
          <t>Bolsa 5kl tubular</t>
        </is>
      </c>
      <c r="D34" s="127" t="inlineStr">
        <is>
          <t>7709046020616 - BOLSA X 5 KL TUBULAR</t>
        </is>
      </c>
      <c r="E34" s="127" t="n">
        <v>3</v>
      </c>
      <c r="F34" s="127" t="n">
        <v>5000</v>
      </c>
      <c r="G34" s="127" t="n">
        <v>15000</v>
      </c>
    </row>
    <row r="35">
      <c r="A35" s="127" t="n">
        <v>3</v>
      </c>
      <c r="B35" s="127" t="inlineStr">
        <is>
          <t>Carnes</t>
        </is>
      </c>
      <c r="C35" s="127" t="inlineStr">
        <is>
          <t>Espinazo de cerdo</t>
        </is>
      </c>
      <c r="D35" s="127" t="inlineStr">
        <is>
          <t>009251 ESPINAZO CERDO A GRANEL (2.998kg)</t>
        </is>
      </c>
      <c r="E35" s="127" t="n">
        <v>2.998</v>
      </c>
      <c r="F35" s="127" t="n">
        <v>9799.866599999999</v>
      </c>
      <c r="G35" s="127" t="n">
        <v>29380</v>
      </c>
    </row>
    <row r="36">
      <c r="A36" s="127" t="n">
        <v>3</v>
      </c>
      <c r="B36" s="127" t="inlineStr">
        <is>
          <t>Verduras</t>
        </is>
      </c>
      <c r="C36" s="127" t="inlineStr">
        <is>
          <t>Champinon*250g tajado setas</t>
        </is>
      </c>
      <c r="D36" s="127" t="inlineStr">
        <is>
          <t>116708 CHAMPINON CHAMPIS*250g TAJADO</t>
        </is>
      </c>
      <c r="E36" s="127" t="n">
        <v>1</v>
      </c>
      <c r="F36" s="127" t="n">
        <v>10300</v>
      </c>
      <c r="G36" s="127" t="n">
        <v>10300</v>
      </c>
    </row>
    <row r="37">
      <c r="A37" s="127" t="n">
        <v>3</v>
      </c>
      <c r="B37" s="127" t="inlineStr">
        <is>
          <t>Verduras</t>
        </is>
      </c>
      <c r="C37" s="127" t="inlineStr">
        <is>
          <t>Zanahoria</t>
        </is>
      </c>
      <c r="D37" s="127" t="inlineStr">
        <is>
          <t>116800 ZANAHORIA SELECTA A GRANEL (2.265kg)</t>
        </is>
      </c>
      <c r="E37" s="127" t="n">
        <v>2.265</v>
      </c>
      <c r="F37" s="127" t="n">
        <v>4800</v>
      </c>
      <c r="G37" s="127" t="n">
        <v>10872</v>
      </c>
    </row>
    <row r="38">
      <c r="A38" s="127" t="n">
        <v>3</v>
      </c>
      <c r="B38" s="127" t="inlineStr">
        <is>
          <t>Desechables</t>
        </is>
      </c>
      <c r="C38" s="127" t="inlineStr">
        <is>
          <t>Bolsa canaveral 100% material recicl f</t>
        </is>
      </c>
      <c r="D38" s="127" t="inlineStr">
        <is>
          <t>0045322 BOLSA CANAVERAL 100% MATERIAL RECICL P</t>
        </is>
      </c>
      <c r="E38" s="127" t="n">
        <v>1</v>
      </c>
      <c r="F38" s="127" t="n">
        <v>300</v>
      </c>
      <c r="G38" s="127" t="n">
        <v>300</v>
      </c>
    </row>
    <row r="39">
      <c r="A39" s="127" t="n">
        <v>3</v>
      </c>
      <c r="B39" s="127" t="inlineStr">
        <is>
          <t>Desechables</t>
        </is>
      </c>
      <c r="C39" s="127" t="inlineStr">
        <is>
          <t>Bolsa canaveral 100% material recicl f</t>
        </is>
      </c>
      <c r="D39" s="127" t="inlineStr">
        <is>
          <t>0045322 BOLSA CANAVERAL 100% MATERIAL RECICL P</t>
        </is>
      </c>
      <c r="E39" s="127" t="n">
        <v>1</v>
      </c>
      <c r="F39" s="127" t="n">
        <v>300</v>
      </c>
      <c r="G39" s="127" t="n">
        <v>300</v>
      </c>
    </row>
    <row r="40">
      <c r="A40" s="127" t="n">
        <v>3</v>
      </c>
      <c r="B40" s="127" t="inlineStr">
        <is>
          <t>Verduras</t>
        </is>
      </c>
      <c r="C40" s="127" t="inlineStr">
        <is>
          <t>Pimenton</t>
        </is>
      </c>
      <c r="D40" s="127" t="inlineStr">
        <is>
          <t>006371 PIMENTON A GRANEL (0.190kg)</t>
        </is>
      </c>
      <c r="E40" s="127" t="n">
        <v>0.19</v>
      </c>
      <c r="F40" s="127" t="n">
        <v>4400</v>
      </c>
      <c r="G40" s="127" t="n">
        <v>836</v>
      </c>
    </row>
    <row r="41">
      <c r="A41" s="127" t="n">
        <v>3</v>
      </c>
      <c r="B41" s="127" t="inlineStr">
        <is>
          <t>Verduras</t>
        </is>
      </c>
      <c r="C41" s="127" t="inlineStr">
        <is>
          <t>Coliflor</t>
        </is>
      </c>
      <c r="D41" s="127" t="inlineStr">
        <is>
          <t>006330 COLIFLOR A GRANEL (1.150kg)</t>
        </is>
      </c>
      <c r="E41" s="127" t="n">
        <v>1.15</v>
      </c>
      <c r="F41" s="127" t="n">
        <v>9100</v>
      </c>
      <c r="G41" s="127" t="n">
        <v>10465</v>
      </c>
    </row>
    <row r="42">
      <c r="A42" s="127" t="n">
        <v>3</v>
      </c>
      <c r="B42" s="127" t="inlineStr">
        <is>
          <t>Verduras</t>
        </is>
      </c>
      <c r="C42" s="127" t="inlineStr">
        <is>
          <t>Brocoly</t>
        </is>
      </c>
      <c r="D42" s="127" t="inlineStr">
        <is>
          <t>006324 BROCOLI A GRANEL (0.500kg)</t>
        </is>
      </c>
      <c r="E42" s="127" t="n">
        <v>0.5</v>
      </c>
      <c r="F42" s="127" t="n">
        <v>9100</v>
      </c>
      <c r="G42" s="127" t="n">
        <v>4550</v>
      </c>
    </row>
    <row r="43">
      <c r="A43" s="127" t="n">
        <v>3</v>
      </c>
      <c r="B43" s="127" t="inlineStr">
        <is>
          <t>Verduras</t>
        </is>
      </c>
      <c r="C43" s="127" t="inlineStr">
        <is>
          <t>Raices  chinas</t>
        </is>
      </c>
      <c r="D43" s="127" t="inlineStr">
        <is>
          <t>0032864 RAICES CHINAS VIVA MEJOR*250g</t>
        </is>
      </c>
      <c r="E43" s="127" t="n">
        <v>1</v>
      </c>
      <c r="F43" s="127" t="n">
        <v>2400</v>
      </c>
      <c r="G43" s="127" t="n">
        <v>2400</v>
      </c>
    </row>
    <row r="44">
      <c r="A44" s="127" t="n">
        <v>3</v>
      </c>
      <c r="B44" s="127" t="inlineStr">
        <is>
          <t>Verduras</t>
        </is>
      </c>
      <c r="C44" s="127" t="inlineStr">
        <is>
          <t>Zapayo</t>
        </is>
      </c>
      <c r="D44" s="127" t="inlineStr">
        <is>
          <t>028195 CALABACIN AMARILLO A GRANEL (0.690kg)</t>
        </is>
      </c>
      <c r="E44" s="127" t="n">
        <v>0.6899999999999999</v>
      </c>
      <c r="F44" s="127" t="n">
        <v>5800</v>
      </c>
      <c r="G44" s="127" t="n">
        <v>4002</v>
      </c>
    </row>
    <row r="45">
      <c r="A45" s="127" t="n">
        <v>3</v>
      </c>
      <c r="B45" s="127" t="inlineStr">
        <is>
          <t>Verduras</t>
        </is>
      </c>
      <c r="C45" s="127" t="inlineStr">
        <is>
          <t>Pimenton</t>
        </is>
      </c>
      <c r="D45" s="127" t="inlineStr">
        <is>
          <t>006371 PIMENTON A GRANEL (0.300kg)</t>
        </is>
      </c>
      <c r="E45" s="127" t="n">
        <v>0.3</v>
      </c>
      <c r="F45" s="127" t="n">
        <v>4400</v>
      </c>
      <c r="G45" s="127" t="n">
        <v>1320</v>
      </c>
    </row>
    <row r="46">
      <c r="A46" s="127" t="n">
        <v>3</v>
      </c>
      <c r="B46" s="127" t="inlineStr">
        <is>
          <t>Verduras</t>
        </is>
      </c>
      <c r="C46" s="127" t="inlineStr">
        <is>
          <t>Habichuela</t>
        </is>
      </c>
      <c r="D46" s="127" t="inlineStr">
        <is>
          <t>006334 HABICHUELA A GRANEL (1.015kg)</t>
        </is>
      </c>
      <c r="E46" s="127" t="n">
        <v>1.015</v>
      </c>
      <c r="F46" s="127" t="n">
        <v>7100</v>
      </c>
      <c r="G46" s="127" t="n">
        <v>7207</v>
      </c>
    </row>
    <row r="47">
      <c r="A47" s="127" t="n">
        <v>3</v>
      </c>
      <c r="B47" s="127" t="inlineStr">
        <is>
          <t>Servicios</t>
        </is>
      </c>
      <c r="C47" s="127" t="inlineStr">
        <is>
          <t>Acopi</t>
        </is>
      </c>
      <c r="D47" s="127" t="inlineStr">
        <is>
          <t>Transporte Acopy (Recibo Caja Menor)</t>
        </is>
      </c>
      <c r="E47" s="127" t="n">
        <v>1</v>
      </c>
      <c r="F47" s="127" t="n">
        <v>30000</v>
      </c>
      <c r="G47" s="127" t="n">
        <v>30000</v>
      </c>
    </row>
    <row r="48">
      <c r="A48" s="97" t="n">
        <v>4</v>
      </c>
      <c r="B48" s="98" t="inlineStr">
        <is>
          <t>Desechables</t>
        </is>
      </c>
      <c r="C48" s="98" t="inlineStr">
        <is>
          <t>Mercancias Varias Excentas</t>
        </is>
      </c>
      <c r="D48" s="98" t="inlineStr">
        <is>
          <t>ULBGR61501 ESMERIL DE BANCO 6 150W/120V SUPER EMTOP</t>
        </is>
      </c>
      <c r="E48" s="99" t="n">
        <v>1</v>
      </c>
      <c r="F48" s="100" t="n">
        <v>157000</v>
      </c>
      <c r="G48" s="100" t="n">
        <v>157000</v>
      </c>
    </row>
    <row r="49">
      <c r="A49" s="97" t="n">
        <v>4</v>
      </c>
      <c r="B49" s="98" t="inlineStr">
        <is>
          <t>Carnes</t>
        </is>
      </c>
      <c r="C49" s="98" t="inlineStr">
        <is>
          <t>Costilla de cerdo especial</t>
        </is>
      </c>
      <c r="D49" s="98" t="inlineStr">
        <is>
          <t>COSTILLA DE CERDO IBP 244M</t>
        </is>
      </c>
      <c r="E49" s="101" t="n">
        <v>26.6</v>
      </c>
      <c r="F49" s="100" t="n">
        <v>15400</v>
      </c>
      <c r="G49" s="100" t="n">
        <v>409640</v>
      </c>
    </row>
    <row r="50">
      <c r="A50" s="97" t="n">
        <v>4</v>
      </c>
      <c r="B50" s="98" t="inlineStr">
        <is>
          <t>Carnes</t>
        </is>
      </c>
      <c r="C50" s="98" t="inlineStr">
        <is>
          <t>Camaron precocido</t>
        </is>
      </c>
      <c r="D50" s="98" t="inlineStr">
        <is>
          <t>CAMARON DE CULTIVO PRECOCIDO 91-110P</t>
        </is>
      </c>
      <c r="E50" s="101" t="n">
        <v>20.2</v>
      </c>
      <c r="F50" s="100" t="n">
        <v>22900</v>
      </c>
      <c r="G50" s="100" t="n">
        <v>462580</v>
      </c>
    </row>
    <row r="51">
      <c r="A51" s="97" t="n">
        <v>4</v>
      </c>
      <c r="B51" s="98" t="inlineStr">
        <is>
          <t>Verduras</t>
        </is>
      </c>
      <c r="C51" s="98" t="inlineStr">
        <is>
          <t>Papa a la francesa paq 2.5 kl</t>
        </is>
      </c>
      <c r="D51" s="98" t="inlineStr">
        <is>
          <t>PAPA A LA FRANCESA FRITERS PAQ 2.5 KL</t>
        </is>
      </c>
      <c r="E51" s="99" t="n">
        <v>8</v>
      </c>
      <c r="F51" s="100" t="n">
        <v>15546.25</v>
      </c>
      <c r="G51" s="100" t="n">
        <v>124370</v>
      </c>
    </row>
    <row r="52">
      <c r="A52" s="97" t="n">
        <v>4</v>
      </c>
      <c r="B52" s="98" t="inlineStr">
        <is>
          <t>Carnes</t>
        </is>
      </c>
      <c r="C52" s="98" t="inlineStr">
        <is>
          <t>Tocineta barril</t>
        </is>
      </c>
      <c r="D52" s="98" t="inlineStr">
        <is>
          <t>TOCINETA BARRIL</t>
        </is>
      </c>
      <c r="E52" s="101" t="n">
        <v>68.75</v>
      </c>
      <c r="F52" s="100" t="n">
        <v>21900</v>
      </c>
      <c r="G52" s="100" t="n">
        <v>1505625</v>
      </c>
    </row>
    <row r="53">
      <c r="A53" s="97" t="n">
        <v>4</v>
      </c>
      <c r="B53" s="98" t="inlineStr">
        <is>
          <t>Bebidas</t>
        </is>
      </c>
      <c r="C53" s="98" t="inlineStr">
        <is>
          <t>Bloque media</t>
        </is>
      </c>
      <c r="D53" s="98" t="inlineStr">
        <is>
          <t>BLOQUE MEDIA</t>
        </is>
      </c>
      <c r="E53" s="99" t="n">
        <v>2</v>
      </c>
      <c r="F53" s="100" t="n">
        <v>9500</v>
      </c>
      <c r="G53" s="100" t="n">
        <v>19000</v>
      </c>
    </row>
    <row r="54">
      <c r="A54" s="97" t="n">
        <v>4</v>
      </c>
      <c r="B54" s="98" t="inlineStr">
        <is>
          <t>Bebidas</t>
        </is>
      </c>
      <c r="C54" s="98" t="inlineStr">
        <is>
          <t>Bolsa 5kl tubular</t>
        </is>
      </c>
      <c r="D54" s="98" t="inlineStr">
        <is>
          <t>BOLSA X 5 KL TUBULAR</t>
        </is>
      </c>
      <c r="E54" s="99" t="n">
        <v>3</v>
      </c>
      <c r="F54" s="100" t="n">
        <v>5000</v>
      </c>
      <c r="G54" s="100" t="n">
        <v>15000</v>
      </c>
    </row>
    <row r="55">
      <c r="A55" s="97" t="n">
        <v>4</v>
      </c>
      <c r="B55" s="98" t="inlineStr">
        <is>
          <t>Carnes</t>
        </is>
      </c>
      <c r="C55" s="98" t="inlineStr">
        <is>
          <t>Lomo de cerdo</t>
        </is>
      </c>
      <c r="D55" s="98" t="inlineStr">
        <is>
          <t>LOMO DE CERDO</t>
        </is>
      </c>
      <c r="E55" s="101" t="n">
        <v>14.4</v>
      </c>
      <c r="F55" s="100" t="n">
        <v>19500</v>
      </c>
      <c r="G55" s="100" t="n">
        <v>280800</v>
      </c>
    </row>
    <row r="56">
      <c r="A56" s="97" t="n">
        <v>4</v>
      </c>
      <c r="B56" s="98" t="inlineStr">
        <is>
          <t>Carnes</t>
        </is>
      </c>
      <c r="C56" s="98" t="inlineStr">
        <is>
          <t>Filete de pollo x 350</t>
        </is>
      </c>
      <c r="D56" s="98" t="inlineStr">
        <is>
          <t>FILETE DE POLLO X 350G</t>
        </is>
      </c>
      <c r="E56" s="101" t="n">
        <v>21.4</v>
      </c>
      <c r="F56" s="100" t="n">
        <v>18500</v>
      </c>
      <c r="G56" s="100" t="n">
        <v>395900</v>
      </c>
    </row>
    <row r="57">
      <c r="A57" s="97" t="n">
        <v>4</v>
      </c>
      <c r="B57" s="98" t="inlineStr">
        <is>
          <t>Bebidas</t>
        </is>
      </c>
      <c r="C57" s="98" t="inlineStr">
        <is>
          <t>Gatorade</t>
        </is>
      </c>
      <c r="D57" s="98" t="inlineStr">
        <is>
          <t>FRUTAS TROPICAL. GATORADE 500 ML PET X12</t>
        </is>
      </c>
      <c r="E57" s="99" t="n">
        <v>1</v>
      </c>
      <c r="F57" s="102" t="n">
        <v>2731.09</v>
      </c>
      <c r="G57" s="102" t="n">
        <v>2731.09</v>
      </c>
    </row>
    <row r="58">
      <c r="A58" s="97" t="n">
        <v>4</v>
      </c>
      <c r="B58" s="98" t="inlineStr">
        <is>
          <t>Bebidas</t>
        </is>
      </c>
      <c r="C58" s="98" t="inlineStr">
        <is>
          <t>Gatorade</t>
        </is>
      </c>
      <c r="D58" s="98" t="inlineStr">
        <is>
          <t>MANDARINA GATORADE 500 ML PET X 12</t>
        </is>
      </c>
      <c r="E58" s="99" t="n">
        <v>1</v>
      </c>
      <c r="F58" s="102" t="n">
        <v>2731.09</v>
      </c>
      <c r="G58" s="102" t="n">
        <v>2731.09</v>
      </c>
    </row>
    <row r="59">
      <c r="A59" s="97" t="n">
        <v>4</v>
      </c>
      <c r="B59" s="98" t="inlineStr">
        <is>
          <t>Bebidas</t>
        </is>
      </c>
      <c r="C59" s="98" t="inlineStr">
        <is>
          <t>Gatorade</t>
        </is>
      </c>
      <c r="D59" s="98" t="inlineStr">
        <is>
          <t>MARACUYA GATORADE 500 ML PET X 12</t>
        </is>
      </c>
      <c r="E59" s="99" t="n">
        <v>1</v>
      </c>
      <c r="F59" s="102" t="n">
        <v>2731.09</v>
      </c>
      <c r="G59" s="102" t="n">
        <v>2731.09</v>
      </c>
    </row>
    <row r="60">
      <c r="A60" s="97" t="n">
        <v>4</v>
      </c>
      <c r="B60" s="98" t="inlineStr">
        <is>
          <t>Bebidas</t>
        </is>
      </c>
      <c r="C60" s="98" t="inlineStr">
        <is>
          <t>Hit nr</t>
        </is>
      </c>
      <c r="D60" s="98" t="inlineStr">
        <is>
          <t>MANGO HIT 500 ML PET X 12</t>
        </is>
      </c>
      <c r="E60" s="99" t="n">
        <v>1</v>
      </c>
      <c r="F60" s="102" t="n">
        <v>2100.84</v>
      </c>
      <c r="G60" s="102" t="n">
        <v>2100.84</v>
      </c>
    </row>
    <row r="61">
      <c r="A61" s="97" t="n">
        <v>4</v>
      </c>
      <c r="B61" s="98" t="inlineStr">
        <is>
          <t>Bebidas</t>
        </is>
      </c>
      <c r="C61" s="98" t="inlineStr">
        <is>
          <t>Hit nr</t>
        </is>
      </c>
      <c r="D61" s="98" t="inlineStr">
        <is>
          <t>NARANJA PIÑA HIT 500 ML PET X 12</t>
        </is>
      </c>
      <c r="E61" s="99" t="n">
        <v>1</v>
      </c>
      <c r="F61" s="102" t="n">
        <v>2100.84</v>
      </c>
      <c r="G61" s="102" t="n">
        <v>2100.84</v>
      </c>
    </row>
    <row r="62">
      <c r="A62" s="97" t="n">
        <v>4</v>
      </c>
      <c r="B62" s="98" t="inlineStr">
        <is>
          <t>Bebidas</t>
        </is>
      </c>
      <c r="C62" s="98" t="inlineStr">
        <is>
          <t>Hit nr</t>
        </is>
      </c>
      <c r="D62" s="98" t="inlineStr">
        <is>
          <t>MORA HIT 500 ML PET X 12</t>
        </is>
      </c>
      <c r="E62" s="99" t="n">
        <v>1</v>
      </c>
      <c r="F62" s="102" t="n">
        <v>2100.84</v>
      </c>
      <c r="G62" s="102" t="n">
        <v>2100.84</v>
      </c>
    </row>
    <row r="63">
      <c r="A63" s="97" t="n">
        <v>4</v>
      </c>
      <c r="B63" s="98" t="inlineStr">
        <is>
          <t>Bebidas</t>
        </is>
      </c>
      <c r="C63" s="98" t="inlineStr">
        <is>
          <t>Hit nr</t>
        </is>
      </c>
      <c r="D63" s="98" t="inlineStr">
        <is>
          <t>LULO HIT 500 ML PET X 12</t>
        </is>
      </c>
      <c r="E63" s="99" t="n">
        <v>1</v>
      </c>
      <c r="F63" s="102" t="n">
        <v>2100.84</v>
      </c>
      <c r="G63" s="102" t="n">
        <v>2100.84</v>
      </c>
    </row>
    <row r="64">
      <c r="A64" s="97" t="n">
        <v>4</v>
      </c>
      <c r="B64" s="98" t="inlineStr">
        <is>
          <t>Bebidas</t>
        </is>
      </c>
      <c r="C64" s="98" t="inlineStr">
        <is>
          <t>Pia nacional 350 ml vidrio r x 30</t>
        </is>
      </c>
      <c r="D64" s="98" t="inlineStr">
        <is>
          <t>PIÑA NACIONAL 350 ML VIDRIO R X 30</t>
        </is>
      </c>
      <c r="E64" s="99" t="n">
        <v>15</v>
      </c>
      <c r="F64" s="102" t="n">
        <v>1450.98</v>
      </c>
      <c r="G64" s="102" t="n">
        <v>21764.7</v>
      </c>
    </row>
    <row r="65">
      <c r="A65" s="97" t="n">
        <v>4</v>
      </c>
      <c r="B65" s="98" t="inlineStr">
        <is>
          <t>Bebidas</t>
        </is>
      </c>
      <c r="C65" s="98" t="inlineStr">
        <is>
          <t>Manzana postobo n 350 ml vidrio r x 30</t>
        </is>
      </c>
      <c r="D65" s="98" t="inlineStr">
        <is>
          <t>MANZANA POSTOBON 350 ML VIDRIO R X 30</t>
        </is>
      </c>
      <c r="E65" s="99" t="n">
        <v>15</v>
      </c>
      <c r="F65" s="102" t="n">
        <v>1450.98</v>
      </c>
      <c r="G65" s="102" t="n">
        <v>21764.7</v>
      </c>
    </row>
    <row r="66">
      <c r="A66" s="97" t="n">
        <v>4</v>
      </c>
      <c r="B66" s="98" t="inlineStr">
        <is>
          <t>Bebidas</t>
        </is>
      </c>
      <c r="C66" s="98" t="inlineStr">
        <is>
          <t>Hit nr</t>
        </is>
      </c>
      <c r="D66" s="98" t="inlineStr">
        <is>
          <t>NARANJA PIÑA HIT 500 ML PET X 12</t>
        </is>
      </c>
      <c r="E66" s="99" t="n">
        <v>12</v>
      </c>
      <c r="F66" s="102" t="n">
        <v>1925.84</v>
      </c>
      <c r="G66" s="102" t="n">
        <v>23110.08</v>
      </c>
    </row>
    <row r="67">
      <c r="A67" s="97" t="n">
        <v>4</v>
      </c>
      <c r="B67" s="98" t="inlineStr">
        <is>
          <t>Bebidas</t>
        </is>
      </c>
      <c r="C67" s="98" t="inlineStr">
        <is>
          <t>Hit nr</t>
        </is>
      </c>
      <c r="D67" s="98" t="inlineStr">
        <is>
          <t>MANGO HIT 500 ML PET X 12</t>
        </is>
      </c>
      <c r="E67" s="99" t="n">
        <v>12</v>
      </c>
      <c r="F67" s="102" t="n">
        <v>1925.84</v>
      </c>
      <c r="G67" s="102" t="n">
        <v>23110.08</v>
      </c>
    </row>
    <row r="68">
      <c r="A68" s="97" t="n">
        <v>4</v>
      </c>
      <c r="B68" s="98" t="inlineStr">
        <is>
          <t>Bebidas</t>
        </is>
      </c>
      <c r="C68" s="98" t="inlineStr">
        <is>
          <t>Hit nr</t>
        </is>
      </c>
      <c r="D68" s="98" t="inlineStr">
        <is>
          <t>MORA HIT 500 ML PET X 12</t>
        </is>
      </c>
      <c r="E68" s="99" t="n">
        <v>12</v>
      </c>
      <c r="F68" s="102" t="n">
        <v>1925.84</v>
      </c>
      <c r="G68" s="102" t="n">
        <v>23110.08</v>
      </c>
    </row>
    <row r="69">
      <c r="A69" s="97" t="n">
        <v>4</v>
      </c>
      <c r="B69" s="98" t="inlineStr">
        <is>
          <t>Bebidas</t>
        </is>
      </c>
      <c r="C69" s="98" t="inlineStr">
        <is>
          <t>Hit nr</t>
        </is>
      </c>
      <c r="D69" s="98" t="inlineStr">
        <is>
          <t>LULO HIT 500 ML PET X 12</t>
        </is>
      </c>
      <c r="E69" s="99" t="n">
        <v>12</v>
      </c>
      <c r="F69" s="102" t="n">
        <v>1925.84</v>
      </c>
      <c r="G69" s="102" t="n">
        <v>23110.08</v>
      </c>
    </row>
    <row r="70">
      <c r="A70" s="97" t="n">
        <v>4</v>
      </c>
      <c r="B70" s="98" t="inlineStr">
        <is>
          <t>Bebidas</t>
        </is>
      </c>
      <c r="C70" s="98" t="inlineStr">
        <is>
          <t>Gatorade</t>
        </is>
      </c>
      <c r="D70" s="98" t="inlineStr">
        <is>
          <t>MARACUYA GATORADE 500 ML PET X 12</t>
        </is>
      </c>
      <c r="E70" s="99" t="n">
        <v>12</v>
      </c>
      <c r="F70" s="102" t="n">
        <v>2503.59</v>
      </c>
      <c r="G70" s="102" t="n">
        <v>30043.08</v>
      </c>
    </row>
    <row r="71">
      <c r="A71" s="97" t="n">
        <v>4</v>
      </c>
      <c r="B71" s="98" t="inlineStr">
        <is>
          <t>Bebidas</t>
        </is>
      </c>
      <c r="C71" s="98" t="inlineStr">
        <is>
          <t>Gatorade</t>
        </is>
      </c>
      <c r="D71" s="98" t="inlineStr">
        <is>
          <t>MANDARINA GATORADE 500 ML PET X 12</t>
        </is>
      </c>
      <c r="E71" s="99" t="n">
        <v>12</v>
      </c>
      <c r="F71" s="102" t="n">
        <v>2503.59</v>
      </c>
      <c r="G71" s="102" t="n">
        <v>30043.08</v>
      </c>
    </row>
    <row r="72">
      <c r="A72" s="97" t="n">
        <v>4</v>
      </c>
      <c r="B72" s="98" t="inlineStr">
        <is>
          <t>Bebidas</t>
        </is>
      </c>
      <c r="C72" s="98" t="inlineStr">
        <is>
          <t>Gatorade</t>
        </is>
      </c>
      <c r="D72" s="98" t="inlineStr">
        <is>
          <t>FRUTAS TROPICAL. GATORADE 500 ML PET X12</t>
        </is>
      </c>
      <c r="E72" s="99" t="n">
        <v>12</v>
      </c>
      <c r="F72" s="102" t="n">
        <v>2503.59</v>
      </c>
      <c r="G72" s="102" t="n">
        <v>30043.08</v>
      </c>
    </row>
    <row r="73">
      <c r="A73" s="97" t="n">
        <v>4</v>
      </c>
      <c r="B73" s="98" t="inlineStr">
        <is>
          <t>Bebidas</t>
        </is>
      </c>
      <c r="C73" s="98" t="inlineStr">
        <is>
          <t>Itamarindo postobo n 350 ml vidrio r x 30</t>
        </is>
      </c>
      <c r="D73" s="98" t="inlineStr">
        <is>
          <t>TAMARINDO POSTOBON 350 ML VIDRIO R X 30</t>
        </is>
      </c>
      <c r="E73" s="99" t="n">
        <v>30</v>
      </c>
      <c r="F73" s="102" t="n">
        <v>1260.5</v>
      </c>
      <c r="G73" s="100" t="n">
        <v>37815</v>
      </c>
    </row>
    <row r="74">
      <c r="A74" s="97" t="n">
        <v>4</v>
      </c>
      <c r="B74" s="98" t="inlineStr">
        <is>
          <t>Bebidas</t>
        </is>
      </c>
      <c r="C74" s="98" t="inlineStr">
        <is>
          <t>Itamarindo postobo n 1500 ml pet x 12</t>
        </is>
      </c>
      <c r="D74" s="98" t="inlineStr">
        <is>
          <t>TAMARINDO POSTOBON 250 ML PET X 12</t>
        </is>
      </c>
      <c r="E74" s="99" t="n">
        <v>12</v>
      </c>
      <c r="F74" s="102" t="n">
        <v>1050.42</v>
      </c>
      <c r="G74" s="102" t="n">
        <v>12605.04</v>
      </c>
    </row>
    <row r="75">
      <c r="A75" s="97" t="n">
        <v>4</v>
      </c>
      <c r="B75" s="98" t="inlineStr">
        <is>
          <t>Bebidas</t>
        </is>
      </c>
      <c r="C75" s="98" t="inlineStr">
        <is>
          <t>H2o</t>
        </is>
      </c>
      <c r="D75" s="98" t="inlineStr">
        <is>
          <t>MANZANA H2OH 600 ML PET X 15</t>
        </is>
      </c>
      <c r="E75" s="99" t="n">
        <v>7</v>
      </c>
      <c r="F75" s="102" t="n">
        <v>1820.73</v>
      </c>
      <c r="G75" s="102" t="n">
        <v>12745.11</v>
      </c>
    </row>
    <row r="76">
      <c r="A76" s="97" t="n">
        <v>4</v>
      </c>
      <c r="B76" s="98" t="inlineStr">
        <is>
          <t>Bebidas</t>
        </is>
      </c>
      <c r="C76" s="98" t="inlineStr">
        <is>
          <t>H2o</t>
        </is>
      </c>
      <c r="D76" s="98" t="inlineStr">
        <is>
          <t>MARACUYA H2OH! 600 ML PET X 15</t>
        </is>
      </c>
      <c r="E76" s="99" t="n">
        <v>8</v>
      </c>
      <c r="F76" s="102" t="n">
        <v>1820.73</v>
      </c>
      <c r="G76" s="102" t="n">
        <v>14565.84</v>
      </c>
    </row>
    <row r="77">
      <c r="A77" s="97" t="n">
        <v>4</v>
      </c>
      <c r="B77" s="98" t="inlineStr">
        <is>
          <t>Bebidas</t>
        </is>
      </c>
      <c r="C77" s="98" t="inlineStr">
        <is>
          <t>Itamarindo postobo n 350 ml vidrio r x 30</t>
        </is>
      </c>
      <c r="D77" s="98" t="inlineStr">
        <is>
          <t>TAMARINDO POSTOBON 350 ML VIDRIO R X 30</t>
        </is>
      </c>
      <c r="E77" s="99" t="n">
        <v>15</v>
      </c>
      <c r="F77" s="102" t="n">
        <v>1260.5</v>
      </c>
      <c r="G77" s="102" t="n">
        <v>18907.5</v>
      </c>
    </row>
    <row r="78">
      <c r="A78" s="97" t="n">
        <v>4</v>
      </c>
      <c r="B78" s="98" t="inlineStr">
        <is>
          <t>Bebidas</t>
        </is>
      </c>
      <c r="C78" s="98" t="inlineStr">
        <is>
          <t>Gaseosa 350 ml</t>
        </is>
      </c>
      <c r="D78" s="98" t="inlineStr">
        <is>
          <t>COLOMBIANA NACIONAL 350 ML VIDRIO R X 30</t>
        </is>
      </c>
      <c r="E78" s="99" t="n">
        <v>15</v>
      </c>
      <c r="F78" s="102" t="n">
        <v>1450.98</v>
      </c>
      <c r="G78" s="102" t="n">
        <v>21764.7</v>
      </c>
    </row>
    <row r="79">
      <c r="A79" s="97" t="n">
        <v>4</v>
      </c>
      <c r="B79" s="98" t="inlineStr">
        <is>
          <t>Bebidas</t>
        </is>
      </c>
      <c r="C79" s="98" t="inlineStr">
        <is>
          <t>Mr. tea</t>
        </is>
      </c>
      <c r="D79" s="98" t="inlineStr">
        <is>
          <t>DURAZNO MR TEA 500 ML PET X12</t>
        </is>
      </c>
      <c r="E79" s="99" t="n">
        <v>12</v>
      </c>
      <c r="F79" s="102" t="n">
        <v>1890.76</v>
      </c>
      <c r="G79" s="102" t="n">
        <v>22689.12</v>
      </c>
    </row>
    <row r="80">
      <c r="A80" s="97" t="n">
        <v>4</v>
      </c>
      <c r="B80" s="98" t="inlineStr">
        <is>
          <t>Bebidas</t>
        </is>
      </c>
      <c r="C80" s="98" t="inlineStr">
        <is>
          <t>Mr. tea</t>
        </is>
      </c>
      <c r="D80" s="98" t="inlineStr">
        <is>
          <t>LIMON MR TEA 500 ML PET X 12</t>
        </is>
      </c>
      <c r="E80" s="99" t="n">
        <v>12</v>
      </c>
      <c r="F80" s="102" t="n">
        <v>1890.76</v>
      </c>
      <c r="G80" s="102" t="n">
        <v>22689.12</v>
      </c>
    </row>
    <row r="81">
      <c r="A81" s="97" t="n">
        <v>4</v>
      </c>
      <c r="B81" s="98" t="inlineStr">
        <is>
          <t>Bebidas</t>
        </is>
      </c>
      <c r="C81" s="98" t="inlineStr">
        <is>
          <t>H2o</t>
        </is>
      </c>
      <c r="D81" s="98" t="inlineStr">
        <is>
          <t>LIMA LIMON H2OH! 600 ML PET X 15</t>
        </is>
      </c>
      <c r="E81" s="99" t="n">
        <v>15</v>
      </c>
      <c r="F81" s="102" t="n">
        <v>1820.73</v>
      </c>
      <c r="G81" s="102" t="n">
        <v>27310.95</v>
      </c>
    </row>
    <row r="82">
      <c r="A82" s="97" t="n">
        <v>4</v>
      </c>
      <c r="B82" s="98" t="inlineStr">
        <is>
          <t>Bebidas</t>
        </is>
      </c>
      <c r="C82" s="98" t="inlineStr">
        <is>
          <t>Agua</t>
        </is>
      </c>
      <c r="D82" s="98" t="inlineStr">
        <is>
          <t>AGUA CRISTAL 600 ML PET X 24</t>
        </is>
      </c>
      <c r="E82" s="99" t="n">
        <v>24</v>
      </c>
      <c r="F82" s="102" t="n">
        <v>1333.33</v>
      </c>
      <c r="G82" s="102" t="n">
        <v>31999.92</v>
      </c>
    </row>
    <row r="83">
      <c r="A83" s="97" t="n">
        <v>4</v>
      </c>
      <c r="B83" s="98" t="inlineStr">
        <is>
          <t>Bebidas</t>
        </is>
      </c>
      <c r="C83" s="98" t="inlineStr">
        <is>
          <t>Soda bretaa</t>
        </is>
      </c>
      <c r="D83" s="98" t="inlineStr">
        <is>
          <t>BRETAÑA 350 ML VIDRIO R X 30</t>
        </is>
      </c>
      <c r="E83" s="99" t="n">
        <v>30</v>
      </c>
      <c r="F83" s="102" t="n">
        <v>1916.67</v>
      </c>
      <c r="G83" s="102" t="n">
        <v>57500.1</v>
      </c>
    </row>
    <row r="84">
      <c r="A84" s="115" t="n">
        <v>4</v>
      </c>
      <c r="B84" s="116" t="inlineStr">
        <is>
          <t>Verduras</t>
        </is>
      </c>
      <c r="C84" s="116" t="inlineStr">
        <is>
          <t>Cebolla Larga Atado</t>
        </is>
      </c>
      <c r="D84" s="116" t="inlineStr">
        <is>
          <t>CEBOLLA LARGA ATADO</t>
        </is>
      </c>
      <c r="E84" s="118" t="n">
        <v>1</v>
      </c>
      <c r="F84" s="119" t="n">
        <v>70000</v>
      </c>
      <c r="G84" s="119" t="n">
        <v>70000</v>
      </c>
    </row>
    <row r="85">
      <c r="A85" s="115" t="n">
        <v>4</v>
      </c>
      <c r="B85" s="116" t="inlineStr">
        <is>
          <t>Verduras</t>
        </is>
      </c>
      <c r="C85" s="116" t="inlineStr">
        <is>
          <t>Lechuga batavia caja</t>
        </is>
      </c>
      <c r="D85" s="116" t="inlineStr">
        <is>
          <t>LECHUGA BATAVIA*CAJA</t>
        </is>
      </c>
      <c r="E85" s="118" t="n">
        <v>3</v>
      </c>
      <c r="F85" s="119" t="n">
        <v>25000</v>
      </c>
      <c r="G85" s="119" t="n">
        <v>75000</v>
      </c>
    </row>
    <row r="86">
      <c r="A86" s="115" t="n">
        <v>4</v>
      </c>
      <c r="B86" s="116" t="inlineStr">
        <is>
          <t>Desechables</t>
        </is>
      </c>
      <c r="C86" s="116" t="inlineStr">
        <is>
          <t>Carbon bulto</t>
        </is>
      </c>
      <c r="D86" s="116" t="inlineStr">
        <is>
          <t>CAARBON BULTO</t>
        </is>
      </c>
      <c r="E86" s="118" t="n">
        <v>1</v>
      </c>
      <c r="F86" s="119" t="n">
        <v>43000</v>
      </c>
      <c r="G86" s="119" t="n">
        <v>43000</v>
      </c>
    </row>
    <row r="87">
      <c r="A87" s="115" t="n">
        <v>4</v>
      </c>
      <c r="B87" s="116" t="inlineStr">
        <is>
          <t>Verduras</t>
        </is>
      </c>
      <c r="C87" s="116" t="inlineStr">
        <is>
          <t>Cilantro</t>
        </is>
      </c>
      <c r="D87" s="116" t="inlineStr">
        <is>
          <t>CILANTRO</t>
        </is>
      </c>
      <c r="E87" s="118" t="n">
        <v>4</v>
      </c>
      <c r="F87" s="119" t="n">
        <v>7000</v>
      </c>
      <c r="G87" s="119" t="n">
        <v>28000</v>
      </c>
    </row>
    <row r="88">
      <c r="A88" s="115" t="n">
        <v>4</v>
      </c>
      <c r="B88" s="116" t="inlineStr">
        <is>
          <t>Verduras</t>
        </is>
      </c>
      <c r="C88" s="116" t="inlineStr">
        <is>
          <t>Tomillo</t>
        </is>
      </c>
      <c r="D88" s="116" t="inlineStr">
        <is>
          <t>TOMILLO</t>
        </is>
      </c>
      <c r="E88" s="118" t="n">
        <v>1</v>
      </c>
      <c r="F88" s="119" t="n">
        <v>10000</v>
      </c>
      <c r="G88" s="119" t="n">
        <v>10000</v>
      </c>
    </row>
    <row r="89">
      <c r="A89" s="115" t="n">
        <v>4</v>
      </c>
      <c r="B89" s="116" t="inlineStr">
        <is>
          <t>Verduras</t>
        </is>
      </c>
      <c r="C89" s="116" t="inlineStr">
        <is>
          <t>Hiervas</t>
        </is>
      </c>
      <c r="D89" s="116" t="inlineStr">
        <is>
          <t>HIERVAS</t>
        </is>
      </c>
      <c r="E89" s="118" t="n">
        <v>5</v>
      </c>
      <c r="F89" s="119" t="n">
        <v>2000</v>
      </c>
      <c r="G89" s="119" t="n">
        <v>10000</v>
      </c>
    </row>
    <row r="90">
      <c r="A90" s="115" t="n">
        <v>4</v>
      </c>
      <c r="B90" s="116" t="inlineStr">
        <is>
          <t>Verduras</t>
        </is>
      </c>
      <c r="C90" s="116" t="inlineStr">
        <is>
          <t>Arveja verde</t>
        </is>
      </c>
      <c r="D90" s="116" t="inlineStr">
        <is>
          <t>ARVEJA VERDE*KL</t>
        </is>
      </c>
      <c r="E90" s="117" t="n">
        <v>1.9</v>
      </c>
      <c r="F90" s="119" t="n">
        <v>15000</v>
      </c>
      <c r="G90" s="119" t="n">
        <v>28500</v>
      </c>
    </row>
    <row r="91">
      <c r="A91" s="115" t="n">
        <v>4</v>
      </c>
      <c r="B91" s="116" t="inlineStr">
        <is>
          <t>Verduras</t>
        </is>
      </c>
      <c r="C91" s="116" t="inlineStr">
        <is>
          <t xml:space="preserve">Papa amarilla </t>
        </is>
      </c>
      <c r="D91" s="116" t="inlineStr">
        <is>
          <t>PAPA AMARILLA CRIOLLA*KL</t>
        </is>
      </c>
      <c r="E91" s="117" t="n">
        <v>5.2</v>
      </c>
      <c r="F91" s="119" t="n">
        <v>5500</v>
      </c>
      <c r="G91" s="119" t="n">
        <v>28600</v>
      </c>
    </row>
    <row r="92">
      <c r="A92" s="115" t="n">
        <v>4</v>
      </c>
      <c r="B92" s="116" t="inlineStr">
        <is>
          <t>Verduras</t>
        </is>
      </c>
      <c r="C92" s="116" t="inlineStr">
        <is>
          <t xml:space="preserve">Papa manbera </t>
        </is>
      </c>
      <c r="D92" s="116" t="inlineStr">
        <is>
          <t>PAPA MAMBERA*KL</t>
        </is>
      </c>
      <c r="E92" s="117" t="n">
        <v>8.699999999999999</v>
      </c>
      <c r="F92" s="119" t="n">
        <v>3500</v>
      </c>
      <c r="G92" s="119" t="n">
        <v>30450</v>
      </c>
    </row>
    <row r="93">
      <c r="A93" s="115" t="n">
        <v>4</v>
      </c>
      <c r="B93" s="116" t="inlineStr">
        <is>
          <t>Verduras</t>
        </is>
      </c>
      <c r="C93" s="116" t="inlineStr">
        <is>
          <t>Apio</t>
        </is>
      </c>
      <c r="D93" s="116" t="inlineStr">
        <is>
          <t>APIO*KL</t>
        </is>
      </c>
      <c r="E93" s="117" t="n">
        <v>3.5</v>
      </c>
      <c r="F93" s="119" t="n">
        <v>3000</v>
      </c>
      <c r="G93" s="119" t="n">
        <v>10500</v>
      </c>
    </row>
    <row r="94">
      <c r="A94" s="115" t="n">
        <v>4</v>
      </c>
      <c r="B94" s="116" t="inlineStr">
        <is>
          <t>Verduras</t>
        </is>
      </c>
      <c r="C94" s="116" t="inlineStr">
        <is>
          <t>Mazorca</t>
        </is>
      </c>
      <c r="D94" s="116" t="inlineStr">
        <is>
          <t>MAZORCA*UND</t>
        </is>
      </c>
      <c r="E94" s="118" t="n">
        <v>20</v>
      </c>
      <c r="F94" s="119" t="n">
        <v>1200</v>
      </c>
      <c r="G94" s="119" t="n">
        <v>24000</v>
      </c>
    </row>
    <row r="95">
      <c r="A95" s="115" t="n">
        <v>4</v>
      </c>
      <c r="B95" s="116" t="inlineStr">
        <is>
          <t>Verduras</t>
        </is>
      </c>
      <c r="C95" s="116" t="inlineStr">
        <is>
          <t>Pimenton</t>
        </is>
      </c>
      <c r="D95" s="116" t="inlineStr">
        <is>
          <t>PIMENTON*KL</t>
        </is>
      </c>
      <c r="E95" s="117" t="n">
        <v>6.9</v>
      </c>
      <c r="F95" s="119" t="n">
        <v>3000</v>
      </c>
      <c r="G95" s="119" t="n">
        <v>20700</v>
      </c>
    </row>
    <row r="96">
      <c r="A96" s="115" t="n">
        <v>4</v>
      </c>
      <c r="B96" s="116" t="inlineStr">
        <is>
          <t>Verduras</t>
        </is>
      </c>
      <c r="C96" s="116" t="inlineStr">
        <is>
          <t>Tomate chonto</t>
        </is>
      </c>
      <c r="D96" s="116" t="inlineStr">
        <is>
          <t>TOMATE CHONTO*KL</t>
        </is>
      </c>
      <c r="E96" s="118" t="n">
        <v>11</v>
      </c>
      <c r="F96" s="119" t="n">
        <v>4500</v>
      </c>
      <c r="G96" s="119" t="n">
        <v>49500</v>
      </c>
    </row>
    <row r="97">
      <c r="A97" s="115" t="n">
        <v>4</v>
      </c>
      <c r="B97" s="116" t="inlineStr">
        <is>
          <t>Verduras</t>
        </is>
      </c>
      <c r="C97" s="116" t="inlineStr">
        <is>
          <t>Cebolla cabezona</t>
        </is>
      </c>
      <c r="D97" s="116" t="inlineStr">
        <is>
          <t>CEBOLLA CABEZONA*KL</t>
        </is>
      </c>
      <c r="E97" s="117" t="n">
        <v>8.9</v>
      </c>
      <c r="F97" s="119" t="n">
        <v>3200</v>
      </c>
      <c r="G97" s="119" t="n">
        <v>28480</v>
      </c>
    </row>
    <row r="98">
      <c r="A98" s="115" t="n">
        <v>4</v>
      </c>
      <c r="B98" s="116" t="inlineStr">
        <is>
          <t>Verduras</t>
        </is>
      </c>
      <c r="C98" s="116" t="inlineStr">
        <is>
          <t>Pepino comun</t>
        </is>
      </c>
      <c r="D98" s="116" t="inlineStr">
        <is>
          <t>PEPINO COMUN*KL</t>
        </is>
      </c>
      <c r="E98" s="117" t="n">
        <v>5.3</v>
      </c>
      <c r="F98" s="119" t="n">
        <v>2000</v>
      </c>
      <c r="G98" s="119" t="n">
        <v>10600</v>
      </c>
    </row>
    <row r="99">
      <c r="A99" s="115" t="n">
        <v>4</v>
      </c>
      <c r="B99" s="116" t="inlineStr">
        <is>
          <t>Verduras</t>
        </is>
      </c>
      <c r="C99" s="116" t="inlineStr">
        <is>
          <t>Zanhoria</t>
        </is>
      </c>
      <c r="D99" s="116" t="inlineStr">
        <is>
          <t>ZANAHORIA*KL</t>
        </is>
      </c>
      <c r="E99" s="117" t="n">
        <v>10.9</v>
      </c>
      <c r="F99" s="119" t="n">
        <v>2500</v>
      </c>
      <c r="G99" s="119" t="n">
        <v>27250</v>
      </c>
    </row>
    <row r="100">
      <c r="A100" s="115" t="n">
        <v>4</v>
      </c>
      <c r="B100" s="116" t="inlineStr">
        <is>
          <t>Verduras</t>
        </is>
      </c>
      <c r="C100" s="116" t="inlineStr">
        <is>
          <t>Papa pollera</t>
        </is>
      </c>
      <c r="D100" s="116" t="inlineStr">
        <is>
          <t>PAPA POYERA KI</t>
        </is>
      </c>
      <c r="E100" s="117" t="n">
        <v>26.9</v>
      </c>
      <c r="F100" s="119" t="n">
        <v>2000</v>
      </c>
      <c r="G100" s="119" t="n">
        <v>53800</v>
      </c>
    </row>
    <row r="101">
      <c r="A101" s="115" t="n">
        <v>4</v>
      </c>
      <c r="B101" s="116" t="inlineStr">
        <is>
          <t>Verduras</t>
        </is>
      </c>
      <c r="C101" s="116" t="inlineStr">
        <is>
          <t>Papa Capira bulto</t>
        </is>
      </c>
      <c r="D101" s="116" t="inlineStr">
        <is>
          <t>PAPA CAPIRA BULTO*UND</t>
        </is>
      </c>
      <c r="E101" s="118" t="n">
        <v>1</v>
      </c>
      <c r="F101" s="119" t="n">
        <v>95000</v>
      </c>
      <c r="G101" s="119" t="n">
        <v>95000</v>
      </c>
    </row>
    <row r="102">
      <c r="A102" s="115" t="n">
        <v>4</v>
      </c>
      <c r="B102" s="116" t="inlineStr">
        <is>
          <t>Verduras</t>
        </is>
      </c>
      <c r="C102" s="116" t="inlineStr">
        <is>
          <t>Limon tahiti</t>
        </is>
      </c>
      <c r="D102" s="116" t="inlineStr">
        <is>
          <t>LIMON TAHITY*KL</t>
        </is>
      </c>
      <c r="E102" s="118" t="n">
        <v>48</v>
      </c>
      <c r="F102" s="119" t="n">
        <v>2500</v>
      </c>
      <c r="G102" s="119" t="n">
        <v>120000</v>
      </c>
    </row>
    <row r="103">
      <c r="A103" s="115" t="n">
        <v>4</v>
      </c>
      <c r="B103" s="116" t="inlineStr">
        <is>
          <t>Verduras</t>
        </is>
      </c>
      <c r="C103" s="116" t="inlineStr">
        <is>
          <t>Platano verde</t>
        </is>
      </c>
      <c r="D103" s="116" t="inlineStr">
        <is>
          <t>PLATANO VERDE*KL</t>
        </is>
      </c>
      <c r="E103" s="118" t="n">
        <v>60</v>
      </c>
      <c r="F103" s="119" t="n">
        <v>1600</v>
      </c>
      <c r="G103" s="119" t="n">
        <v>96000</v>
      </c>
    </row>
    <row r="104">
      <c r="A104" s="115" t="n">
        <v>4</v>
      </c>
      <c r="B104" s="116" t="inlineStr">
        <is>
          <t>Verduras</t>
        </is>
      </c>
      <c r="C104" s="116" t="inlineStr">
        <is>
          <t>Zapayo</t>
        </is>
      </c>
      <c r="D104" s="116" t="inlineStr">
        <is>
          <t>ZAPAYO*KL</t>
        </is>
      </c>
      <c r="E104" s="117" t="n">
        <v>9.4</v>
      </c>
      <c r="F104" s="119" t="n">
        <v>1400</v>
      </c>
      <c r="G104" s="119" t="n">
        <v>13160</v>
      </c>
    </row>
    <row r="105">
      <c r="A105" s="115" t="n">
        <v>4</v>
      </c>
      <c r="B105" s="116" t="inlineStr">
        <is>
          <t>Verduras</t>
        </is>
      </c>
      <c r="C105" s="116" t="inlineStr">
        <is>
          <t>Pepino archucha</t>
        </is>
      </c>
      <c r="D105" s="116" t="inlineStr">
        <is>
          <t>PEPINO ARCHUCHA*KL</t>
        </is>
      </c>
      <c r="E105" s="117" t="n">
        <v>6.2</v>
      </c>
      <c r="F105" s="119" t="n">
        <v>6000</v>
      </c>
      <c r="G105" s="119" t="n">
        <v>37200</v>
      </c>
    </row>
    <row r="106">
      <c r="A106" s="115" t="n">
        <v>4</v>
      </c>
      <c r="B106" s="116" t="inlineStr">
        <is>
          <t>Verduras</t>
        </is>
      </c>
      <c r="C106" s="116" t="inlineStr">
        <is>
          <t>Tomate milano</t>
        </is>
      </c>
      <c r="D106" s="116" t="inlineStr">
        <is>
          <t>TOMATE MILANO*KL</t>
        </is>
      </c>
      <c r="E106" s="117" t="n">
        <v>3.5</v>
      </c>
      <c r="F106" s="119" t="n">
        <v>4500</v>
      </c>
      <c r="G106" s="119" t="n">
        <v>15750</v>
      </c>
    </row>
    <row r="107">
      <c r="A107" s="115" t="n">
        <v>4</v>
      </c>
      <c r="B107" s="116" t="inlineStr">
        <is>
          <t>Verduras</t>
        </is>
      </c>
      <c r="C107" s="116" t="inlineStr">
        <is>
          <t>Platano maduro</t>
        </is>
      </c>
      <c r="D107" s="116" t="inlineStr">
        <is>
          <t>PLATANO MADURO*KL</t>
        </is>
      </c>
      <c r="E107" s="117" t="n">
        <v>53.4</v>
      </c>
      <c r="F107" s="119" t="n">
        <v>1500</v>
      </c>
      <c r="G107" s="119" t="n">
        <v>80100</v>
      </c>
    </row>
    <row r="108">
      <c r="A108" s="115" t="n">
        <v>4</v>
      </c>
      <c r="B108" s="116" t="inlineStr">
        <is>
          <t>Servicios</t>
        </is>
      </c>
      <c r="C108" s="116" t="inlineStr">
        <is>
          <t>Servicios Públicos</t>
        </is>
      </c>
      <c r="D108" s="116" t="inlineStr">
        <is>
          <t>GASES DE OCCIDENTE - SERVICIO DE GAS</t>
        </is>
      </c>
      <c r="E108" s="118" t="n">
        <v>1</v>
      </c>
      <c r="F108" s="119" t="n">
        <v>4586263</v>
      </c>
      <c r="G108" s="119" t="n">
        <v>4586263</v>
      </c>
    </row>
    <row r="109">
      <c r="A109" s="127" t="n">
        <v>4</v>
      </c>
      <c r="B109" s="127" t="inlineStr">
        <is>
          <t>Bebidas</t>
        </is>
      </c>
      <c r="C109" s="127" t="inlineStr">
        <is>
          <t>Bloque media</t>
        </is>
      </c>
      <c r="D109" s="127" t="inlineStr">
        <is>
          <t>BLOQUE MEDIA</t>
        </is>
      </c>
      <c r="E109" s="127" t="n">
        <v>2</v>
      </c>
      <c r="F109" s="127" t="n">
        <v>9500</v>
      </c>
      <c r="G109" s="127" t="n">
        <v>19000</v>
      </c>
    </row>
    <row r="110">
      <c r="A110" s="127" t="n">
        <v>4</v>
      </c>
      <c r="B110" s="127" t="inlineStr">
        <is>
          <t>Bebidas</t>
        </is>
      </c>
      <c r="C110" s="127" t="inlineStr">
        <is>
          <t>Bolsa 5kl tubular</t>
        </is>
      </c>
      <c r="D110" s="127" t="inlineStr">
        <is>
          <t>BOLSA X 5 KL TUBULAR</t>
        </is>
      </c>
      <c r="E110" s="127" t="n">
        <v>2</v>
      </c>
      <c r="F110" s="127" t="n">
        <v>5000</v>
      </c>
      <c r="G110" s="127" t="n">
        <v>10000</v>
      </c>
    </row>
    <row r="111">
      <c r="A111" s="127" t="n">
        <v>4</v>
      </c>
      <c r="B111" s="127" t="inlineStr">
        <is>
          <t>Servicios</t>
        </is>
      </c>
      <c r="C111" s="127" t="inlineStr">
        <is>
          <t>Acopi</t>
        </is>
      </c>
      <c r="D111" s="127" t="inlineStr">
        <is>
          <t>TAXI ACOPI</t>
        </is>
      </c>
      <c r="E111" s="127" t="n">
        <v>1</v>
      </c>
      <c r="F111" s="127" t="n">
        <v>30000</v>
      </c>
      <c r="G111" s="127" t="n">
        <v>30000</v>
      </c>
    </row>
    <row r="112">
      <c r="A112" s="127" t="n">
        <v>4</v>
      </c>
      <c r="B112" s="127" t="inlineStr">
        <is>
          <t>Grano</t>
        </is>
      </c>
      <c r="C112" s="127" t="inlineStr">
        <is>
          <t>Alimento donkat</t>
        </is>
      </c>
      <c r="D112" s="127" t="inlineStr">
        <is>
          <t>ALIMENTO DONKAT*1000g ADULTO GTS 10% C</t>
        </is>
      </c>
      <c r="E112" s="127" t="n">
        <v>1</v>
      </c>
      <c r="F112" s="127" t="n">
        <v>13500</v>
      </c>
      <c r="G112" s="127" t="n">
        <v>13500</v>
      </c>
    </row>
    <row r="113">
      <c r="A113" s="127" t="n">
        <v>4</v>
      </c>
      <c r="B113" s="127" t="inlineStr">
        <is>
          <t>Verduras</t>
        </is>
      </c>
      <c r="C113" s="127" t="inlineStr">
        <is>
          <t>Raices  chinas</t>
        </is>
      </c>
      <c r="D113" s="127" t="inlineStr">
        <is>
          <t>RAICES CHINAS AZUKY*250g</t>
        </is>
      </c>
      <c r="E113" s="127" t="n">
        <v>5</v>
      </c>
      <c r="F113" s="127" t="n">
        <v>2400</v>
      </c>
      <c r="G113" s="127" t="n">
        <v>12000</v>
      </c>
    </row>
    <row r="114">
      <c r="A114" s="127" t="n">
        <v>4</v>
      </c>
      <c r="B114" s="127" t="inlineStr">
        <is>
          <t>Verduras</t>
        </is>
      </c>
      <c r="C114" s="127" t="inlineStr">
        <is>
          <t>Champinon*250g tajado setas</t>
        </is>
      </c>
      <c r="D114" s="127" t="inlineStr">
        <is>
          <t>CHAMPINON CHAMPIS*250g TAJADO</t>
        </is>
      </c>
      <c r="E114" s="127" t="n">
        <v>1</v>
      </c>
      <c r="F114" s="127" t="n">
        <v>10300</v>
      </c>
      <c r="G114" s="127" t="n">
        <v>10300</v>
      </c>
    </row>
    <row r="115">
      <c r="A115" s="127" t="n">
        <v>4</v>
      </c>
      <c r="B115" s="127" t="inlineStr">
        <is>
          <t>Desechables</t>
        </is>
      </c>
      <c r="C115" s="127" t="inlineStr">
        <is>
          <t>Bolsa canaveral 100% material recicl f</t>
        </is>
      </c>
      <c r="D115" s="127" t="inlineStr">
        <is>
          <t>BOLSA CANAVERAL ECOLOGICA PAPEL</t>
        </is>
      </c>
      <c r="E115" s="127" t="n">
        <v>1</v>
      </c>
      <c r="F115" s="127" t="n">
        <v>500</v>
      </c>
      <c r="G115" s="127" t="n">
        <v>500</v>
      </c>
    </row>
    <row r="116">
      <c r="A116" s="127" t="n">
        <v>4</v>
      </c>
      <c r="B116" s="127" t="inlineStr">
        <is>
          <t>Desechables</t>
        </is>
      </c>
      <c r="C116" s="127" t="inlineStr">
        <is>
          <t>Salsa negra</t>
        </is>
      </c>
      <c r="D116" s="127" t="inlineStr">
        <is>
          <t>SALSA COLMAN S*175ml CHINA</t>
        </is>
      </c>
      <c r="E116" s="127" t="n">
        <v>2</v>
      </c>
      <c r="F116" s="127" t="n">
        <v>6500</v>
      </c>
      <c r="G116" s="127" t="n">
        <v>13000</v>
      </c>
    </row>
    <row r="117">
      <c r="A117" s="127" t="n">
        <v>4</v>
      </c>
      <c r="B117" s="127" t="inlineStr">
        <is>
          <t>Desechables</t>
        </is>
      </c>
      <c r="C117" s="127" t="inlineStr">
        <is>
          <t>Mercancias Varias Excentas</t>
        </is>
      </c>
      <c r="D117" s="127" t="inlineStr">
        <is>
          <t>ULBGR61501 ESMERIL DE BANCO 6 150W/120V SUPER EMTOP</t>
        </is>
      </c>
      <c r="E117" s="127" t="n">
        <v>1</v>
      </c>
      <c r="F117" s="127" t="n">
        <v>157000</v>
      </c>
      <c r="G117" s="127" t="n">
        <v>157000</v>
      </c>
    </row>
    <row r="118">
      <c r="A118" s="127" t="n">
        <v>4</v>
      </c>
      <c r="B118" s="127" t="inlineStr">
        <is>
          <t>Carnes</t>
        </is>
      </c>
      <c r="C118" s="127" t="inlineStr">
        <is>
          <t>Mortadela</t>
        </is>
      </c>
      <c r="D118" s="127" t="inlineStr">
        <is>
          <t>MORTADELA RICA*450g</t>
        </is>
      </c>
      <c r="E118" s="127" t="n">
        <v>1</v>
      </c>
      <c r="F118" s="127" t="n">
        <v>8950</v>
      </c>
      <c r="G118" s="127" t="n">
        <v>8950</v>
      </c>
    </row>
    <row r="119">
      <c r="A119" s="127" t="n">
        <v>4</v>
      </c>
      <c r="B119" s="127" t="inlineStr">
        <is>
          <t>Verduras</t>
        </is>
      </c>
      <c r="C119" s="127" t="inlineStr">
        <is>
          <t>Raices  chinas</t>
        </is>
      </c>
      <c r="D119" s="127" t="inlineStr">
        <is>
          <t>RAICES CHINAS VIVA MEJOR*250g</t>
        </is>
      </c>
      <c r="E119" s="127" t="n">
        <v>1</v>
      </c>
      <c r="F119" s="127" t="n">
        <v>2400</v>
      </c>
      <c r="G119" s="127" t="n">
        <v>2400</v>
      </c>
    </row>
    <row r="120">
      <c r="A120" s="127" t="n">
        <v>4</v>
      </c>
      <c r="B120" s="127" t="inlineStr">
        <is>
          <t>Carnes</t>
        </is>
      </c>
      <c r="C120" s="127" t="inlineStr">
        <is>
          <t>Salchicha ranchera</t>
        </is>
      </c>
      <c r="D120" s="127" t="inlineStr">
        <is>
          <t>SALCHICHA RANCHERA*480g</t>
        </is>
      </c>
      <c r="E120" s="127" t="n">
        <v>1</v>
      </c>
      <c r="F120" s="127" t="n">
        <v>29500</v>
      </c>
      <c r="G120" s="127" t="n">
        <v>29500</v>
      </c>
    </row>
    <row r="121">
      <c r="A121" s="127" t="n">
        <v>4</v>
      </c>
      <c r="B121" s="127" t="inlineStr">
        <is>
          <t>Carnes</t>
        </is>
      </c>
      <c r="C121" s="127" t="inlineStr">
        <is>
          <t>Espinazo de cerdo</t>
        </is>
      </c>
      <c r="D121" s="127" t="inlineStr">
        <is>
          <t>ESPINAZO CERDO A GRANEL</t>
        </is>
      </c>
      <c r="E121" s="127" t="n">
        <v>3.45</v>
      </c>
      <c r="F121" s="127" t="n">
        <v>9800</v>
      </c>
      <c r="G121" s="127" t="n">
        <v>33810</v>
      </c>
    </row>
    <row r="122">
      <c r="A122" s="127" t="n">
        <v>4</v>
      </c>
      <c r="B122" s="127" t="inlineStr">
        <is>
          <t>Carnes</t>
        </is>
      </c>
      <c r="C122" s="127" t="inlineStr">
        <is>
          <t>Pezua</t>
        </is>
      </c>
      <c r="D122" s="127" t="inlineStr">
        <is>
          <t>PEZUNA CERDO A GRANEL</t>
        </is>
      </c>
      <c r="E122" s="127" t="n">
        <v>3.776</v>
      </c>
      <c r="F122" s="127" t="n">
        <v>9699.947</v>
      </c>
      <c r="G122" s="127" t="n">
        <v>36627</v>
      </c>
    </row>
    <row r="123">
      <c r="A123" s="127" t="n">
        <v>4</v>
      </c>
      <c r="B123" s="127" t="inlineStr">
        <is>
          <t>Grano</t>
        </is>
      </c>
      <c r="C123" s="127" t="inlineStr">
        <is>
          <t>Cuchuco de maiz</t>
        </is>
      </c>
      <c r="D123" s="127" t="inlineStr">
        <is>
          <t>CUCHUCO EL CHOCLO*500g MAIZ AMAR/GRUE</t>
        </is>
      </c>
      <c r="E123" s="127" t="n">
        <v>3</v>
      </c>
      <c r="F123" s="127" t="n">
        <v>5150</v>
      </c>
      <c r="G123" s="127" t="n">
        <v>15450</v>
      </c>
    </row>
    <row r="124">
      <c r="A124" s="127" t="n">
        <v>4</v>
      </c>
      <c r="B124" s="127" t="inlineStr">
        <is>
          <t>Grano</t>
        </is>
      </c>
      <c r="C124" s="127" t="inlineStr">
        <is>
          <t>Garbanzo</t>
        </is>
      </c>
      <c r="D124" s="127" t="inlineStr">
        <is>
          <t>GARBANZO LA FLORESTA*500g</t>
        </is>
      </c>
      <c r="E124" s="127" t="n">
        <v>1</v>
      </c>
      <c r="F124" s="127" t="n">
        <v>5350</v>
      </c>
      <c r="G124" s="127" t="n">
        <v>5350</v>
      </c>
    </row>
    <row r="125">
      <c r="A125" s="127" t="n">
        <v>4</v>
      </c>
      <c r="B125" s="127" t="inlineStr">
        <is>
          <t>Grano</t>
        </is>
      </c>
      <c r="C125" s="127" t="inlineStr">
        <is>
          <t>Garbanzo</t>
        </is>
      </c>
      <c r="D125" s="127" t="inlineStr">
        <is>
          <t>GARBANZO LA FLORESTA*500g</t>
        </is>
      </c>
      <c r="E125" s="127" t="n">
        <v>1</v>
      </c>
      <c r="F125" s="127" t="n">
        <v>5350</v>
      </c>
      <c r="G125" s="127" t="n">
        <v>5350</v>
      </c>
    </row>
    <row r="126">
      <c r="A126" s="127" t="n">
        <v>4</v>
      </c>
      <c r="B126" s="127" t="inlineStr">
        <is>
          <t>Carnes</t>
        </is>
      </c>
      <c r="C126" s="127" t="inlineStr">
        <is>
          <t>Pezua</t>
        </is>
      </c>
      <c r="D126" s="127" t="inlineStr">
        <is>
          <t>PEZUNA CERDO A GRANEL</t>
        </is>
      </c>
      <c r="E126" s="127" t="n">
        <v>3.68</v>
      </c>
      <c r="F126" s="127" t="n">
        <v>9700</v>
      </c>
      <c r="G126" s="127" t="n">
        <v>35696</v>
      </c>
    </row>
    <row r="127">
      <c r="A127" s="127" t="n">
        <v>4</v>
      </c>
      <c r="B127" s="127" t="inlineStr">
        <is>
          <t>Grano</t>
        </is>
      </c>
      <c r="C127" s="127" t="inlineStr">
        <is>
          <t>Arepas</t>
        </is>
      </c>
      <c r="D127" s="127" t="inlineStr">
        <is>
          <t>200 arepas</t>
        </is>
      </c>
      <c r="E127" s="127" t="n">
        <v>200</v>
      </c>
      <c r="F127" s="127" t="n">
        <v>150</v>
      </c>
      <c r="G127" s="127" t="n">
        <v>30000</v>
      </c>
    </row>
    <row r="128">
      <c r="A128" s="127" t="n">
        <v>4</v>
      </c>
      <c r="B128" s="127" t="inlineStr">
        <is>
          <t>Grano</t>
        </is>
      </c>
      <c r="C128" s="127" t="inlineStr">
        <is>
          <t>Margarina la buena*125g barra</t>
        </is>
      </c>
      <c r="D128" s="127" t="inlineStr">
        <is>
          <t>1 Margarina campi</t>
        </is>
      </c>
      <c r="E128" s="127" t="n">
        <v>1</v>
      </c>
      <c r="F128" s="127" t="n">
        <v>2500</v>
      </c>
      <c r="G128" s="127" t="n">
        <v>2500</v>
      </c>
    </row>
    <row r="129">
      <c r="A129" s="97" t="n">
        <v>5</v>
      </c>
      <c r="B129" s="98" t="inlineStr">
        <is>
          <t>Carnes</t>
        </is>
      </c>
      <c r="C129" s="98" t="inlineStr">
        <is>
          <t>Costilla Especial</t>
        </is>
      </c>
      <c r="D129" s="98" t="inlineStr">
        <is>
          <t>COSTILLA ESPECIAL DE RES</t>
        </is>
      </c>
      <c r="E129" s="101" t="n">
        <v>16.75</v>
      </c>
      <c r="F129" s="100" t="n">
        <v>22000</v>
      </c>
      <c r="G129" s="100" t="n">
        <v>368500</v>
      </c>
    </row>
    <row r="130">
      <c r="A130" s="97" t="n">
        <v>5</v>
      </c>
      <c r="B130" s="98" t="inlineStr">
        <is>
          <t>Bebidas</t>
        </is>
      </c>
      <c r="C130" s="98" t="inlineStr">
        <is>
          <t>Bloque media</t>
        </is>
      </c>
      <c r="D130" s="98" t="inlineStr">
        <is>
          <t>BLOQUE MEDIA</t>
        </is>
      </c>
      <c r="E130" s="99" t="n">
        <v>2</v>
      </c>
      <c r="F130" s="100" t="n">
        <v>9500</v>
      </c>
      <c r="G130" s="100" t="n">
        <v>19000</v>
      </c>
    </row>
    <row r="131">
      <c r="A131" s="97" t="n">
        <v>5</v>
      </c>
      <c r="B131" s="98" t="inlineStr">
        <is>
          <t>Bebidas</t>
        </is>
      </c>
      <c r="C131" s="98" t="inlineStr">
        <is>
          <t>Bolsa 5kl tubular</t>
        </is>
      </c>
      <c r="D131" s="98" t="inlineStr">
        <is>
          <t>BOLSA X 5 KL TUBULAR</t>
        </is>
      </c>
      <c r="E131" s="99" t="n">
        <v>2</v>
      </c>
      <c r="F131" s="100" t="n">
        <v>5000</v>
      </c>
      <c r="G131" s="100" t="n">
        <v>10000</v>
      </c>
    </row>
    <row r="132">
      <c r="A132" s="103" t="n">
        <v>5</v>
      </c>
      <c r="B132" s="104" t="inlineStr">
        <is>
          <t>Carnes</t>
        </is>
      </c>
      <c r="C132" s="104" t="inlineStr">
        <is>
          <t>Tilapia y truchas</t>
        </is>
      </c>
      <c r="D132" s="104" t="inlineStr">
        <is>
          <t>TILAPIA 80-15 LLAVERO ENTERA</t>
        </is>
      </c>
      <c r="E132" s="107" t="n">
        <v>8</v>
      </c>
      <c r="F132" s="106" t="n">
        <v>22000</v>
      </c>
      <c r="G132" s="106" t="n">
        <v>176000</v>
      </c>
    </row>
    <row r="133">
      <c r="A133" s="103" t="n">
        <v>5</v>
      </c>
      <c r="B133" s="104" t="inlineStr">
        <is>
          <t>Carnes</t>
        </is>
      </c>
      <c r="C133" s="104" t="inlineStr">
        <is>
          <t>Salmon</t>
        </is>
      </c>
      <c r="D133" s="104" t="inlineStr">
        <is>
          <t>Filete de Salmon Grande</t>
        </is>
      </c>
      <c r="E133" s="105" t="n">
        <v>9.869999999999999</v>
      </c>
      <c r="F133" s="106" t="n">
        <v>55000</v>
      </c>
      <c r="G133" s="106" t="n">
        <v>542850</v>
      </c>
    </row>
    <row r="134">
      <c r="A134" s="103" t="n">
        <v>5</v>
      </c>
      <c r="B134" s="104" t="inlineStr">
        <is>
          <t>Carnes</t>
        </is>
      </c>
      <c r="C134" s="104" t="inlineStr">
        <is>
          <t>Tilapia y truchas</t>
        </is>
      </c>
      <c r="D134" s="104" t="inlineStr">
        <is>
          <t>Tilapia Roja</t>
        </is>
      </c>
      <c r="E134" s="105" t="n">
        <v>19.81</v>
      </c>
      <c r="F134" s="106" t="n">
        <v>18000</v>
      </c>
      <c r="G134" s="106" t="n">
        <v>356580</v>
      </c>
    </row>
    <row r="135">
      <c r="A135" s="103" t="n">
        <v>5</v>
      </c>
      <c r="B135" s="104" t="inlineStr">
        <is>
          <t>Desechables</t>
        </is>
      </c>
      <c r="C135" s="104" t="inlineStr">
        <is>
          <t>Crema de leche</t>
        </is>
      </c>
      <c r="D135" s="104" t="inlineStr">
        <is>
          <t>CREMA DE LECHE 1000G</t>
        </is>
      </c>
      <c r="E135" s="107" t="n">
        <v>2</v>
      </c>
      <c r="F135" s="106" t="n">
        <v>18200</v>
      </c>
      <c r="G135" s="106" t="n">
        <v>36400</v>
      </c>
    </row>
    <row r="136">
      <c r="A136" s="103" t="n">
        <v>5</v>
      </c>
      <c r="B136" s="104" t="inlineStr">
        <is>
          <t>Grano</t>
        </is>
      </c>
      <c r="C136" s="104" t="inlineStr">
        <is>
          <t>Sabor original</t>
        </is>
      </c>
      <c r="D136" s="104" t="inlineStr">
        <is>
          <t>SABOR ORIGINAL INSTITUCIONAL 1100ML</t>
        </is>
      </c>
      <c r="E136" s="107" t="n">
        <v>70</v>
      </c>
      <c r="F136" s="106" t="n">
        <v>4180</v>
      </c>
      <c r="G136" s="106" t="n">
        <v>292600</v>
      </c>
    </row>
    <row r="137">
      <c r="A137" s="103" t="n">
        <v>5</v>
      </c>
      <c r="B137" s="104" t="inlineStr">
        <is>
          <t>Grano</t>
        </is>
      </c>
      <c r="C137" s="104" t="inlineStr">
        <is>
          <t>Leche entera</t>
        </is>
      </c>
      <c r="D137" s="104" t="inlineStr">
        <is>
          <t>ACTIGEST BOT 1750G PITAYA</t>
        </is>
      </c>
      <c r="E137" s="107" t="n">
        <v>1</v>
      </c>
      <c r="F137" s="106" t="n">
        <v>19314</v>
      </c>
      <c r="G137" s="106" t="n">
        <v>19314</v>
      </c>
    </row>
    <row r="138">
      <c r="A138" s="109" t="n">
        <v>5</v>
      </c>
      <c r="B138" s="110" t="inlineStr">
        <is>
          <t>Servicios</t>
        </is>
      </c>
      <c r="C138" s="110" t="inlineStr">
        <is>
          <t>Servicios Públicos</t>
        </is>
      </c>
      <c r="D138" s="110" t="inlineStr">
        <is>
          <t>EMCALI - TELEFONO</t>
        </is>
      </c>
      <c r="E138" s="111" t="n">
        <v>1</v>
      </c>
      <c r="F138" s="112" t="n">
        <v>106180</v>
      </c>
      <c r="G138" s="112" t="n">
        <v>106180</v>
      </c>
    </row>
    <row r="139">
      <c r="A139" s="109" t="n">
        <v>5</v>
      </c>
      <c r="B139" s="110" t="inlineStr">
        <is>
          <t>Grano</t>
        </is>
      </c>
      <c r="C139" s="110" t="inlineStr">
        <is>
          <t>Blanquillo</t>
        </is>
      </c>
      <c r="D139" s="110" t="inlineStr">
        <is>
          <t>FRIJOLES BLANQUILLOS DIANA X 400GR</t>
        </is>
      </c>
      <c r="E139" s="111" t="n">
        <v>4</v>
      </c>
      <c r="F139" s="112" t="n">
        <v>4700</v>
      </c>
      <c r="G139" s="112" t="n">
        <v>18800</v>
      </c>
    </row>
    <row r="140">
      <c r="A140" s="129" t="n">
        <v>5</v>
      </c>
      <c r="B140" s="129" t="inlineStr">
        <is>
          <t>Carnes</t>
        </is>
      </c>
      <c r="C140" s="129" t="inlineStr">
        <is>
          <t>Chorizo coctelero x 40</t>
        </is>
      </c>
      <c r="D140" s="129" t="inlineStr">
        <is>
          <t>CHORIZO PREMIUM COCTELERO PAQ. X 40 UND. (MONTERO)</t>
        </is>
      </c>
      <c r="E140" s="129" t="n">
        <v>4</v>
      </c>
      <c r="F140" s="129" t="n">
        <v>48000</v>
      </c>
      <c r="G140" s="129" t="n">
        <v>192000</v>
      </c>
    </row>
    <row r="141">
      <c r="A141" s="129" t="n">
        <v>5</v>
      </c>
      <c r="B141" s="129" t="inlineStr">
        <is>
          <t>Carnes</t>
        </is>
      </c>
      <c r="C141" s="129" t="inlineStr">
        <is>
          <t>Chorizo Premium</t>
        </is>
      </c>
      <c r="D141" s="129" t="inlineStr">
        <is>
          <t>CHORIZO PREMIUM PAQ. X 12 UND. (MONTERO) 1800gr</t>
        </is>
      </c>
      <c r="E141" s="129" t="n">
        <v>3</v>
      </c>
      <c r="F141" s="129" t="n">
        <v>46000</v>
      </c>
      <c r="G141" s="129" t="n">
        <v>138000</v>
      </c>
    </row>
    <row r="142">
      <c r="A142" s="129" t="n">
        <v>5</v>
      </c>
      <c r="B142" s="129" t="inlineStr">
        <is>
          <t>Grano</t>
        </is>
      </c>
      <c r="C142" s="129" t="inlineStr">
        <is>
          <t>Arepas</t>
        </is>
      </c>
      <c r="D142" s="129" t="inlineStr">
        <is>
          <t>300 arepas</t>
        </is>
      </c>
      <c r="E142" s="129" t="n">
        <v>300</v>
      </c>
      <c r="F142" s="129" t="n">
        <v>150</v>
      </c>
      <c r="G142" s="129" t="n">
        <v>45000</v>
      </c>
    </row>
    <row r="143">
      <c r="A143" s="129" t="n">
        <v>5</v>
      </c>
      <c r="B143" s="129" t="inlineStr">
        <is>
          <t>Verduras</t>
        </is>
      </c>
      <c r="C143" s="129" t="inlineStr">
        <is>
          <t>Atados hojas</t>
        </is>
      </c>
      <c r="D143" s="129" t="inlineStr">
        <is>
          <t>45 - Atados Hoja</t>
        </is>
      </c>
      <c r="E143" s="129" t="n">
        <v>45</v>
      </c>
      <c r="F143" s="129" t="n">
        <v>2500</v>
      </c>
      <c r="G143" s="129" t="n">
        <v>112500</v>
      </c>
    </row>
    <row r="144">
      <c r="A144" s="129" t="n">
        <v>5</v>
      </c>
      <c r="B144" s="129" t="inlineStr">
        <is>
          <t>Verduras</t>
        </is>
      </c>
      <c r="C144" s="129" t="inlineStr">
        <is>
          <t>Cocos</t>
        </is>
      </c>
      <c r="D144" s="129" t="inlineStr">
        <is>
          <t>5 - Cocos</t>
        </is>
      </c>
      <c r="E144" s="129" t="n">
        <v>5</v>
      </c>
      <c r="F144" s="129" t="n">
        <v>8000</v>
      </c>
      <c r="G144" s="129" t="n">
        <v>40000</v>
      </c>
    </row>
    <row r="145">
      <c r="A145" s="129" t="n">
        <v>5</v>
      </c>
      <c r="B145" s="129" t="inlineStr">
        <is>
          <t>Verduras</t>
        </is>
      </c>
      <c r="C145" s="129" t="inlineStr">
        <is>
          <t>Masa t</t>
        </is>
      </c>
      <c r="D145" s="129" t="inlineStr">
        <is>
          <t>11 - Kls Masa</t>
        </is>
      </c>
      <c r="E145" s="129" t="n">
        <v>11</v>
      </c>
      <c r="F145" s="129" t="n">
        <v>3500</v>
      </c>
      <c r="G145" s="129" t="n">
        <v>38500</v>
      </c>
    </row>
    <row r="146">
      <c r="A146" s="129" t="n">
        <v>5</v>
      </c>
      <c r="B146" s="129" t="inlineStr">
        <is>
          <t>Verduras</t>
        </is>
      </c>
      <c r="C146" s="129" t="inlineStr">
        <is>
          <t>Habichuela</t>
        </is>
      </c>
      <c r="D146" s="129" t="inlineStr">
        <is>
          <t>HABICHUELA A GRANEL (3.46kg)</t>
        </is>
      </c>
      <c r="E146" s="129" t="n">
        <v>3.46</v>
      </c>
      <c r="F146" s="129" t="n">
        <v>6560.1156</v>
      </c>
      <c r="G146" s="129" t="n">
        <v>22698</v>
      </c>
    </row>
    <row r="147">
      <c r="A147" s="129" t="n">
        <v>5</v>
      </c>
      <c r="B147" s="129" t="inlineStr">
        <is>
          <t>Desechables</t>
        </is>
      </c>
      <c r="C147" s="129" t="inlineStr">
        <is>
          <t>Mazamorra</t>
        </is>
      </c>
      <c r="D147" s="129" t="inlineStr">
        <is>
          <t>Mazamorra</t>
        </is>
      </c>
      <c r="E147" s="129" t="n">
        <v>1</v>
      </c>
      <c r="F147" s="129" t="n">
        <v>25000</v>
      </c>
      <c r="G147" s="129" t="n">
        <v>25000</v>
      </c>
    </row>
    <row r="148">
      <c r="A148" s="129" t="n">
        <v>5</v>
      </c>
      <c r="B148" s="129" t="inlineStr">
        <is>
          <t>Servicios</t>
        </is>
      </c>
      <c r="C148" s="129" t="inlineStr">
        <is>
          <t>Acopi</t>
        </is>
      </c>
      <c r="D148" s="129" t="inlineStr">
        <is>
          <t>Acopi</t>
        </is>
      </c>
      <c r="E148" s="129" t="n">
        <v>1</v>
      </c>
      <c r="F148" s="129" t="n">
        <v>30000</v>
      </c>
      <c r="G148" s="129" t="n">
        <v>30000</v>
      </c>
    </row>
    <row r="149">
      <c r="A149" s="129" t="n">
        <v>5</v>
      </c>
      <c r="B149" s="129" t="inlineStr">
        <is>
          <t>Bebidas</t>
        </is>
      </c>
      <c r="C149" s="129" t="inlineStr">
        <is>
          <t>Bloque media</t>
        </is>
      </c>
      <c r="D149" s="129" t="inlineStr">
        <is>
          <t>25 - BLOQUE MEDIA</t>
        </is>
      </c>
      <c r="E149" s="129" t="n">
        <v>2</v>
      </c>
      <c r="F149" s="129" t="n">
        <v>9500</v>
      </c>
      <c r="G149" s="129" t="n">
        <v>19000</v>
      </c>
    </row>
    <row r="150">
      <c r="A150" s="129" t="n">
        <v>5</v>
      </c>
      <c r="B150" s="129" t="inlineStr">
        <is>
          <t>Servicios</t>
        </is>
      </c>
      <c r="C150" s="129" t="inlineStr">
        <is>
          <t>Pn sr</t>
        </is>
      </c>
      <c r="D150" s="129" t="inlineStr">
        <is>
          <t>15 Pn sr</t>
        </is>
      </c>
      <c r="E150" s="129" t="n">
        <v>15</v>
      </c>
      <c r="F150" s="129" t="n">
        <v>12500</v>
      </c>
      <c r="G150" s="129" t="n">
        <v>187500</v>
      </c>
    </row>
    <row r="151">
      <c r="A151" s="129" t="n">
        <v>5</v>
      </c>
      <c r="B151" s="129" t="inlineStr">
        <is>
          <t>Carnes</t>
        </is>
      </c>
      <c r="C151" s="129" t="inlineStr">
        <is>
          <t>Gallina</t>
        </is>
      </c>
      <c r="D151" s="129" t="inlineStr">
        <is>
          <t>6 Gallinas criollas (27.1 kilos)</t>
        </is>
      </c>
      <c r="E151" s="129" t="n">
        <v>6</v>
      </c>
      <c r="F151" s="129" t="n">
        <v>51933.333333</v>
      </c>
      <c r="G151" s="129" t="n">
        <v>311600</v>
      </c>
    </row>
    <row r="152">
      <c r="A152" s="103" t="n">
        <v>6</v>
      </c>
      <c r="B152" s="104" t="inlineStr">
        <is>
          <t>Carnes</t>
        </is>
      </c>
      <c r="C152" s="104" t="inlineStr">
        <is>
          <t>Lengua de res</t>
        </is>
      </c>
      <c r="D152" s="104" t="inlineStr">
        <is>
          <t>LENGUA DE RES IMP X KL</t>
        </is>
      </c>
      <c r="E152" s="105" t="n">
        <v>20.3</v>
      </c>
      <c r="F152" s="106" t="n">
        <v>23900</v>
      </c>
      <c r="G152" s="106" t="n">
        <v>485170</v>
      </c>
    </row>
    <row r="153">
      <c r="A153" s="103" t="n">
        <v>6</v>
      </c>
      <c r="B153" s="104" t="inlineStr">
        <is>
          <t>Carnes</t>
        </is>
      </c>
      <c r="C153" s="104" t="inlineStr">
        <is>
          <t>Sobrebarriga delgada</t>
        </is>
      </c>
      <c r="D153" s="104" t="inlineStr">
        <is>
          <t>SOBREBARRIGA DELGADA</t>
        </is>
      </c>
      <c r="E153" s="105" t="n">
        <v>10.8</v>
      </c>
      <c r="F153" s="106" t="n">
        <v>34500</v>
      </c>
      <c r="G153" s="106" t="n">
        <v>372600</v>
      </c>
    </row>
    <row r="154">
      <c r="A154" s="103" t="n">
        <v>6</v>
      </c>
      <c r="B154" s="104" t="inlineStr">
        <is>
          <t>Carnes</t>
        </is>
      </c>
      <c r="C154" s="104" t="inlineStr">
        <is>
          <t>Sobaco</t>
        </is>
      </c>
      <c r="D154" s="104" t="inlineStr">
        <is>
          <t>SOBACO</t>
        </is>
      </c>
      <c r="E154" s="105" t="n">
        <v>9.5</v>
      </c>
      <c r="F154" s="106" t="n">
        <v>25900</v>
      </c>
      <c r="G154" s="106" t="n">
        <v>246050</v>
      </c>
    </row>
    <row r="155">
      <c r="A155" s="103" t="n">
        <v>6</v>
      </c>
      <c r="B155" s="104" t="inlineStr">
        <is>
          <t>Verduras</t>
        </is>
      </c>
      <c r="C155" s="104" t="inlineStr">
        <is>
          <t>Papa a la francesa paq 2.5 kl</t>
        </is>
      </c>
      <c r="D155" s="104" t="inlineStr">
        <is>
          <t>PAPA A LA FRANCESA FRITERS PAQ 2.5 KL</t>
        </is>
      </c>
      <c r="E155" s="107" t="n">
        <v>4</v>
      </c>
      <c r="F155" s="108" t="n">
        <v>15546.25</v>
      </c>
      <c r="G155" s="106" t="n">
        <v>62185</v>
      </c>
    </row>
    <row r="156">
      <c r="A156" s="103" t="n">
        <v>6</v>
      </c>
      <c r="B156" s="104" t="inlineStr">
        <is>
          <t>Carnes</t>
        </is>
      </c>
      <c r="C156" s="104" t="inlineStr">
        <is>
          <t>Caderita</t>
        </is>
      </c>
      <c r="D156" s="104" t="inlineStr">
        <is>
          <t>CADERITA DE RES</t>
        </is>
      </c>
      <c r="E156" s="105" t="n">
        <v>5.37</v>
      </c>
      <c r="F156" s="106" t="n">
        <v>33000</v>
      </c>
      <c r="G156" s="106" t="n">
        <v>177210</v>
      </c>
    </row>
    <row r="157">
      <c r="A157" s="103" t="n">
        <v>6</v>
      </c>
      <c r="B157" s="104" t="inlineStr">
        <is>
          <t>Bebidas</t>
        </is>
      </c>
      <c r="C157" s="104" t="inlineStr">
        <is>
          <t>Bloque media</t>
        </is>
      </c>
      <c r="D157" s="104" t="inlineStr">
        <is>
          <t>BLOQUE MEDIA</t>
        </is>
      </c>
      <c r="E157" s="107" t="n">
        <v>2</v>
      </c>
      <c r="F157" s="106" t="n">
        <v>9500</v>
      </c>
      <c r="G157" s="106" t="n">
        <v>19000</v>
      </c>
    </row>
    <row r="158">
      <c r="A158" s="103" t="n">
        <v>6</v>
      </c>
      <c r="B158" s="104" t="inlineStr">
        <is>
          <t>Bebidas</t>
        </is>
      </c>
      <c r="C158" s="104" t="inlineStr">
        <is>
          <t xml:space="preserve">Limonada coco </t>
        </is>
      </c>
      <c r="D158" s="104" t="inlineStr">
        <is>
          <t>LIMONADA DE COCO FUSIONADA X 10</t>
        </is>
      </c>
      <c r="E158" s="107" t="n">
        <v>3</v>
      </c>
      <c r="F158" s="106" t="n">
        <v>26000</v>
      </c>
      <c r="G158" s="106" t="n">
        <v>78000</v>
      </c>
    </row>
    <row r="159">
      <c r="A159" s="103" t="n">
        <v>6</v>
      </c>
      <c r="B159" s="104" t="inlineStr">
        <is>
          <t>Carnes</t>
        </is>
      </c>
      <c r="C159" s="104" t="inlineStr">
        <is>
          <t>Lomo de cerdo</t>
        </is>
      </c>
      <c r="D159" s="104" t="inlineStr">
        <is>
          <t>LOMO DE CERDO</t>
        </is>
      </c>
      <c r="E159" s="105" t="n">
        <v>16.75</v>
      </c>
      <c r="F159" s="106" t="n">
        <v>19500</v>
      </c>
      <c r="G159" s="106" t="n">
        <v>326625</v>
      </c>
    </row>
    <row r="160">
      <c r="A160" s="103" t="n">
        <v>6</v>
      </c>
      <c r="B160" s="104" t="inlineStr">
        <is>
          <t>Carnes</t>
        </is>
      </c>
      <c r="C160" s="104" t="inlineStr">
        <is>
          <t>Filete de pollo x 350</t>
        </is>
      </c>
      <c r="D160" s="104" t="inlineStr">
        <is>
          <t>FILETE DE POLLO X 350G</t>
        </is>
      </c>
      <c r="E160" s="105" t="n">
        <v>14.2</v>
      </c>
      <c r="F160" s="106" t="n">
        <v>18500</v>
      </c>
      <c r="G160" s="106" t="n">
        <v>262700</v>
      </c>
    </row>
    <row r="161">
      <c r="A161" s="103" t="n">
        <v>6</v>
      </c>
      <c r="B161" s="104" t="inlineStr">
        <is>
          <t>Carnes</t>
        </is>
      </c>
      <c r="C161" s="104" t="inlineStr">
        <is>
          <t>Costilla de cerdo especial</t>
        </is>
      </c>
      <c r="D161" s="104" t="inlineStr">
        <is>
          <t>COSTILLA CERDO ESP CR (BS) X 4 KG</t>
        </is>
      </c>
      <c r="E161" s="107" t="n">
        <v>20</v>
      </c>
      <c r="F161" s="106" t="n">
        <v>18200</v>
      </c>
      <c r="G161" s="106" t="n">
        <v>364000</v>
      </c>
    </row>
    <row r="162">
      <c r="A162" s="103" t="n">
        <v>6</v>
      </c>
      <c r="B162" s="104" t="inlineStr">
        <is>
          <t>Bebidas</t>
        </is>
      </c>
      <c r="C162" s="104" t="inlineStr">
        <is>
          <t>Coca cola zero 400ml pet(12)kz</t>
        </is>
      </c>
      <c r="D162" s="104" t="inlineStr">
        <is>
          <t>COCA COLA ZERO 400ML PET(12)KZ</t>
        </is>
      </c>
      <c r="E162" s="107" t="n">
        <v>3</v>
      </c>
      <c r="F162" s="108" t="n">
        <v>19411.67</v>
      </c>
      <c r="G162" s="106" t="n">
        <v>58235</v>
      </c>
    </row>
    <row r="163">
      <c r="A163" s="103" t="n">
        <v>6</v>
      </c>
      <c r="B163" s="104" t="inlineStr">
        <is>
          <t>Bebidas</t>
        </is>
      </c>
      <c r="C163" s="104" t="inlineStr">
        <is>
          <t>Coca cola zero 350</t>
        </is>
      </c>
      <c r="D163" s="104" t="inlineStr">
        <is>
          <t>COCA COLA ZERO 350ML VR(30)KZ</t>
        </is>
      </c>
      <c r="E163" s="107" t="n">
        <v>1</v>
      </c>
      <c r="F163" s="106" t="n">
        <v>52521</v>
      </c>
      <c r="G163" s="106" t="n">
        <v>52521</v>
      </c>
    </row>
    <row r="164">
      <c r="A164" s="103" t="n">
        <v>6</v>
      </c>
      <c r="B164" s="104" t="inlineStr">
        <is>
          <t>Bebidas</t>
        </is>
      </c>
      <c r="C164" s="104" t="inlineStr">
        <is>
          <t>Brisa 600 ml</t>
        </is>
      </c>
      <c r="D164" s="104" t="inlineStr">
        <is>
          <t>AGUA BRISA PET 600ML (24)</t>
        </is>
      </c>
      <c r="E164" s="107" t="n">
        <v>1</v>
      </c>
      <c r="F164" s="106" t="n">
        <v>25600</v>
      </c>
      <c r="G164" s="106" t="n">
        <v>25600</v>
      </c>
    </row>
    <row r="165">
      <c r="A165" s="103" t="n">
        <v>6</v>
      </c>
      <c r="B165" s="104" t="inlineStr">
        <is>
          <t>Bebidas</t>
        </is>
      </c>
      <c r="C165" s="104" t="inlineStr">
        <is>
          <t>Coca cola 350</t>
        </is>
      </c>
      <c r="D165" s="104" t="inlineStr">
        <is>
          <t>COCA-COLA 350ML VIR(30)</t>
        </is>
      </c>
      <c r="E165" s="107" t="n">
        <v>1</v>
      </c>
      <c r="F165" s="106" t="n">
        <v>46521</v>
      </c>
      <c r="G165" s="106" t="n">
        <v>46521</v>
      </c>
    </row>
    <row r="166">
      <c r="A166" s="129" t="n">
        <v>6</v>
      </c>
      <c r="B166" s="129" t="inlineStr">
        <is>
          <t>Grano</t>
        </is>
      </c>
      <c r="C166" s="129" t="inlineStr">
        <is>
          <t>Arepas</t>
        </is>
      </c>
      <c r="D166" s="129" t="inlineStr">
        <is>
          <t>400 arepas</t>
        </is>
      </c>
      <c r="E166" s="129" t="n">
        <v>400</v>
      </c>
      <c r="F166" s="129" t="n">
        <v>150</v>
      </c>
      <c r="G166" s="129" t="n">
        <v>60000</v>
      </c>
    </row>
    <row r="167">
      <c r="A167" s="129" t="n">
        <v>6</v>
      </c>
      <c r="B167" s="129" t="inlineStr">
        <is>
          <t>Desechables</t>
        </is>
      </c>
      <c r="C167" s="129" t="inlineStr">
        <is>
          <t>Resma de papel</t>
        </is>
      </c>
      <c r="D167" s="129" t="inlineStr">
        <is>
          <t>2 talonarios facturacion</t>
        </is>
      </c>
      <c r="E167" s="129" t="n">
        <v>2</v>
      </c>
      <c r="F167" s="129" t="n">
        <v>2500</v>
      </c>
      <c r="G167" s="129" t="n">
        <v>5000</v>
      </c>
    </row>
    <row r="168">
      <c r="A168" s="129" t="n">
        <v>6</v>
      </c>
      <c r="B168" s="129" t="inlineStr">
        <is>
          <t>Bebidas</t>
        </is>
      </c>
      <c r="C168" s="129" t="inlineStr">
        <is>
          <t>Bolsa 5kl tubular</t>
        </is>
      </c>
      <c r="D168" s="129" t="inlineStr">
        <is>
          <t>7709046020616 - BOLSA X 5 KL TUBULAR</t>
        </is>
      </c>
      <c r="E168" s="129" t="n">
        <v>4</v>
      </c>
      <c r="F168" s="129" t="n">
        <v>5000</v>
      </c>
      <c r="G168" s="129" t="n">
        <v>20000</v>
      </c>
    </row>
    <row r="169">
      <c r="A169" s="129" t="n">
        <v>6</v>
      </c>
      <c r="B169" s="129" t="inlineStr">
        <is>
          <t>Servicios</t>
        </is>
      </c>
      <c r="C169" s="129" t="inlineStr">
        <is>
          <t>Acopi</t>
        </is>
      </c>
      <c r="D169" s="129" t="inlineStr">
        <is>
          <t>Acopi</t>
        </is>
      </c>
      <c r="E169" s="129" t="n">
        <v>1</v>
      </c>
      <c r="F169" s="129" t="n">
        <v>30000</v>
      </c>
      <c r="G169" s="129" t="n">
        <v>30000</v>
      </c>
    </row>
    <row r="170">
      <c r="A170" s="129" t="n">
        <v>6</v>
      </c>
      <c r="B170" s="129" t="inlineStr">
        <is>
          <t>Desechables</t>
        </is>
      </c>
      <c r="C170" s="129" t="inlineStr">
        <is>
          <t>Mazamorra</t>
        </is>
      </c>
      <c r="D170" s="129" t="inlineStr">
        <is>
          <t>Mazamorra</t>
        </is>
      </c>
      <c r="E170" s="129" t="n">
        <v>1</v>
      </c>
      <c r="F170" s="129" t="n">
        <v>20000</v>
      </c>
      <c r="G170" s="129" t="n">
        <v>20000</v>
      </c>
    </row>
    <row r="171">
      <c r="A171" s="129" t="n">
        <v>6</v>
      </c>
      <c r="B171" s="129" t="inlineStr">
        <is>
          <t>Desechables</t>
        </is>
      </c>
      <c r="C171" s="129" t="inlineStr">
        <is>
          <t>Desengrasante</t>
        </is>
      </c>
      <c r="D171" s="129" t="inlineStr">
        <is>
          <t>Nodor Litro (desengrasante/desinfectante)</t>
        </is>
      </c>
      <c r="E171" s="129" t="n">
        <v>1</v>
      </c>
      <c r="F171" s="129" t="n">
        <v>89900</v>
      </c>
      <c r="G171" s="129" t="n">
        <v>89900</v>
      </c>
    </row>
    <row r="172">
      <c r="A172" s="129" t="n">
        <v>6</v>
      </c>
      <c r="B172" s="129" t="inlineStr">
        <is>
          <t>Verduras</t>
        </is>
      </c>
      <c r="C172" s="129" t="inlineStr">
        <is>
          <t>Platano verde</t>
        </is>
      </c>
      <c r="D172" s="129" t="inlineStr">
        <is>
          <t>24 Kg Platano verde (La Bodega del Platano)</t>
        </is>
      </c>
      <c r="E172" s="129" t="n">
        <v>24</v>
      </c>
      <c r="F172" s="129" t="n">
        <v>2000</v>
      </c>
      <c r="G172" s="129" t="n">
        <v>48000</v>
      </c>
    </row>
    <row r="173">
      <c r="A173" s="103" t="n">
        <v>7</v>
      </c>
      <c r="B173" s="104" t="inlineStr">
        <is>
          <t>Carnes</t>
        </is>
      </c>
      <c r="C173" s="104" t="inlineStr">
        <is>
          <t>Camaron precocido</t>
        </is>
      </c>
      <c r="D173" s="104" t="inlineStr">
        <is>
          <t>CAMARON DE CULTIVO PRECOCIDO 91-110P</t>
        </is>
      </c>
      <c r="E173" s="105" t="n">
        <v>20.2</v>
      </c>
      <c r="F173" s="106" t="n">
        <v>22900</v>
      </c>
      <c r="G173" s="106" t="n">
        <v>462580</v>
      </c>
    </row>
    <row r="174">
      <c r="A174" s="103" t="n">
        <v>7</v>
      </c>
      <c r="B174" s="104" t="inlineStr">
        <is>
          <t>Carnes</t>
        </is>
      </c>
      <c r="C174" s="104" t="inlineStr">
        <is>
          <t>Sobaco</t>
        </is>
      </c>
      <c r="D174" s="104" t="inlineStr">
        <is>
          <t>SOBACO</t>
        </is>
      </c>
      <c r="E174" s="105" t="n">
        <v>24.71</v>
      </c>
      <c r="F174" s="106" t="n">
        <v>25900</v>
      </c>
      <c r="G174" s="106" t="n">
        <v>639989</v>
      </c>
    </row>
    <row r="175">
      <c r="A175" s="103" t="n">
        <v>7</v>
      </c>
      <c r="B175" s="104" t="inlineStr">
        <is>
          <t>Carnes</t>
        </is>
      </c>
      <c r="C175" s="104" t="inlineStr">
        <is>
          <t>Punta de anca</t>
        </is>
      </c>
      <c r="D175" s="104" t="inlineStr">
        <is>
          <t>PUNTA DE ANCA IMP PORC. PARRILLA</t>
        </is>
      </c>
      <c r="E175" s="107" t="n">
        <v>23</v>
      </c>
      <c r="F175" s="106" t="n">
        <v>44000</v>
      </c>
      <c r="G175" s="106" t="n">
        <v>1012000</v>
      </c>
    </row>
    <row r="176">
      <c r="A176" s="103" t="n">
        <v>7</v>
      </c>
      <c r="B176" s="104" t="inlineStr">
        <is>
          <t>Carnes</t>
        </is>
      </c>
      <c r="C176" s="104" t="inlineStr">
        <is>
          <t>Lomo de caracho</t>
        </is>
      </c>
      <c r="D176" s="104" t="inlineStr">
        <is>
          <t>LOMO CARACHO PORCIONADO PARRILLA</t>
        </is>
      </c>
      <c r="E176" s="107" t="n">
        <v>21</v>
      </c>
      <c r="F176" s="106" t="n">
        <v>44000</v>
      </c>
      <c r="G176" s="106" t="n">
        <v>924000</v>
      </c>
    </row>
    <row r="177">
      <c r="A177" s="103" t="n">
        <v>7</v>
      </c>
      <c r="B177" s="104" t="inlineStr">
        <is>
          <t>Verduras</t>
        </is>
      </c>
      <c r="C177" s="104" t="inlineStr">
        <is>
          <t>Papa a la francesa paq 2.5 kl</t>
        </is>
      </c>
      <c r="D177" s="104" t="inlineStr">
        <is>
          <t>PAPA A LA FRANCESA FRITERS PAQ 2.5 KL</t>
        </is>
      </c>
      <c r="E177" s="107" t="n">
        <v>36</v>
      </c>
      <c r="F177" s="108" t="n">
        <v>15546.22</v>
      </c>
      <c r="G177" s="106" t="n">
        <v>559664</v>
      </c>
    </row>
    <row r="178">
      <c r="A178" s="103" t="n">
        <v>7</v>
      </c>
      <c r="B178" s="104" t="inlineStr">
        <is>
          <t>Carnes</t>
        </is>
      </c>
      <c r="C178" s="104" t="inlineStr">
        <is>
          <t>Muchacho res</t>
        </is>
      </c>
      <c r="D178" s="104" t="inlineStr">
        <is>
          <t>MUCHACHO DE RES</t>
        </is>
      </c>
      <c r="E178" s="105" t="n">
        <v>18.5</v>
      </c>
      <c r="F178" s="106" t="n">
        <v>29500</v>
      </c>
      <c r="G178" s="106" t="n">
        <v>545750</v>
      </c>
    </row>
    <row r="179">
      <c r="A179" s="103" t="n">
        <v>7</v>
      </c>
      <c r="B179" s="104" t="inlineStr">
        <is>
          <t>Carnes</t>
        </is>
      </c>
      <c r="C179" s="104" t="inlineStr">
        <is>
          <t>Tocineta barril</t>
        </is>
      </c>
      <c r="D179" s="104" t="inlineStr">
        <is>
          <t>TOCINETA BARRIL</t>
        </is>
      </c>
      <c r="E179" s="105" t="n">
        <v>64.65000000000001</v>
      </c>
      <c r="F179" s="106" t="n">
        <v>21900</v>
      </c>
      <c r="G179" s="106" t="n">
        <v>1415835</v>
      </c>
    </row>
    <row r="180">
      <c r="A180" s="103" t="n">
        <v>7</v>
      </c>
      <c r="B180" s="104" t="inlineStr">
        <is>
          <t>Carnes</t>
        </is>
      </c>
      <c r="C180" s="104" t="inlineStr">
        <is>
          <t>Costilla de cerdo especial</t>
        </is>
      </c>
      <c r="D180" s="104" t="inlineStr">
        <is>
          <t>COSTILLA DE CERDO IBP 244M</t>
        </is>
      </c>
      <c r="E180" s="105" t="n">
        <v>13.3</v>
      </c>
      <c r="F180" s="106" t="n">
        <v>15400</v>
      </c>
      <c r="G180" s="106" t="n">
        <v>204820</v>
      </c>
    </row>
    <row r="181">
      <c r="A181" s="109" t="n">
        <v>7</v>
      </c>
      <c r="B181" s="110" t="inlineStr">
        <is>
          <t>Grano</t>
        </is>
      </c>
      <c r="C181" s="110" t="inlineStr">
        <is>
          <t>Leche de coco</t>
        </is>
      </c>
      <c r="D181" s="110" t="inlineStr">
        <is>
          <t>LECHE COCO</t>
        </is>
      </c>
      <c r="E181" s="111" t="n">
        <v>6</v>
      </c>
      <c r="F181" s="112" t="n">
        <v>21000</v>
      </c>
      <c r="G181" s="112" t="n">
        <v>126000</v>
      </c>
    </row>
    <row r="182">
      <c r="A182" s="109" t="n">
        <v>7</v>
      </c>
      <c r="B182" s="110" t="inlineStr">
        <is>
          <t>Desechables</t>
        </is>
      </c>
      <c r="C182" s="110" t="inlineStr">
        <is>
          <t>Esponja de brillo</t>
        </is>
      </c>
      <c r="D182" s="110" t="inlineStr">
        <is>
          <t>ESPIRAL ACERO LIMPIAYA</t>
        </is>
      </c>
      <c r="E182" s="111" t="n">
        <v>4</v>
      </c>
      <c r="F182" s="112" t="n">
        <v>2600</v>
      </c>
      <c r="G182" s="112" t="n">
        <v>10400</v>
      </c>
    </row>
    <row r="183">
      <c r="A183" s="103" t="n">
        <v>8</v>
      </c>
      <c r="B183" s="104" t="inlineStr">
        <is>
          <t>Grano</t>
        </is>
      </c>
      <c r="C183" s="104" t="inlineStr">
        <is>
          <t>Arroz</t>
        </is>
      </c>
      <c r="D183" s="104" t="inlineStr">
        <is>
          <t>ARROZ PROARROZ X 50 KL</t>
        </is>
      </c>
      <c r="E183" s="107" t="n">
        <v>2</v>
      </c>
      <c r="F183" s="106" t="n">
        <v>252000</v>
      </c>
      <c r="G183" s="106" t="n">
        <v>504000</v>
      </c>
    </row>
    <row r="184">
      <c r="A184" s="103" t="n">
        <v>8</v>
      </c>
      <c r="B184" s="104" t="inlineStr">
        <is>
          <t>Desechables</t>
        </is>
      </c>
      <c r="C184" s="104" t="inlineStr">
        <is>
          <t>Mercancias Varias Excentas</t>
        </is>
      </c>
      <c r="D184" s="104" t="inlineStr">
        <is>
          <t>MERCANCIAS VARIAS EXCENTAS</t>
        </is>
      </c>
      <c r="E184" s="107" t="n">
        <v>1</v>
      </c>
      <c r="F184" s="106" t="n">
        <v>76700</v>
      </c>
      <c r="G184" s="106" t="n">
        <v>76700</v>
      </c>
    </row>
    <row r="185">
      <c r="A185" s="103" t="n">
        <v>8</v>
      </c>
      <c r="B185" s="104" t="inlineStr">
        <is>
          <t>Grano</t>
        </is>
      </c>
      <c r="C185" s="104" t="inlineStr">
        <is>
          <t>Manteca</t>
        </is>
      </c>
      <c r="D185" s="104" t="inlineStr">
        <is>
          <t>MANTECA BLOQUE X 15KL</t>
        </is>
      </c>
      <c r="E185" s="107" t="n">
        <v>1</v>
      </c>
      <c r="F185" s="106" t="n">
        <v>130000</v>
      </c>
      <c r="G185" s="106" t="n">
        <v>130000</v>
      </c>
    </row>
    <row r="186">
      <c r="A186" s="103" t="n">
        <v>8</v>
      </c>
      <c r="B186" s="104" t="inlineStr">
        <is>
          <t>Bebidas</t>
        </is>
      </c>
      <c r="C186" s="104" t="inlineStr">
        <is>
          <t>Pony malta x caja</t>
        </is>
      </c>
      <c r="D186" s="104" t="inlineStr">
        <is>
          <t>PONY MALTA*330ml PET</t>
        </is>
      </c>
      <c r="E186" s="107" t="n">
        <v>2</v>
      </c>
      <c r="F186" s="106" t="n">
        <v>60900</v>
      </c>
      <c r="G186" s="106" t="n">
        <v>121800</v>
      </c>
    </row>
    <row r="187">
      <c r="A187" s="103" t="n">
        <v>8</v>
      </c>
      <c r="B187" s="104" t="inlineStr">
        <is>
          <t>Bebidas</t>
        </is>
      </c>
      <c r="C187" s="104" t="inlineStr">
        <is>
          <t>Cerv Stel Artois</t>
        </is>
      </c>
      <c r="D187" s="104" t="inlineStr">
        <is>
          <t>CERV.STEL ARTOIS*300ml BOT</t>
        </is>
      </c>
      <c r="E187" s="107" t="n">
        <v>1</v>
      </c>
      <c r="F187" s="106" t="n">
        <v>92200</v>
      </c>
      <c r="G187" s="106" t="n">
        <v>92200</v>
      </c>
    </row>
    <row r="188">
      <c r="A188" s="103" t="n">
        <v>8</v>
      </c>
      <c r="B188" s="104" t="inlineStr">
        <is>
          <t>Bebidas</t>
        </is>
      </c>
      <c r="C188" s="104" t="inlineStr">
        <is>
          <t>Bolsa 5kl tubular</t>
        </is>
      </c>
      <c r="D188" s="104" t="inlineStr">
        <is>
          <t>BOLSA X 5 KL TUBULAR</t>
        </is>
      </c>
      <c r="E188" s="107" t="n">
        <v>4</v>
      </c>
      <c r="F188" s="106" t="n">
        <v>5000</v>
      </c>
      <c r="G188" s="106" t="n">
        <v>20000</v>
      </c>
    </row>
    <row r="189">
      <c r="A189" s="103" t="n">
        <v>8</v>
      </c>
      <c r="B189" s="104" t="inlineStr">
        <is>
          <t>Carnes</t>
        </is>
      </c>
      <c r="C189" s="104" t="inlineStr">
        <is>
          <t>Filete de pollo x 350</t>
        </is>
      </c>
      <c r="D189" s="104" t="inlineStr">
        <is>
          <t>FILETE DE POLLO X 350G</t>
        </is>
      </c>
      <c r="E189" s="105" t="n">
        <v>15.6</v>
      </c>
      <c r="F189" s="106" t="n">
        <v>18500</v>
      </c>
      <c r="G189" s="106" t="n">
        <v>288600</v>
      </c>
    </row>
    <row r="190">
      <c r="A190" s="129" t="n">
        <v>8</v>
      </c>
      <c r="B190" s="129" t="inlineStr">
        <is>
          <t>Bebidas</t>
        </is>
      </c>
      <c r="C190" s="129" t="inlineStr">
        <is>
          <t>Bloque media</t>
        </is>
      </c>
      <c r="D190" s="129" t="inlineStr">
        <is>
          <t>25 - BLOQUE MEDIA</t>
        </is>
      </c>
      <c r="E190" s="129" t="n">
        <v>2</v>
      </c>
      <c r="F190" s="129" t="n">
        <v>9500</v>
      </c>
      <c r="G190" s="129" t="n">
        <v>19000</v>
      </c>
    </row>
    <row r="191">
      <c r="A191" s="129" t="n">
        <v>8</v>
      </c>
      <c r="B191" s="129" t="inlineStr">
        <is>
          <t>Bebidas</t>
        </is>
      </c>
      <c r="C191" s="129" t="inlineStr">
        <is>
          <t>Bolsa 5kl tubular</t>
        </is>
      </c>
      <c r="D191" s="129" t="inlineStr">
        <is>
          <t>7709046020616 - BOLSA X 5 KL TUBULAR</t>
        </is>
      </c>
      <c r="E191" s="129" t="n">
        <v>2</v>
      </c>
      <c r="F191" s="129" t="n">
        <v>5000</v>
      </c>
      <c r="G191" s="129" t="n">
        <v>10000</v>
      </c>
    </row>
    <row r="192">
      <c r="A192" s="129" t="n">
        <v>8</v>
      </c>
      <c r="B192" s="129" t="inlineStr">
        <is>
          <t>Grano</t>
        </is>
      </c>
      <c r="C192" s="129" t="inlineStr">
        <is>
          <t>Arepas</t>
        </is>
      </c>
      <c r="D192" s="129" t="inlineStr">
        <is>
          <t>900 arepas</t>
        </is>
      </c>
      <c r="E192" s="129" t="n">
        <v>900</v>
      </c>
      <c r="F192" s="129" t="n">
        <v>150</v>
      </c>
      <c r="G192" s="129" t="n">
        <v>135000</v>
      </c>
    </row>
    <row r="193">
      <c r="A193" s="129" t="n">
        <v>8</v>
      </c>
      <c r="B193" s="129" t="inlineStr">
        <is>
          <t>Verduras</t>
        </is>
      </c>
      <c r="C193" s="129" t="inlineStr">
        <is>
          <t>Yuca pelada</t>
        </is>
      </c>
      <c r="D193" s="129" t="inlineStr">
        <is>
          <t>11 kl yuca pelada</t>
        </is>
      </c>
      <c r="E193" s="129" t="n">
        <v>11</v>
      </c>
      <c r="F193" s="129" t="n">
        <v>4500</v>
      </c>
      <c r="G193" s="129" t="n">
        <v>49500</v>
      </c>
    </row>
    <row r="194">
      <c r="A194" s="129" t="n">
        <v>8</v>
      </c>
      <c r="B194" s="129" t="inlineStr">
        <is>
          <t>Bebidas</t>
        </is>
      </c>
      <c r="C194" s="129" t="inlineStr">
        <is>
          <t>Pany malta</t>
        </is>
      </c>
      <c r="D194" s="129" t="inlineStr">
        <is>
          <t>000014 PONY MALTA*330ml PET (2 cjas)</t>
        </is>
      </c>
      <c r="E194" s="129" t="n">
        <v>2</v>
      </c>
      <c r="F194" s="129" t="n">
        <v>60900</v>
      </c>
      <c r="G194" s="129" t="n">
        <v>121800</v>
      </c>
    </row>
    <row r="195">
      <c r="A195" s="129" t="n">
        <v>8</v>
      </c>
      <c r="B195" s="129" t="inlineStr">
        <is>
          <t>Bebidas</t>
        </is>
      </c>
      <c r="C195" s="129" t="inlineStr">
        <is>
          <t>Cerv Stel Artois</t>
        </is>
      </c>
      <c r="D195" s="129" t="inlineStr">
        <is>
          <t>008541 CERV.STEL ARTOIS*300ml BOT (1 cja)</t>
        </is>
      </c>
      <c r="E195" s="129" t="n">
        <v>1</v>
      </c>
      <c r="F195" s="129" t="n">
        <v>92200</v>
      </c>
      <c r="G195" s="129" t="n">
        <v>92200</v>
      </c>
    </row>
    <row r="196">
      <c r="A196" s="103" t="n">
        <v>9</v>
      </c>
      <c r="B196" s="104" t="inlineStr">
        <is>
          <t>Carnes</t>
        </is>
      </c>
      <c r="C196" s="104" t="inlineStr">
        <is>
          <t>Costilla san luis jr</t>
        </is>
      </c>
      <c r="D196" s="104" t="inlineStr">
        <is>
          <t>COSTILLA SAN LUIS JUNIOR T/M</t>
        </is>
      </c>
      <c r="E196" s="107" t="n">
        <v>14</v>
      </c>
      <c r="F196" s="106" t="n">
        <v>21900</v>
      </c>
      <c r="G196" s="106" t="n">
        <v>306600</v>
      </c>
    </row>
    <row r="197">
      <c r="A197" s="129" t="n">
        <v>9</v>
      </c>
      <c r="B197" s="129" t="inlineStr">
        <is>
          <t>Grano</t>
        </is>
      </c>
      <c r="C197" s="129" t="inlineStr">
        <is>
          <t>Aceite de soya</t>
        </is>
      </c>
      <c r="D197" s="129" t="inlineStr">
        <is>
          <t>ACEITE DE SOYA (2x 900ml/bot)</t>
        </is>
      </c>
      <c r="E197" s="129" t="n">
        <v>2</v>
      </c>
      <c r="F197" s="129" t="n">
        <v>22990</v>
      </c>
      <c r="G197" s="129" t="n">
        <v>45980</v>
      </c>
    </row>
    <row r="198">
      <c r="A198" s="129" t="n">
        <v>9</v>
      </c>
      <c r="B198" s="129" t="inlineStr">
        <is>
          <t>Carnes</t>
        </is>
      </c>
      <c r="C198" s="129" t="inlineStr">
        <is>
          <t>Pezua</t>
        </is>
      </c>
      <c r="D198" s="129" t="inlineStr">
        <is>
          <t>PEZUNA CERDO A GRANEL (3.375kg + 3.370kg)</t>
        </is>
      </c>
      <c r="E198" s="129" t="n">
        <v>6.745</v>
      </c>
      <c r="F198" s="129" t="n">
        <v>9700</v>
      </c>
      <c r="G198" s="129" t="n">
        <v>65427</v>
      </c>
    </row>
    <row r="199">
      <c r="A199" s="129" t="n">
        <v>9</v>
      </c>
      <c r="B199" s="129" t="inlineStr">
        <is>
          <t>Desechables</t>
        </is>
      </c>
      <c r="C199" s="129" t="inlineStr">
        <is>
          <t>Bolsa canaveral 100% material recicl f</t>
        </is>
      </c>
      <c r="D199" s="129" t="inlineStr">
        <is>
          <t>BOLSA CANAVERAL 100% MATERIAL RECICL P</t>
        </is>
      </c>
      <c r="E199" s="129" t="n">
        <v>1</v>
      </c>
      <c r="F199" s="129" t="n">
        <v>300</v>
      </c>
      <c r="G199" s="129" t="n">
        <v>300</v>
      </c>
    </row>
    <row r="200">
      <c r="A200" s="129" t="n">
        <v>9</v>
      </c>
      <c r="B200" s="129" t="inlineStr">
        <is>
          <t>Carnes</t>
        </is>
      </c>
      <c r="C200" s="129" t="inlineStr">
        <is>
          <t>Espinazo de cerdo</t>
        </is>
      </c>
      <c r="D200" s="129" t="inlineStr">
        <is>
          <t>ESPINAZO CERDO A GRANEL (2.110kg + 3.140kg)</t>
        </is>
      </c>
      <c r="E200" s="129" t="n">
        <v>5.25</v>
      </c>
      <c r="F200" s="129" t="n">
        <v>9800</v>
      </c>
      <c r="G200" s="129" t="n">
        <v>51450</v>
      </c>
    </row>
    <row r="201">
      <c r="A201" s="129" t="n">
        <v>9</v>
      </c>
      <c r="B201" s="129" t="inlineStr">
        <is>
          <t>Desechables</t>
        </is>
      </c>
      <c r="C201" s="129" t="inlineStr">
        <is>
          <t>Bolsa canaveral 100% material recicl f</t>
        </is>
      </c>
      <c r="D201" s="129" t="inlineStr">
        <is>
          <t>BOLSA CANAVERAL 100% MATERIAL RECICL P</t>
        </is>
      </c>
      <c r="E201" s="129" t="n">
        <v>1</v>
      </c>
      <c r="F201" s="129" t="n">
        <v>300</v>
      </c>
      <c r="G201" s="129" t="n">
        <v>300</v>
      </c>
    </row>
    <row r="202">
      <c r="A202" s="129" t="n">
        <v>9</v>
      </c>
      <c r="B202" s="129" t="inlineStr">
        <is>
          <t>Servicios</t>
        </is>
      </c>
      <c r="C202" s="129" t="inlineStr">
        <is>
          <t>Pago turnos</t>
        </is>
      </c>
      <c r="D202" s="129" t="inlineStr">
        <is>
          <t>Pago Eliana</t>
        </is>
      </c>
      <c r="E202" s="129" t="n">
        <v>1</v>
      </c>
      <c r="F202" s="129" t="n">
        <v>462000</v>
      </c>
      <c r="G202" s="129" t="n">
        <v>462000</v>
      </c>
    </row>
    <row r="203">
      <c r="A203" s="129" t="n">
        <v>9</v>
      </c>
      <c r="B203" s="129" t="inlineStr">
        <is>
          <t>Verduras</t>
        </is>
      </c>
      <c r="C203" s="129" t="inlineStr">
        <is>
          <t>Aguacate</t>
        </is>
      </c>
      <c r="D203" s="129" t="inlineStr">
        <is>
          <t>20 - Aguacates</t>
        </is>
      </c>
      <c r="E203" s="129" t="n">
        <v>20</v>
      </c>
      <c r="F203" s="129" t="n">
        <v>7000</v>
      </c>
      <c r="G203" s="129" t="n">
        <v>140000</v>
      </c>
    </row>
    <row r="204">
      <c r="A204" s="129" t="n">
        <v>9</v>
      </c>
      <c r="B204" s="129" t="inlineStr">
        <is>
          <t>Desechables</t>
        </is>
      </c>
      <c r="C204" s="129" t="inlineStr">
        <is>
          <t>Mazamorra</t>
        </is>
      </c>
      <c r="D204" s="129" t="inlineStr">
        <is>
          <t>Mazamorra</t>
        </is>
      </c>
      <c r="E204" s="129" t="n">
        <v>1</v>
      </c>
      <c r="F204" s="129" t="n">
        <v>20000</v>
      </c>
      <c r="G204" s="129" t="n">
        <v>20000</v>
      </c>
    </row>
    <row r="205">
      <c r="A205" s="129" t="n">
        <v>9</v>
      </c>
      <c r="B205" s="129" t="inlineStr">
        <is>
          <t>Bebidas</t>
        </is>
      </c>
      <c r="C205" s="129" t="inlineStr">
        <is>
          <t>Bloque media</t>
        </is>
      </c>
      <c r="D205" s="129" t="inlineStr">
        <is>
          <t>25 - BLOQUE MEDIA</t>
        </is>
      </c>
      <c r="E205" s="129" t="n">
        <v>2</v>
      </c>
      <c r="F205" s="129" t="n">
        <v>9500</v>
      </c>
      <c r="G205" s="129" t="n">
        <v>19000</v>
      </c>
    </row>
    <row r="206">
      <c r="A206" s="129" t="n">
        <v>9</v>
      </c>
      <c r="B206" s="129" t="inlineStr">
        <is>
          <t>Bebidas</t>
        </is>
      </c>
      <c r="C206" s="129" t="inlineStr">
        <is>
          <t>Bolsa 5kl tubular</t>
        </is>
      </c>
      <c r="D206" s="129" t="inlineStr">
        <is>
          <t>7709046020616 - BOLSA X 5 KL TUBULAR</t>
        </is>
      </c>
      <c r="E206" s="129" t="n">
        <v>4</v>
      </c>
      <c r="F206" s="129" t="n">
        <v>5000</v>
      </c>
      <c r="G206" s="129" t="n">
        <v>20000</v>
      </c>
    </row>
    <row r="207">
      <c r="A207" s="103" t="n">
        <v>10</v>
      </c>
      <c r="B207" s="104" t="inlineStr">
        <is>
          <t>Bebidas</t>
        </is>
      </c>
      <c r="C207" s="104" t="inlineStr">
        <is>
          <t>Coca-cola 400 ml pet (24)</t>
        </is>
      </c>
      <c r="D207" s="104" t="inlineStr">
        <is>
          <t>COCA-COLA 400ML PET (12)</t>
        </is>
      </c>
      <c r="E207" s="107" t="n">
        <v>3</v>
      </c>
      <c r="F207" s="108" t="n">
        <v>22467.33</v>
      </c>
      <c r="G207" s="106" t="n">
        <v>67402</v>
      </c>
    </row>
    <row r="208">
      <c r="A208" s="103" t="n">
        <v>10</v>
      </c>
      <c r="B208" s="104" t="inlineStr">
        <is>
          <t>Bebidas</t>
        </is>
      </c>
      <c r="C208" s="104" t="inlineStr">
        <is>
          <t>Coca cola 350</t>
        </is>
      </c>
      <c r="D208" s="104" t="inlineStr">
        <is>
          <t>COCA-COLA 350ML VIR(30)</t>
        </is>
      </c>
      <c r="E208" s="107" t="n">
        <v>1</v>
      </c>
      <c r="F208" s="106" t="n">
        <v>46521</v>
      </c>
      <c r="G208" s="106" t="n">
        <v>46521</v>
      </c>
    </row>
    <row r="209">
      <c r="A209" s="103" t="n">
        <v>10</v>
      </c>
      <c r="B209" s="104" t="inlineStr">
        <is>
          <t>Bebidas</t>
        </is>
      </c>
      <c r="C209" s="104" t="inlineStr">
        <is>
          <t>Brisa 600 ml</t>
        </is>
      </c>
      <c r="D209" s="104" t="inlineStr">
        <is>
          <t>AGUA BRISA PET 600ML (24)</t>
        </is>
      </c>
      <c r="E209" s="107" t="n">
        <v>1</v>
      </c>
      <c r="F209" s="106" t="n">
        <v>25600</v>
      </c>
      <c r="G209" s="106" t="n">
        <v>25600</v>
      </c>
    </row>
    <row r="210">
      <c r="A210" s="103" t="n">
        <v>10</v>
      </c>
      <c r="B210" s="104" t="inlineStr">
        <is>
          <t>Bebidas</t>
        </is>
      </c>
      <c r="C210" s="104" t="inlineStr">
        <is>
          <t xml:space="preserve">Agua con gas </t>
        </is>
      </c>
      <c r="D210" s="104" t="inlineStr">
        <is>
          <t>AGUA BRISA GAS PET 600ML (24)</t>
        </is>
      </c>
      <c r="E210" s="107" t="n">
        <v>2</v>
      </c>
      <c r="F210" s="106" t="n">
        <v>25600</v>
      </c>
      <c r="G210" s="106" t="n">
        <v>51200</v>
      </c>
    </row>
    <row r="211">
      <c r="A211" s="103" t="n">
        <v>10</v>
      </c>
      <c r="B211" s="104" t="inlineStr">
        <is>
          <t>Bebidas</t>
        </is>
      </c>
      <c r="C211" s="104" t="inlineStr">
        <is>
          <t>Coca cola 3 litros</t>
        </is>
      </c>
      <c r="D211" s="104" t="inlineStr">
        <is>
          <t>COCA COLA 3LT PET(6) Nvo</t>
        </is>
      </c>
      <c r="E211" s="107" t="n">
        <v>1</v>
      </c>
      <c r="F211" s="106" t="n">
        <v>42269</v>
      </c>
      <c r="G211" s="106" t="n">
        <v>42269</v>
      </c>
    </row>
    <row r="212">
      <c r="A212" s="103" t="n">
        <v>10</v>
      </c>
      <c r="B212" s="104" t="inlineStr">
        <is>
          <t>Bebidas</t>
        </is>
      </c>
      <c r="C212" s="104" t="inlineStr">
        <is>
          <t>Bloque media</t>
        </is>
      </c>
      <c r="D212" s="104" t="inlineStr">
        <is>
          <t>BLOQUE MEDIA</t>
        </is>
      </c>
      <c r="E212" s="107" t="n">
        <v>2</v>
      </c>
      <c r="F212" s="106" t="n">
        <v>9500</v>
      </c>
      <c r="G212" s="106" t="n">
        <v>19000</v>
      </c>
    </row>
    <row r="213">
      <c r="A213" s="103" t="n">
        <v>10</v>
      </c>
      <c r="B213" s="104" t="inlineStr">
        <is>
          <t>Bebidas</t>
        </is>
      </c>
      <c r="C213" s="104" t="inlineStr">
        <is>
          <t>Bolsa 5kl tubular</t>
        </is>
      </c>
      <c r="D213" s="104" t="inlineStr">
        <is>
          <t>BOLSA X 5 KL TUBULAR</t>
        </is>
      </c>
      <c r="E213" s="107" t="n">
        <v>2</v>
      </c>
      <c r="F213" s="106" t="n">
        <v>5000</v>
      </c>
      <c r="G213" s="106" t="n">
        <v>10000</v>
      </c>
    </row>
    <row r="214">
      <c r="A214" s="103" t="n">
        <v>10</v>
      </c>
      <c r="B214" s="104" t="inlineStr">
        <is>
          <t>Bebidas</t>
        </is>
      </c>
      <c r="C214" s="104" t="inlineStr">
        <is>
          <t>Bloque media</t>
        </is>
      </c>
      <c r="D214" s="104" t="inlineStr">
        <is>
          <t>BLOQUE MEDIA</t>
        </is>
      </c>
      <c r="E214" s="107" t="n">
        <v>2</v>
      </c>
      <c r="F214" s="106" t="n">
        <v>9500</v>
      </c>
      <c r="G214" s="106" t="n">
        <v>19000</v>
      </c>
    </row>
    <row r="215">
      <c r="A215" s="103" t="n">
        <v>10</v>
      </c>
      <c r="B215" s="104" t="inlineStr">
        <is>
          <t>Carnes</t>
        </is>
      </c>
      <c r="C215" s="104" t="inlineStr">
        <is>
          <t>Costilla de res</t>
        </is>
      </c>
      <c r="D215" s="104" t="inlineStr">
        <is>
          <t>COSTILLA DE RES</t>
        </is>
      </c>
      <c r="E215" s="105" t="n">
        <v>22.4</v>
      </c>
      <c r="F215" s="106" t="n">
        <v>22000</v>
      </c>
      <c r="G215" s="106" t="n">
        <v>492800</v>
      </c>
    </row>
    <row r="216">
      <c r="A216" s="103" t="n">
        <v>10</v>
      </c>
      <c r="B216" s="104" t="inlineStr">
        <is>
          <t>Carnes</t>
        </is>
      </c>
      <c r="C216" s="104" t="inlineStr">
        <is>
          <t>Callo</t>
        </is>
      </c>
      <c r="D216" s="104" t="inlineStr">
        <is>
          <t>CALLO DE RES</t>
        </is>
      </c>
      <c r="E216" s="105" t="n">
        <v>7.95</v>
      </c>
      <c r="F216" s="106" t="n">
        <v>20000</v>
      </c>
      <c r="G216" s="106" t="n">
        <v>159000</v>
      </c>
    </row>
    <row r="217">
      <c r="A217" s="103" t="n">
        <v>10</v>
      </c>
      <c r="B217" s="104" t="inlineStr">
        <is>
          <t>Carnes</t>
        </is>
      </c>
      <c r="C217" s="104" t="inlineStr">
        <is>
          <t>Caderita</t>
        </is>
      </c>
      <c r="D217" s="104" t="inlineStr">
        <is>
          <t>CADERITA DE RES</t>
        </is>
      </c>
      <c r="E217" s="105" t="n">
        <v>3.09</v>
      </c>
      <c r="F217" s="106" t="n">
        <v>33000</v>
      </c>
      <c r="G217" s="106" t="n">
        <v>101970</v>
      </c>
    </row>
    <row r="218">
      <c r="A218" s="103" t="n">
        <v>10</v>
      </c>
      <c r="B218" s="104" t="inlineStr">
        <is>
          <t>Carnes</t>
        </is>
      </c>
      <c r="C218" s="104" t="inlineStr">
        <is>
          <t xml:space="preserve">Higado </t>
        </is>
      </c>
      <c r="D218" s="104" t="inlineStr">
        <is>
          <t>HIGADO DE RES</t>
        </is>
      </c>
      <c r="E218" s="105" t="n">
        <v>5.2</v>
      </c>
      <c r="F218" s="106" t="n">
        <v>21500</v>
      </c>
      <c r="G218" s="106" t="n">
        <v>111800</v>
      </c>
    </row>
    <row r="219">
      <c r="A219" s="109" t="n">
        <v>10</v>
      </c>
      <c r="B219" s="110" t="inlineStr">
        <is>
          <t>Bebidas</t>
        </is>
      </c>
      <c r="C219" s="110" t="inlineStr">
        <is>
          <t>Bloque media</t>
        </is>
      </c>
      <c r="D219" s="110" t="inlineStr">
        <is>
          <t>BLOQUE MEDIA</t>
        </is>
      </c>
      <c r="E219" s="111" t="n">
        <v>2</v>
      </c>
      <c r="F219" s="112" t="n">
        <v>9500</v>
      </c>
      <c r="G219" s="112" t="n">
        <v>19000</v>
      </c>
    </row>
    <row r="220">
      <c r="A220" s="109" t="n">
        <v>10</v>
      </c>
      <c r="B220" s="110" t="inlineStr">
        <is>
          <t>Bebidas</t>
        </is>
      </c>
      <c r="C220" s="110" t="inlineStr">
        <is>
          <t>Bolsa 5kl tubular</t>
        </is>
      </c>
      <c r="D220" s="110" t="inlineStr">
        <is>
          <t>BOLSA X 5 KL TUBULAR</t>
        </is>
      </c>
      <c r="E220" s="111" t="n">
        <v>2</v>
      </c>
      <c r="F220" s="112" t="n">
        <v>5000</v>
      </c>
      <c r="G220" s="112" t="n">
        <v>10000</v>
      </c>
    </row>
    <row r="221">
      <c r="A221" s="129" t="n">
        <v>10</v>
      </c>
      <c r="B221" s="129" t="inlineStr">
        <is>
          <t>Desechables</t>
        </is>
      </c>
      <c r="C221" s="129" t="inlineStr">
        <is>
          <t>Vaso cartón 9.0 onz x 50</t>
        </is>
      </c>
      <c r="D221" s="129" t="inlineStr">
        <is>
          <t>Vaso 9 carton</t>
        </is>
      </c>
      <c r="E221" s="129" t="n">
        <v>5</v>
      </c>
      <c r="F221" s="129" t="n">
        <v>7200</v>
      </c>
      <c r="G221" s="129" t="n">
        <v>36000</v>
      </c>
    </row>
    <row r="222">
      <c r="A222" s="103" t="n">
        <v>11</v>
      </c>
      <c r="B222" s="104" t="inlineStr">
        <is>
          <t>Carnes</t>
        </is>
      </c>
      <c r="C222" s="104" t="inlineStr">
        <is>
          <t>Costilla de cerdo especial</t>
        </is>
      </c>
      <c r="D222" s="104" t="inlineStr">
        <is>
          <t>COSTILLA CERDO ESP CR (BS) X 4 KG</t>
        </is>
      </c>
      <c r="E222" s="107" t="n">
        <v>20</v>
      </c>
      <c r="F222" s="106" t="n">
        <v>18200</v>
      </c>
      <c r="G222" s="106" t="n">
        <v>364000</v>
      </c>
    </row>
    <row r="223">
      <c r="A223" s="103" t="n">
        <v>11</v>
      </c>
      <c r="B223" s="104" t="inlineStr">
        <is>
          <t>Carnes</t>
        </is>
      </c>
      <c r="C223" s="104" t="inlineStr">
        <is>
          <t>Filete de pollo x 350</t>
        </is>
      </c>
      <c r="D223" s="104" t="inlineStr">
        <is>
          <t>FILETE DE POLLO X 350G</t>
        </is>
      </c>
      <c r="E223" s="105" t="n">
        <v>28.4</v>
      </c>
      <c r="F223" s="106" t="n">
        <v>18500</v>
      </c>
      <c r="G223" s="106" t="n">
        <v>525400</v>
      </c>
    </row>
    <row r="224">
      <c r="A224" s="103" t="n">
        <v>11</v>
      </c>
      <c r="B224" s="104" t="inlineStr">
        <is>
          <t>Carnes</t>
        </is>
      </c>
      <c r="C224" s="104" t="inlineStr">
        <is>
          <t>Caderita</t>
        </is>
      </c>
      <c r="D224" s="104" t="inlineStr">
        <is>
          <t>CADERITA DE RES</t>
        </is>
      </c>
      <c r="E224" s="105" t="n">
        <v>6.25</v>
      </c>
      <c r="F224" s="106" t="n">
        <v>33000</v>
      </c>
      <c r="G224" s="106" t="n">
        <v>206250</v>
      </c>
    </row>
    <row r="225">
      <c r="A225" s="103" t="n">
        <v>11</v>
      </c>
      <c r="B225" s="104" t="inlineStr">
        <is>
          <t>Carnes</t>
        </is>
      </c>
      <c r="C225" s="104" t="inlineStr">
        <is>
          <t>Sobrebarriga delgada</t>
        </is>
      </c>
      <c r="D225" s="104" t="inlineStr">
        <is>
          <t>SOBREBARRIGA DE RES</t>
        </is>
      </c>
      <c r="E225" s="105" t="n">
        <v>11.3</v>
      </c>
      <c r="F225" s="106" t="n">
        <v>30000</v>
      </c>
      <c r="G225" s="106" t="n">
        <v>339000</v>
      </c>
    </row>
    <row r="226">
      <c r="A226" s="103" t="n">
        <v>11</v>
      </c>
      <c r="B226" s="104" t="inlineStr">
        <is>
          <t>Carnes</t>
        </is>
      </c>
      <c r="C226" s="104" t="inlineStr">
        <is>
          <t>Pechuga mcpollo</t>
        </is>
      </c>
      <c r="D226" s="104" t="inlineStr">
        <is>
          <t>PECHUGA REFRIGERADA</t>
        </is>
      </c>
      <c r="E226" s="105" t="n">
        <v>5.8</v>
      </c>
      <c r="F226" s="106" t="n">
        <v>15300</v>
      </c>
      <c r="G226" s="106" t="n">
        <v>88740</v>
      </c>
    </row>
    <row r="227">
      <c r="A227" s="103" t="n">
        <v>11</v>
      </c>
      <c r="B227" s="104" t="inlineStr">
        <is>
          <t>Carnes</t>
        </is>
      </c>
      <c r="C227" s="104" t="inlineStr">
        <is>
          <t>Pernil de pollo</t>
        </is>
      </c>
      <c r="D227" s="104" t="inlineStr">
        <is>
          <t>PERNIL BLANCO</t>
        </is>
      </c>
      <c r="E227" s="105" t="n">
        <v>42.6</v>
      </c>
      <c r="F227" s="106" t="n">
        <v>7700</v>
      </c>
      <c r="G227" s="106" t="n">
        <v>328020</v>
      </c>
    </row>
    <row r="228">
      <c r="A228" s="103" t="n">
        <v>11</v>
      </c>
      <c r="B228" s="104" t="inlineStr">
        <is>
          <t>Carnes</t>
        </is>
      </c>
      <c r="C228" s="104" t="inlineStr">
        <is>
          <t>Sobaco</t>
        </is>
      </c>
      <c r="D228" s="104" t="inlineStr">
        <is>
          <t>SOBACO</t>
        </is>
      </c>
      <c r="E228" s="105" t="n">
        <v>25.68</v>
      </c>
      <c r="F228" s="106" t="n">
        <v>25900</v>
      </c>
      <c r="G228" s="106" t="n">
        <v>665112</v>
      </c>
    </row>
    <row r="229">
      <c r="A229" s="103" t="n">
        <v>11</v>
      </c>
      <c r="B229" s="104" t="inlineStr">
        <is>
          <t>Carnes</t>
        </is>
      </c>
      <c r="C229" s="104" t="inlineStr">
        <is>
          <t>Tocineta barril</t>
        </is>
      </c>
      <c r="D229" s="104" t="inlineStr">
        <is>
          <t>TOCINETA BARRIL</t>
        </is>
      </c>
      <c r="E229" s="105" t="n">
        <v>97.55</v>
      </c>
      <c r="F229" s="106" t="n">
        <v>21900</v>
      </c>
      <c r="G229" s="106" t="n">
        <v>2136345</v>
      </c>
    </row>
    <row r="230">
      <c r="A230" s="103" t="n">
        <v>11</v>
      </c>
      <c r="B230" s="104" t="inlineStr">
        <is>
          <t>Carnes</t>
        </is>
      </c>
      <c r="C230" s="104" t="inlineStr">
        <is>
          <t>Punta de anca</t>
        </is>
      </c>
      <c r="D230" s="104" t="inlineStr">
        <is>
          <t>PUNTA DE ANCA IMP PORC. PARRILLA</t>
        </is>
      </c>
      <c r="E230" s="105" t="n">
        <v>26.5</v>
      </c>
      <c r="F230" s="106" t="n">
        <v>44000</v>
      </c>
      <c r="G230" s="106" t="n">
        <v>1166000</v>
      </c>
    </row>
    <row r="231">
      <c r="A231" s="103" t="n">
        <v>11</v>
      </c>
      <c r="B231" s="104" t="inlineStr">
        <is>
          <t>Carnes</t>
        </is>
      </c>
      <c r="C231" s="104" t="inlineStr">
        <is>
          <t>Lomo de caracho</t>
        </is>
      </c>
      <c r="D231" s="104" t="inlineStr">
        <is>
          <t>LOMO CARACHO PORCIONADO PARRILLA</t>
        </is>
      </c>
      <c r="E231" s="107" t="n">
        <v>25</v>
      </c>
      <c r="F231" s="106" t="n">
        <v>44000</v>
      </c>
      <c r="G231" s="106" t="n">
        <v>1100000</v>
      </c>
    </row>
    <row r="232">
      <c r="A232" s="103" t="n">
        <v>11</v>
      </c>
      <c r="B232" s="104" t="inlineStr">
        <is>
          <t>Verduras</t>
        </is>
      </c>
      <c r="C232" s="104" t="inlineStr">
        <is>
          <t>Papa a la francesa paq 2.5 kl</t>
        </is>
      </c>
      <c r="D232" s="104" t="inlineStr">
        <is>
          <t>PAPA A LA FRANCESA FRITERS PAQ 2.5 KL</t>
        </is>
      </c>
      <c r="E232" s="107" t="n">
        <v>16</v>
      </c>
      <c r="F232" s="108" t="n">
        <v>15546.25</v>
      </c>
      <c r="G232" s="106" t="n">
        <v>248740</v>
      </c>
    </row>
    <row r="233">
      <c r="A233" s="103" t="n">
        <v>11</v>
      </c>
      <c r="B233" s="104" t="inlineStr">
        <is>
          <t>Carnes</t>
        </is>
      </c>
      <c r="C233" s="104" t="inlineStr">
        <is>
          <t>Costilla san luis jr</t>
        </is>
      </c>
      <c r="D233" s="104" t="inlineStr">
        <is>
          <t>COSTILLA SAN LUIS JUNIOR T/M</t>
        </is>
      </c>
      <c r="E233" s="105" t="n">
        <v>57.4</v>
      </c>
      <c r="F233" s="106" t="n">
        <v>21900</v>
      </c>
      <c r="G233" s="106" t="n">
        <v>1257060</v>
      </c>
    </row>
    <row r="234">
      <c r="A234" s="103" t="n">
        <v>11</v>
      </c>
      <c r="B234" s="104" t="inlineStr">
        <is>
          <t>Carnes</t>
        </is>
      </c>
      <c r="C234" s="104" t="inlineStr">
        <is>
          <t>Costilla de cerdo especial</t>
        </is>
      </c>
      <c r="D234" s="104" t="inlineStr">
        <is>
          <t>COSTILLA DE CERDO IBP 244M</t>
        </is>
      </c>
      <c r="E234" s="105" t="n">
        <v>13.8</v>
      </c>
      <c r="F234" s="106" t="n">
        <v>15400</v>
      </c>
      <c r="G234" s="106" t="n">
        <v>212520</v>
      </c>
    </row>
    <row r="235">
      <c r="A235" s="109" t="n">
        <v>11</v>
      </c>
      <c r="B235" s="110" t="inlineStr">
        <is>
          <t>Servicios</t>
        </is>
      </c>
      <c r="C235" s="110" t="inlineStr">
        <is>
          <t>Computación en la Nube Plan Empresarial 4000 documentos mes</t>
        </is>
      </c>
      <c r="D235" s="110" t="inlineStr">
        <is>
          <t>Computacion en la Nube Plan Empresarial 4000 Documentos mes</t>
        </is>
      </c>
      <c r="E235" s="111" t="n">
        <v>1</v>
      </c>
      <c r="F235" s="112" t="n">
        <v>72000</v>
      </c>
      <c r="G235" s="112" t="n">
        <v>72000</v>
      </c>
    </row>
    <row r="236">
      <c r="A236" s="129" t="n">
        <v>11</v>
      </c>
      <c r="B236" s="129" t="inlineStr">
        <is>
          <t>Carnes</t>
        </is>
      </c>
      <c r="C236" s="129" t="inlineStr">
        <is>
          <t>Chorizo coctelero x 40</t>
        </is>
      </c>
      <c r="D236" s="129" t="inlineStr">
        <is>
          <t>CHORIZO PREMIUM COCTELERO PAQ. X 40 UND. (MONTERO)</t>
        </is>
      </c>
      <c r="E236" s="129" t="n">
        <v>5</v>
      </c>
      <c r="F236" s="129" t="n">
        <v>48000</v>
      </c>
      <c r="G236" s="129" t="n">
        <v>240000</v>
      </c>
    </row>
    <row r="237">
      <c r="A237" s="129" t="n">
        <v>11</v>
      </c>
      <c r="B237" s="129" t="inlineStr">
        <is>
          <t>Carnes</t>
        </is>
      </c>
      <c r="C237" s="129" t="inlineStr">
        <is>
          <t>Chorizo Premium</t>
        </is>
      </c>
      <c r="D237" s="129" t="inlineStr">
        <is>
          <t>CHORIZO PREMIUM PAQ. X 12 UND. (MONTERO) 1800gr</t>
        </is>
      </c>
      <c r="E237" s="129" t="n">
        <v>1</v>
      </c>
      <c r="F237" s="129" t="n">
        <v>46000</v>
      </c>
      <c r="G237" s="129" t="n">
        <v>46000</v>
      </c>
    </row>
    <row r="238">
      <c r="A238" s="129" t="n">
        <v>11</v>
      </c>
      <c r="B238" s="129" t="inlineStr">
        <is>
          <t>Bebidas</t>
        </is>
      </c>
      <c r="C238" s="129" t="inlineStr">
        <is>
          <t>Zumo de limon</t>
        </is>
      </c>
      <c r="D238" s="129" t="inlineStr">
        <is>
          <t>5 ZUMOS DE LIMON</t>
        </is>
      </c>
      <c r="E238" s="129" t="n">
        <v>5</v>
      </c>
      <c r="F238" s="129" t="n">
        <v>45000</v>
      </c>
      <c r="G238" s="129" t="n">
        <v>225000</v>
      </c>
    </row>
    <row r="239">
      <c r="A239" s="129" t="n">
        <v>11</v>
      </c>
      <c r="B239" s="129" t="inlineStr">
        <is>
          <t>Bebidas</t>
        </is>
      </c>
      <c r="C239" s="129" t="inlineStr">
        <is>
          <t>Vino tinto</t>
        </is>
      </c>
      <c r="D239" s="129" t="inlineStr">
        <is>
          <t>Vino de cocina</t>
        </is>
      </c>
      <c r="E239" s="129" t="n">
        <v>1</v>
      </c>
      <c r="F239" s="129" t="n">
        <v>29000</v>
      </c>
      <c r="G239" s="129" t="n">
        <v>29000</v>
      </c>
    </row>
    <row r="240">
      <c r="A240" s="129" t="n">
        <v>11</v>
      </c>
      <c r="B240" s="129" t="inlineStr">
        <is>
          <t>Bebidas</t>
        </is>
      </c>
      <c r="C240" s="129" t="inlineStr">
        <is>
          <t>Bolsa 5kl tubular</t>
        </is>
      </c>
      <c r="D240" s="129" t="inlineStr">
        <is>
          <t>2 Bolsas Hielo (Recibo Caja Menor)</t>
        </is>
      </c>
      <c r="E240" s="129" t="n">
        <v>2</v>
      </c>
      <c r="F240" s="129" t="n">
        <v>5000</v>
      </c>
      <c r="G240" s="129" t="n">
        <v>10000</v>
      </c>
    </row>
    <row r="241">
      <c r="A241" s="129" t="n">
        <v>11</v>
      </c>
      <c r="B241" s="129" t="inlineStr">
        <is>
          <t>Bebidas</t>
        </is>
      </c>
      <c r="C241" s="129" t="inlineStr">
        <is>
          <t>Bolsa 5kl tubular</t>
        </is>
      </c>
      <c r="D241" s="129" t="inlineStr">
        <is>
          <t>Compra de hielo (Antonio J.)</t>
        </is>
      </c>
      <c r="E241" s="129" t="n">
        <v>2</v>
      </c>
      <c r="F241" s="129" t="n">
        <v>5000</v>
      </c>
      <c r="G241" s="129" t="n">
        <v>10000</v>
      </c>
    </row>
    <row r="242">
      <c r="A242" s="129" t="n">
        <v>11</v>
      </c>
      <c r="B242" s="129" t="inlineStr">
        <is>
          <t>Grano</t>
        </is>
      </c>
      <c r="C242" s="129" t="inlineStr">
        <is>
          <t>Aceite de soya</t>
        </is>
      </c>
      <c r="D242" s="129" t="inlineStr">
        <is>
          <t>ACEITE DE SOYA (2x 900ml/bot)</t>
        </is>
      </c>
      <c r="E242" s="129" t="n">
        <v>2</v>
      </c>
      <c r="F242" s="129" t="n">
        <v>22990</v>
      </c>
      <c r="G242" s="129" t="n">
        <v>45980</v>
      </c>
    </row>
    <row r="243">
      <c r="A243" s="129" t="n">
        <v>11</v>
      </c>
      <c r="B243" s="129" t="inlineStr">
        <is>
          <t>Servicios</t>
        </is>
      </c>
      <c r="C243" s="129" t="inlineStr">
        <is>
          <t>Acopi</t>
        </is>
      </c>
      <c r="D243" s="129" t="inlineStr">
        <is>
          <t>Acopi</t>
        </is>
      </c>
      <c r="E243" s="129" t="n">
        <v>1</v>
      </c>
      <c r="F243" s="129" t="n">
        <v>30000</v>
      </c>
      <c r="G243" s="129" t="n">
        <v>30000</v>
      </c>
    </row>
    <row r="244">
      <c r="A244" s="103" t="n">
        <v>12</v>
      </c>
      <c r="B244" s="104" t="inlineStr">
        <is>
          <t>Bebidas</t>
        </is>
      </c>
      <c r="C244" s="104" t="inlineStr">
        <is>
          <t>Bloque media</t>
        </is>
      </c>
      <c r="D244" s="104" t="inlineStr">
        <is>
          <t>BLOQUE MEDIA</t>
        </is>
      </c>
      <c r="E244" s="107" t="n">
        <v>2</v>
      </c>
      <c r="F244" s="106" t="n">
        <v>9500</v>
      </c>
      <c r="G244" s="106" t="n">
        <v>19000</v>
      </c>
    </row>
    <row r="245">
      <c r="A245" s="103" t="n">
        <v>12</v>
      </c>
      <c r="B245" s="104" t="inlineStr">
        <is>
          <t>Bebidas</t>
        </is>
      </c>
      <c r="C245" s="104" t="inlineStr">
        <is>
          <t>Bolsa 5kl tubular</t>
        </is>
      </c>
      <c r="D245" s="104" t="inlineStr">
        <is>
          <t>BOLSA X 5 KL TUBULAR</t>
        </is>
      </c>
      <c r="E245" s="107" t="n">
        <v>6</v>
      </c>
      <c r="F245" s="106" t="n">
        <v>5000</v>
      </c>
      <c r="G245" s="106" t="n">
        <v>30000</v>
      </c>
    </row>
    <row r="246">
      <c r="A246" s="103" t="n">
        <v>12</v>
      </c>
      <c r="B246" s="104" t="inlineStr">
        <is>
          <t>Grano</t>
        </is>
      </c>
      <c r="C246" s="104" t="inlineStr">
        <is>
          <t>Leche de coco</t>
        </is>
      </c>
      <c r="D246" s="104" t="inlineStr">
        <is>
          <t>Extrato de coco premium 1000 mL</t>
        </is>
      </c>
      <c r="E246" s="107" t="n">
        <v>6</v>
      </c>
      <c r="F246" s="106" t="n">
        <v>24395</v>
      </c>
      <c r="G246" s="106" t="n">
        <v>146370</v>
      </c>
    </row>
    <row r="247">
      <c r="A247" s="103" t="n">
        <v>12</v>
      </c>
      <c r="B247" s="104" t="inlineStr">
        <is>
          <t>Verduras</t>
        </is>
      </c>
      <c r="C247" s="104" t="inlineStr">
        <is>
          <t>Papa Capira bulto</t>
        </is>
      </c>
      <c r="D247" s="104" t="inlineStr">
        <is>
          <t>PAPA CAPIRA BULTO*UND</t>
        </is>
      </c>
      <c r="E247" s="107" t="n">
        <v>1</v>
      </c>
      <c r="F247" s="106" t="n">
        <v>95000</v>
      </c>
      <c r="G247" s="106" t="n">
        <v>95000</v>
      </c>
    </row>
    <row r="248">
      <c r="A248" s="103" t="n">
        <v>12</v>
      </c>
      <c r="B248" s="104" t="inlineStr">
        <is>
          <t>Verduras</t>
        </is>
      </c>
      <c r="C248" s="104" t="inlineStr">
        <is>
          <t>Cebolla Larga Atado</t>
        </is>
      </c>
      <c r="D248" s="104" t="inlineStr">
        <is>
          <t>CEBOLLA LARGA ATADO</t>
        </is>
      </c>
      <c r="E248" s="107" t="n">
        <v>1</v>
      </c>
      <c r="F248" s="106" t="n">
        <v>70000</v>
      </c>
      <c r="G248" s="106" t="n">
        <v>70000</v>
      </c>
    </row>
    <row r="249">
      <c r="A249" s="103" t="n">
        <v>12</v>
      </c>
      <c r="B249" s="104" t="inlineStr">
        <is>
          <t>Verduras</t>
        </is>
      </c>
      <c r="C249" s="104" t="inlineStr">
        <is>
          <t>Hiervas</t>
        </is>
      </c>
      <c r="D249" s="104" t="inlineStr">
        <is>
          <t>HIERVAS</t>
        </is>
      </c>
      <c r="E249" s="107" t="n">
        <v>2</v>
      </c>
      <c r="F249" s="106" t="n">
        <v>2000</v>
      </c>
      <c r="G249" s="106" t="n">
        <v>4000</v>
      </c>
    </row>
    <row r="250">
      <c r="A250" s="103" t="n">
        <v>12</v>
      </c>
      <c r="B250" s="104" t="inlineStr">
        <is>
          <t>Verduras</t>
        </is>
      </c>
      <c r="C250" s="104" t="inlineStr">
        <is>
          <t xml:space="preserve">Habichuela </t>
        </is>
      </c>
      <c r="D250" s="104" t="inlineStr">
        <is>
          <t>HABICHUELA*KL</t>
        </is>
      </c>
      <c r="E250" s="105" t="n">
        <v>3.7</v>
      </c>
      <c r="F250" s="106" t="n">
        <v>5000</v>
      </c>
      <c r="G250" s="106" t="n">
        <v>18500</v>
      </c>
    </row>
    <row r="251">
      <c r="A251" s="103" t="n">
        <v>12</v>
      </c>
      <c r="B251" s="104" t="inlineStr">
        <is>
          <t>Verduras</t>
        </is>
      </c>
      <c r="C251" s="104" t="inlineStr">
        <is>
          <t>Tomate chonto</t>
        </is>
      </c>
      <c r="D251" s="104" t="inlineStr">
        <is>
          <t>TOMATE CHONTO*KL</t>
        </is>
      </c>
      <c r="E251" s="105" t="n">
        <v>5.7</v>
      </c>
      <c r="F251" s="106" t="n">
        <v>4500</v>
      </c>
      <c r="G251" s="106" t="n">
        <v>25650</v>
      </c>
    </row>
    <row r="252">
      <c r="A252" s="103" t="n">
        <v>12</v>
      </c>
      <c r="B252" s="104" t="inlineStr">
        <is>
          <t>Verduras</t>
        </is>
      </c>
      <c r="C252" s="104" t="inlineStr">
        <is>
          <t>Limon tahiti</t>
        </is>
      </c>
      <c r="D252" s="104" t="inlineStr">
        <is>
          <t>LIMON TAHITY*KL</t>
        </is>
      </c>
      <c r="E252" s="105" t="n">
        <v>50.8</v>
      </c>
      <c r="F252" s="106" t="n">
        <v>2400</v>
      </c>
      <c r="G252" s="106" t="n">
        <v>121920</v>
      </c>
    </row>
    <row r="253">
      <c r="A253" s="103" t="n">
        <v>12</v>
      </c>
      <c r="B253" s="104" t="inlineStr">
        <is>
          <t>Verduras</t>
        </is>
      </c>
      <c r="C253" s="104" t="inlineStr">
        <is>
          <t>Platano maduro</t>
        </is>
      </c>
      <c r="D253" s="104" t="inlineStr">
        <is>
          <t>PLATANO MADURO*KL</t>
        </is>
      </c>
      <c r="E253" s="105" t="n">
        <v>58.5</v>
      </c>
      <c r="F253" s="106" t="n">
        <v>1400</v>
      </c>
      <c r="G253" s="106" t="n">
        <v>81900</v>
      </c>
    </row>
    <row r="254">
      <c r="A254" s="103" t="n">
        <v>12</v>
      </c>
      <c r="B254" s="104" t="inlineStr">
        <is>
          <t>Verduras</t>
        </is>
      </c>
      <c r="C254" s="104" t="inlineStr">
        <is>
          <t xml:space="preserve">Papa amarilla </t>
        </is>
      </c>
      <c r="D254" s="104" t="inlineStr">
        <is>
          <t>PAPA AMARILLA CRIOLLA*KL</t>
        </is>
      </c>
      <c r="E254" s="105" t="n">
        <v>3.9</v>
      </c>
      <c r="F254" s="106" t="n">
        <v>5000</v>
      </c>
      <c r="G254" s="106" t="n">
        <v>19500</v>
      </c>
    </row>
    <row r="255">
      <c r="A255" s="103" t="n">
        <v>12</v>
      </c>
      <c r="B255" s="104" t="inlineStr">
        <is>
          <t>Verduras</t>
        </is>
      </c>
      <c r="C255" s="104" t="inlineStr">
        <is>
          <t>Tomate milano</t>
        </is>
      </c>
      <c r="D255" s="104" t="inlineStr">
        <is>
          <t>TOMATE MILANO*KL</t>
        </is>
      </c>
      <c r="E255" s="105" t="n">
        <v>2.5</v>
      </c>
      <c r="F255" s="106" t="n">
        <v>4500</v>
      </c>
      <c r="G255" s="106" t="n">
        <v>11250</v>
      </c>
    </row>
    <row r="256">
      <c r="A256" s="103" t="n">
        <v>12</v>
      </c>
      <c r="B256" s="104" t="inlineStr">
        <is>
          <t>Verduras</t>
        </is>
      </c>
      <c r="C256" s="104" t="inlineStr">
        <is>
          <t>Zapayo</t>
        </is>
      </c>
      <c r="D256" s="104" t="inlineStr">
        <is>
          <t>ZAPAYO*KL</t>
        </is>
      </c>
      <c r="E256" s="105" t="n">
        <v>9.1</v>
      </c>
      <c r="F256" s="106" t="n">
        <v>1400</v>
      </c>
      <c r="G256" s="106" t="n">
        <v>12740</v>
      </c>
    </row>
    <row r="257">
      <c r="A257" s="103" t="n">
        <v>12</v>
      </c>
      <c r="B257" s="104" t="inlineStr">
        <is>
          <t>Verduras</t>
        </is>
      </c>
      <c r="C257" s="104" t="inlineStr">
        <is>
          <t>Arracacha</t>
        </is>
      </c>
      <c r="D257" s="104" t="inlineStr">
        <is>
          <t>ARRACACHA*KL</t>
        </is>
      </c>
      <c r="E257" s="105" t="n">
        <v>3.1</v>
      </c>
      <c r="F257" s="106" t="n">
        <v>6500</v>
      </c>
      <c r="G257" s="106" t="n">
        <v>20150</v>
      </c>
    </row>
    <row r="258">
      <c r="A258" s="103" t="n">
        <v>12</v>
      </c>
      <c r="B258" s="104" t="inlineStr">
        <is>
          <t>Verduras</t>
        </is>
      </c>
      <c r="C258" s="104" t="inlineStr">
        <is>
          <t>Cebolla cabezona</t>
        </is>
      </c>
      <c r="D258" s="104" t="inlineStr">
        <is>
          <t>CEBOLLA CABEZONA*KL</t>
        </is>
      </c>
      <c r="E258" s="105" t="n">
        <v>9.1</v>
      </c>
      <c r="F258" s="106" t="n">
        <v>3500</v>
      </c>
      <c r="G258" s="106" t="n">
        <v>31850</v>
      </c>
    </row>
    <row r="259">
      <c r="A259" s="103" t="n">
        <v>12</v>
      </c>
      <c r="B259" s="104" t="inlineStr">
        <is>
          <t>Verduras</t>
        </is>
      </c>
      <c r="C259" s="104" t="inlineStr">
        <is>
          <t>Pepino comun</t>
        </is>
      </c>
      <c r="D259" s="104" t="inlineStr">
        <is>
          <t>PEPINO COMUN*KL</t>
        </is>
      </c>
      <c r="E259" s="105" t="n">
        <v>3.3</v>
      </c>
      <c r="F259" s="106" t="n">
        <v>2000</v>
      </c>
      <c r="G259" s="106" t="n">
        <v>6600</v>
      </c>
    </row>
    <row r="260">
      <c r="A260" s="103" t="n">
        <v>12</v>
      </c>
      <c r="B260" s="104" t="inlineStr">
        <is>
          <t>Verduras</t>
        </is>
      </c>
      <c r="C260" s="104" t="inlineStr">
        <is>
          <t>Platano maduro</t>
        </is>
      </c>
      <c r="D260" s="104" t="inlineStr">
        <is>
          <t>PLATANO MADURO*KL</t>
        </is>
      </c>
      <c r="E260" s="105" t="n">
        <v>50.6</v>
      </c>
      <c r="F260" s="106" t="n">
        <v>1400</v>
      </c>
      <c r="G260" s="106" t="n">
        <v>70840</v>
      </c>
    </row>
    <row r="261">
      <c r="A261" s="103" t="n">
        <v>12</v>
      </c>
      <c r="B261" s="104" t="inlineStr">
        <is>
          <t>Verduras</t>
        </is>
      </c>
      <c r="C261" s="104" t="inlineStr">
        <is>
          <t>Platano verde</t>
        </is>
      </c>
      <c r="D261" s="104" t="inlineStr">
        <is>
          <t>PLATANO VERDE*KL</t>
        </is>
      </c>
      <c r="E261" s="105" t="n">
        <v>46.6</v>
      </c>
      <c r="F261" s="106" t="n">
        <v>1500</v>
      </c>
      <c r="G261" s="106" t="n">
        <v>69900</v>
      </c>
    </row>
    <row r="262">
      <c r="A262" s="109" t="n">
        <v>12</v>
      </c>
      <c r="B262" s="110" t="inlineStr">
        <is>
          <t>Desechables</t>
        </is>
      </c>
      <c r="C262" s="110" t="inlineStr">
        <is>
          <t>Bolsa mercamio reciclable</t>
        </is>
      </c>
      <c r="D262" s="110" t="inlineStr">
        <is>
          <t>BOLSA CANAVERAL 100% MATERIAL RECICL P</t>
        </is>
      </c>
      <c r="E262" s="111" t="n">
        <v>2</v>
      </c>
      <c r="F262" s="112" t="n">
        <v>300</v>
      </c>
      <c r="G262" s="112" t="n">
        <v>600</v>
      </c>
    </row>
    <row r="263">
      <c r="A263" s="109" t="n">
        <v>12</v>
      </c>
      <c r="B263" s="110" t="inlineStr">
        <is>
          <t>Verduras</t>
        </is>
      </c>
      <c r="C263" s="110" t="inlineStr">
        <is>
          <t>Aguacate común</t>
        </is>
      </c>
      <c r="D263" s="110" t="inlineStr">
        <is>
          <t>AGUACATE COMUN*und</t>
        </is>
      </c>
      <c r="E263" s="111" t="n">
        <v>15</v>
      </c>
      <c r="F263" s="112" t="n">
        <v>5440</v>
      </c>
      <c r="G263" s="112" t="n">
        <v>81600</v>
      </c>
    </row>
    <row r="264">
      <c r="A264" s="129" t="n">
        <v>12</v>
      </c>
      <c r="B264" s="129" t="inlineStr">
        <is>
          <t>Bebidas</t>
        </is>
      </c>
      <c r="C264" s="129" t="inlineStr">
        <is>
          <t>Agua</t>
        </is>
      </c>
      <c r="D264" s="129" t="inlineStr">
        <is>
          <t>2 Pacas Agua</t>
        </is>
      </c>
      <c r="E264" s="129" t="n">
        <v>2</v>
      </c>
      <c r="F264" s="129" t="n">
        <v>32000</v>
      </c>
      <c r="G264" s="129" t="n">
        <v>64000</v>
      </c>
    </row>
    <row r="265">
      <c r="A265" s="129" t="n">
        <v>12</v>
      </c>
      <c r="B265" s="129" t="inlineStr">
        <is>
          <t>Verduras</t>
        </is>
      </c>
      <c r="C265" s="129" t="inlineStr">
        <is>
          <t>Zanahoria</t>
        </is>
      </c>
      <c r="D265" s="129" t="inlineStr">
        <is>
          <t>ZANAHORIA SELECTA A GRANEL</t>
        </is>
      </c>
      <c r="E265" s="129" t="n">
        <v>2.79</v>
      </c>
      <c r="F265" s="129" t="n">
        <v>3840</v>
      </c>
      <c r="G265" s="129" t="n">
        <v>10714</v>
      </c>
    </row>
    <row r="266">
      <c r="A266" s="129" t="n">
        <v>12</v>
      </c>
      <c r="B266" s="129" t="inlineStr">
        <is>
          <t>Verduras</t>
        </is>
      </c>
      <c r="C266" s="129" t="inlineStr">
        <is>
          <t>Lulo</t>
        </is>
      </c>
      <c r="D266" s="129" t="inlineStr">
        <is>
          <t>LULO A GRANEL</t>
        </is>
      </c>
      <c r="E266" s="129" t="n">
        <v>1.13</v>
      </c>
      <c r="F266" s="129" t="n">
        <v>6960</v>
      </c>
      <c r="G266" s="129" t="n">
        <v>7865</v>
      </c>
    </row>
    <row r="267">
      <c r="A267" s="129" t="n">
        <v>12</v>
      </c>
      <c r="B267" s="129" t="inlineStr">
        <is>
          <t>Desechables</t>
        </is>
      </c>
      <c r="C267" s="129" t="inlineStr">
        <is>
          <t>Bolsa canaveral 100% material recicl f</t>
        </is>
      </c>
      <c r="D267" s="129" t="inlineStr">
        <is>
          <t>BOLSA CANAVERAL 100% MATERIAL RECICL P</t>
        </is>
      </c>
      <c r="E267" s="129" t="n">
        <v>1</v>
      </c>
      <c r="F267" s="129" t="n">
        <v>300</v>
      </c>
      <c r="G267" s="129" t="n">
        <v>300</v>
      </c>
    </row>
    <row r="268">
      <c r="A268" s="129" t="n">
        <v>12</v>
      </c>
      <c r="B268" s="129" t="inlineStr">
        <is>
          <t>Verduras</t>
        </is>
      </c>
      <c r="C268" s="129" t="inlineStr">
        <is>
          <t>Aguacate común</t>
        </is>
      </c>
      <c r="D268" s="129" t="inlineStr">
        <is>
          <t>AGUACATE COMUN*und (x7)</t>
        </is>
      </c>
      <c r="E268" s="129" t="n">
        <v>7</v>
      </c>
      <c r="F268" s="129" t="n">
        <v>5440</v>
      </c>
      <c r="G268" s="129" t="n">
        <v>38080</v>
      </c>
    </row>
    <row r="269">
      <c r="A269" s="129" t="n">
        <v>12</v>
      </c>
      <c r="B269" s="129" t="inlineStr">
        <is>
          <t>Bebidas</t>
        </is>
      </c>
      <c r="C269" s="129" t="inlineStr">
        <is>
          <t>Bloque media</t>
        </is>
      </c>
      <c r="D269" s="129" t="inlineStr">
        <is>
          <t>25 - BLOQUE MEDIA</t>
        </is>
      </c>
      <c r="E269" s="129" t="n">
        <v>2</v>
      </c>
      <c r="F269" s="129" t="n">
        <v>9500</v>
      </c>
      <c r="G269" s="129" t="n">
        <v>19000</v>
      </c>
    </row>
    <row r="270">
      <c r="A270" s="129" t="n">
        <v>12</v>
      </c>
      <c r="B270" s="129" t="inlineStr">
        <is>
          <t>Bebidas</t>
        </is>
      </c>
      <c r="C270" s="129" t="inlineStr">
        <is>
          <t>Bolsa 5kl tubular</t>
        </is>
      </c>
      <c r="D270" s="129" t="inlineStr">
        <is>
          <t>7709046020616 - BOLSA X 5 KL TUBULAR</t>
        </is>
      </c>
      <c r="E270" s="129" t="n">
        <v>5</v>
      </c>
      <c r="F270" s="129" t="n">
        <v>5000</v>
      </c>
      <c r="G270" s="129" t="n">
        <v>25000</v>
      </c>
    </row>
    <row r="271">
      <c r="A271" s="129" t="n">
        <v>12</v>
      </c>
      <c r="B271" s="129" t="inlineStr">
        <is>
          <t>Servicios</t>
        </is>
      </c>
      <c r="C271" s="129" t="inlineStr">
        <is>
          <t>Acopi</t>
        </is>
      </c>
      <c r="D271" s="129" t="inlineStr">
        <is>
          <t>Acopi</t>
        </is>
      </c>
      <c r="E271" s="129" t="n">
        <v>1</v>
      </c>
      <c r="F271" s="129" t="n">
        <v>30000</v>
      </c>
      <c r="G271" s="129" t="n">
        <v>30000</v>
      </c>
    </row>
    <row r="272">
      <c r="A272" s="129" t="n">
        <v>12</v>
      </c>
      <c r="B272" s="129" t="inlineStr">
        <is>
          <t>Desechables</t>
        </is>
      </c>
      <c r="C272" s="129" t="inlineStr">
        <is>
          <t>Mazamorra</t>
        </is>
      </c>
      <c r="D272" s="129" t="inlineStr">
        <is>
          <t>Mazamorra</t>
        </is>
      </c>
      <c r="E272" s="129" t="n">
        <v>1</v>
      </c>
      <c r="F272" s="129" t="n">
        <v>25000</v>
      </c>
      <c r="G272" s="129" t="n">
        <v>25000</v>
      </c>
    </row>
    <row r="273">
      <c r="A273" s="129" t="n">
        <v>12</v>
      </c>
      <c r="B273" s="129" t="inlineStr">
        <is>
          <t>Bebidas</t>
        </is>
      </c>
      <c r="C273" s="129" t="inlineStr">
        <is>
          <t>Maracuya 100gr</t>
        </is>
      </c>
      <c r="D273" s="129" t="inlineStr">
        <is>
          <t>S Maracuya 100 gr (x4)</t>
        </is>
      </c>
      <c r="E273" s="129" t="n">
        <v>4</v>
      </c>
      <c r="F273" s="129" t="n">
        <v>17950</v>
      </c>
      <c r="G273" s="129" t="n">
        <v>71800</v>
      </c>
    </row>
    <row r="274">
      <c r="A274" s="129" t="n">
        <v>12</v>
      </c>
      <c r="B274" s="129" t="inlineStr">
        <is>
          <t>Bebidas</t>
        </is>
      </c>
      <c r="C274" s="129" t="inlineStr">
        <is>
          <t>Mango 100gr</t>
        </is>
      </c>
      <c r="D274" s="129" t="inlineStr">
        <is>
          <t>N Mango 100 gr (x4)</t>
        </is>
      </c>
      <c r="E274" s="129" t="n">
        <v>4</v>
      </c>
      <c r="F274" s="129" t="n">
        <v>12900</v>
      </c>
      <c r="G274" s="129" t="n">
        <v>51600</v>
      </c>
    </row>
    <row r="275">
      <c r="A275" s="129" t="n">
        <v>12</v>
      </c>
      <c r="B275" s="129" t="inlineStr">
        <is>
          <t>Bebidas</t>
        </is>
      </c>
      <c r="C275" s="129" t="inlineStr">
        <is>
          <t>Lulo 100 gr</t>
        </is>
      </c>
      <c r="D275" s="129" t="inlineStr">
        <is>
          <t>O Lulo 100 gr (x4)</t>
        </is>
      </c>
      <c r="E275" s="129" t="n">
        <v>4</v>
      </c>
      <c r="F275" s="129" t="n">
        <v>12600</v>
      </c>
      <c r="G275" s="129" t="n">
        <v>50400</v>
      </c>
    </row>
    <row r="276">
      <c r="A276" s="129" t="n">
        <v>12</v>
      </c>
      <c r="B276" s="129" t="inlineStr">
        <is>
          <t>Bebidas</t>
        </is>
      </c>
      <c r="C276" s="129" t="inlineStr">
        <is>
          <t>Mora 100gr</t>
        </is>
      </c>
      <c r="D276" s="129" t="inlineStr">
        <is>
          <t>P Mora 100 gr (x2)</t>
        </is>
      </c>
      <c r="E276" s="129" t="n">
        <v>2</v>
      </c>
      <c r="F276" s="129" t="n">
        <v>12700</v>
      </c>
      <c r="G276" s="129" t="n">
        <v>25400</v>
      </c>
    </row>
    <row r="277">
      <c r="A277" s="103" t="n">
        <v>13</v>
      </c>
      <c r="B277" s="104" t="inlineStr">
        <is>
          <t>Carnes</t>
        </is>
      </c>
      <c r="C277" s="104" t="inlineStr">
        <is>
          <t>Lomo de cerdo</t>
        </is>
      </c>
      <c r="D277" s="104" t="inlineStr">
        <is>
          <t>LOMO DE CERDO</t>
        </is>
      </c>
      <c r="E277" s="107" t="n">
        <v>17</v>
      </c>
      <c r="F277" s="106" t="n">
        <v>19500</v>
      </c>
      <c r="G277" s="106" t="n">
        <v>331500</v>
      </c>
    </row>
    <row r="278">
      <c r="A278" s="109" t="n">
        <v>13</v>
      </c>
      <c r="B278" s="110" t="inlineStr">
        <is>
          <t>Carnes</t>
        </is>
      </c>
      <c r="C278" s="110" t="inlineStr">
        <is>
          <t>Lomo de cerdo</t>
        </is>
      </c>
      <c r="D278" s="110" t="inlineStr">
        <is>
          <t>LOMO DE CERDO</t>
        </is>
      </c>
      <c r="E278" s="113" t="n">
        <v>11.7</v>
      </c>
      <c r="F278" s="112" t="n">
        <v>19500</v>
      </c>
      <c r="G278" s="112" t="n">
        <v>228150</v>
      </c>
    </row>
    <row r="279">
      <c r="A279" s="109" t="n">
        <v>13</v>
      </c>
      <c r="B279" s="110" t="inlineStr">
        <is>
          <t>Carnes</t>
        </is>
      </c>
      <c r="C279" s="110" t="inlineStr">
        <is>
          <t>Lengua de res</t>
        </is>
      </c>
      <c r="D279" s="110" t="inlineStr">
        <is>
          <t>LENGUA</t>
        </is>
      </c>
      <c r="E279" s="113" t="n">
        <v>6.35</v>
      </c>
      <c r="F279" s="112" t="n">
        <v>23000</v>
      </c>
      <c r="G279" s="112" t="n">
        <v>146050</v>
      </c>
    </row>
    <row r="280">
      <c r="A280" s="109" t="n">
        <v>13</v>
      </c>
      <c r="B280" s="110" t="inlineStr">
        <is>
          <t>Bebidas</t>
        </is>
      </c>
      <c r="C280" s="110" t="inlineStr">
        <is>
          <t>Jug del valle</t>
        </is>
      </c>
      <c r="D280" s="110" t="inlineStr">
        <is>
          <t>FRUTAL MANGOFRS 500ML PET(6)NVO</t>
        </is>
      </c>
      <c r="E280" s="111" t="n">
        <v>1</v>
      </c>
      <c r="F280" s="112" t="n">
        <v>12605</v>
      </c>
      <c r="G280" s="112" t="n">
        <v>12605</v>
      </c>
    </row>
    <row r="281">
      <c r="A281" s="109" t="n">
        <v>13</v>
      </c>
      <c r="B281" s="110" t="inlineStr">
        <is>
          <t>Bebidas</t>
        </is>
      </c>
      <c r="C281" s="110" t="inlineStr">
        <is>
          <t>Jug del valle</t>
        </is>
      </c>
      <c r="D281" s="110" t="inlineStr">
        <is>
          <t>FRUTAL MORA 500ML PET(6)NVO</t>
        </is>
      </c>
      <c r="E281" s="111" t="n">
        <v>1</v>
      </c>
      <c r="F281" s="112" t="n">
        <v>12605</v>
      </c>
      <c r="G281" s="112" t="n">
        <v>12605</v>
      </c>
    </row>
    <row r="282">
      <c r="A282" s="109" t="n">
        <v>13</v>
      </c>
      <c r="B282" s="110" t="inlineStr">
        <is>
          <t>Bebidas</t>
        </is>
      </c>
      <c r="C282" s="110" t="inlineStr">
        <is>
          <t>Coca cola zero 1,5 ltrs</t>
        </is>
      </c>
      <c r="D282" s="110" t="inlineStr">
        <is>
          <t>COCA COLA ZERO 1.5LT PET(12)KZ</t>
        </is>
      </c>
      <c r="E282" s="111" t="n">
        <v>1</v>
      </c>
      <c r="F282" s="112" t="n">
        <v>54622</v>
      </c>
      <c r="G282" s="112" t="n">
        <v>54622</v>
      </c>
    </row>
    <row r="283">
      <c r="A283" s="109" t="n">
        <v>13</v>
      </c>
      <c r="B283" s="110" t="inlineStr">
        <is>
          <t>Bebidas</t>
        </is>
      </c>
      <c r="C283" s="110" t="inlineStr">
        <is>
          <t>Brisa 600 ml</t>
        </is>
      </c>
      <c r="D283" s="110" t="inlineStr">
        <is>
          <t>AGUA BRISA PET 600ML (24)</t>
        </is>
      </c>
      <c r="E283" s="111" t="n">
        <v>10</v>
      </c>
      <c r="F283" s="112" t="n">
        <v>25600</v>
      </c>
      <c r="G283" s="112" t="n">
        <v>256000</v>
      </c>
    </row>
    <row r="284">
      <c r="A284" s="109" t="n">
        <v>13</v>
      </c>
      <c r="B284" s="110" t="inlineStr">
        <is>
          <t>Bebidas</t>
        </is>
      </c>
      <c r="C284" s="110" t="inlineStr">
        <is>
          <t>Coca-cola 400 ml pet (24)</t>
        </is>
      </c>
      <c r="D284" s="110" t="inlineStr">
        <is>
          <t>COCA-COLA 400ML PET (12)</t>
        </is>
      </c>
      <c r="E284" s="111" t="n">
        <v>10</v>
      </c>
      <c r="F284" s="114" t="n">
        <v>22467.2</v>
      </c>
      <c r="G284" s="112" t="n">
        <v>224672</v>
      </c>
    </row>
    <row r="285">
      <c r="A285" s="109" t="n">
        <v>13</v>
      </c>
      <c r="B285" s="110" t="inlineStr">
        <is>
          <t>Bebidas</t>
        </is>
      </c>
      <c r="C285" s="110" t="inlineStr">
        <is>
          <t>Gaseosa 400 ml</t>
        </is>
      </c>
      <c r="D285" s="110" t="inlineStr">
        <is>
          <t>QUATRO CHOICE 400ML NR (12)</t>
        </is>
      </c>
      <c r="E285" s="111" t="n">
        <v>1</v>
      </c>
      <c r="F285" s="112" t="n">
        <v>21093</v>
      </c>
      <c r="G285" s="112" t="n">
        <v>21093</v>
      </c>
    </row>
    <row r="286">
      <c r="A286" s="109" t="n">
        <v>13</v>
      </c>
      <c r="B286" s="110" t="inlineStr">
        <is>
          <t>Bebidas</t>
        </is>
      </c>
      <c r="C286" s="110" t="inlineStr">
        <is>
          <t xml:space="preserve">Agua con gas </t>
        </is>
      </c>
      <c r="D286" s="110" t="inlineStr">
        <is>
          <t>BRISA MANZANA 600ML PET(6)</t>
        </is>
      </c>
      <c r="E286" s="111" t="n">
        <v>3</v>
      </c>
      <c r="F286" s="114" t="n">
        <v>8403.33</v>
      </c>
      <c r="G286" s="112" t="n">
        <v>25210</v>
      </c>
    </row>
    <row r="287">
      <c r="A287" s="109" t="n">
        <v>13</v>
      </c>
      <c r="B287" s="110" t="inlineStr">
        <is>
          <t>Bebidas</t>
        </is>
      </c>
      <c r="C287" s="110" t="inlineStr">
        <is>
          <t>Bloque media</t>
        </is>
      </c>
      <c r="D287" s="110" t="inlineStr">
        <is>
          <t>BLOQUE MEDIA</t>
        </is>
      </c>
      <c r="E287" s="111" t="n">
        <v>2</v>
      </c>
      <c r="F287" s="112" t="n">
        <v>9500</v>
      </c>
      <c r="G287" s="112" t="n">
        <v>19000</v>
      </c>
    </row>
    <row r="288">
      <c r="A288" s="109" t="n">
        <v>13</v>
      </c>
      <c r="B288" s="110" t="inlineStr">
        <is>
          <t>Bebidas</t>
        </is>
      </c>
      <c r="C288" s="110" t="inlineStr">
        <is>
          <t>Bolsa 5kl tubular</t>
        </is>
      </c>
      <c r="D288" s="110" t="inlineStr">
        <is>
          <t>BOLSA X 5 KL TUBULAR</t>
        </is>
      </c>
      <c r="E288" s="111" t="n">
        <v>5</v>
      </c>
      <c r="F288" s="112" t="n">
        <v>5000</v>
      </c>
      <c r="G288" s="112" t="n">
        <v>25000</v>
      </c>
    </row>
    <row r="289">
      <c r="A289" s="129" t="n">
        <v>13</v>
      </c>
      <c r="B289" s="129" t="inlineStr">
        <is>
          <t>Grano</t>
        </is>
      </c>
      <c r="C289" s="129" t="inlineStr">
        <is>
          <t>Aceite de soya</t>
        </is>
      </c>
      <c r="D289" s="129" t="inlineStr">
        <is>
          <t>ACEITE DE SOY</t>
        </is>
      </c>
      <c r="E289" s="129" t="n">
        <v>3</v>
      </c>
      <c r="F289" s="129" t="n">
        <v>22990</v>
      </c>
      <c r="G289" s="129" t="n">
        <v>68970</v>
      </c>
    </row>
    <row r="290">
      <c r="A290" s="129" t="n">
        <v>13</v>
      </c>
      <c r="B290" s="129" t="inlineStr">
        <is>
          <t>Desechables</t>
        </is>
      </c>
      <c r="C290" s="129" t="inlineStr">
        <is>
          <t>Insecticida</t>
        </is>
      </c>
      <c r="D290" s="129" t="inlineStr">
        <is>
          <t>RATAQUILL X 50 GR</t>
        </is>
      </c>
      <c r="E290" s="129" t="n">
        <v>4</v>
      </c>
      <c r="F290" s="129" t="n">
        <v>11000</v>
      </c>
      <c r="G290" s="129" t="n">
        <v>44000</v>
      </c>
    </row>
    <row r="291">
      <c r="A291" s="129" t="n">
        <v>13</v>
      </c>
      <c r="B291" s="129" t="inlineStr">
        <is>
          <t>Desechables</t>
        </is>
      </c>
      <c r="C291" s="129" t="inlineStr">
        <is>
          <t>Mazamorra</t>
        </is>
      </c>
      <c r="D291" s="129" t="inlineStr">
        <is>
          <t>Mazamorra</t>
        </is>
      </c>
      <c r="E291" s="129" t="n">
        <v>1</v>
      </c>
      <c r="F291" s="129" t="n">
        <v>15000</v>
      </c>
      <c r="G291" s="129" t="n">
        <v>15000</v>
      </c>
    </row>
    <row r="292">
      <c r="A292" s="129" t="n">
        <v>13</v>
      </c>
      <c r="B292" s="129" t="inlineStr">
        <is>
          <t>Servicios</t>
        </is>
      </c>
      <c r="C292" s="129" t="inlineStr">
        <is>
          <t>Acopi</t>
        </is>
      </c>
      <c r="D292" s="129" t="inlineStr">
        <is>
          <t>Acopi</t>
        </is>
      </c>
      <c r="E292" s="129" t="n">
        <v>1</v>
      </c>
      <c r="F292" s="129" t="n">
        <v>30000</v>
      </c>
      <c r="G292" s="129" t="n">
        <v>30000</v>
      </c>
    </row>
    <row r="293">
      <c r="A293" s="129" t="n">
        <v>13</v>
      </c>
      <c r="B293" s="129" t="inlineStr">
        <is>
          <t>Carnes</t>
        </is>
      </c>
      <c r="C293" s="129" t="inlineStr">
        <is>
          <t>Rellena</t>
        </is>
      </c>
      <c r="D293" s="129" t="inlineStr">
        <is>
          <t>5 K Rellena</t>
        </is>
      </c>
      <c r="E293" s="129" t="n">
        <v>5</v>
      </c>
      <c r="F293" s="129" t="n">
        <v>19500</v>
      </c>
      <c r="G293" s="129" t="n">
        <v>97500</v>
      </c>
    </row>
    <row r="294">
      <c r="A294" s="129" t="n">
        <v>13</v>
      </c>
      <c r="B294" s="129" t="inlineStr">
        <is>
          <t>Desechables</t>
        </is>
      </c>
      <c r="C294" s="129" t="inlineStr">
        <is>
          <t>Esponja de brillo</t>
        </is>
      </c>
      <c r="D294" s="129" t="inlineStr">
        <is>
          <t>2 Pts Esponjas</t>
        </is>
      </c>
      <c r="E294" s="129" t="n">
        <v>2</v>
      </c>
      <c r="F294" s="129" t="n">
        <v>9000</v>
      </c>
      <c r="G294" s="129" t="n">
        <v>18000</v>
      </c>
    </row>
    <row r="295">
      <c r="A295" s="129" t="n">
        <v>13</v>
      </c>
      <c r="B295" s="129" t="inlineStr">
        <is>
          <t>Servicios</t>
        </is>
      </c>
      <c r="C295" s="129" t="inlineStr">
        <is>
          <t>Arreglo Tubos x Materiales</t>
        </is>
      </c>
      <c r="D295" s="129" t="inlineStr">
        <is>
          <t>1 Pliego Lija</t>
        </is>
      </c>
      <c r="E295" s="129" t="n">
        <v>1</v>
      </c>
      <c r="F295" s="129" t="n">
        <v>5000</v>
      </c>
      <c r="G295" s="129" t="n">
        <v>5000</v>
      </c>
    </row>
    <row r="296">
      <c r="A296" s="129" t="n">
        <v>13</v>
      </c>
      <c r="B296" s="129" t="inlineStr">
        <is>
          <t>Verduras</t>
        </is>
      </c>
      <c r="C296" s="129" t="inlineStr">
        <is>
          <t>Aguacate</t>
        </is>
      </c>
      <c r="D296" s="129" t="inlineStr">
        <is>
          <t>10 - Aguacates</t>
        </is>
      </c>
      <c r="E296" s="129" t="n">
        <v>10</v>
      </c>
      <c r="F296" s="129" t="n">
        <v>8000</v>
      </c>
      <c r="G296" s="129" t="n">
        <v>80000</v>
      </c>
    </row>
    <row r="297">
      <c r="A297" s="129" t="n">
        <v>13</v>
      </c>
      <c r="B297" s="129" t="inlineStr">
        <is>
          <t>Verduras</t>
        </is>
      </c>
      <c r="C297" s="129" t="inlineStr">
        <is>
          <t>Atados hojas</t>
        </is>
      </c>
      <c r="D297" s="129" t="inlineStr">
        <is>
          <t>20 - Atados Hoja</t>
        </is>
      </c>
      <c r="E297" s="129" t="n">
        <v>20</v>
      </c>
      <c r="F297" s="129" t="n">
        <v>2500</v>
      </c>
      <c r="G297" s="129" t="n">
        <v>50000</v>
      </c>
    </row>
    <row r="298">
      <c r="A298" s="129" t="n">
        <v>13</v>
      </c>
      <c r="B298" s="129" t="inlineStr">
        <is>
          <t>Verduras</t>
        </is>
      </c>
      <c r="C298" s="129" t="inlineStr">
        <is>
          <t>Masa t</t>
        </is>
      </c>
      <c r="D298" s="129" t="inlineStr">
        <is>
          <t>6 - Kls. Masa t.</t>
        </is>
      </c>
      <c r="E298" s="129" t="n">
        <v>6</v>
      </c>
      <c r="F298" s="129" t="n">
        <v>3500</v>
      </c>
      <c r="G298" s="129" t="n">
        <v>21000</v>
      </c>
    </row>
    <row r="299">
      <c r="A299" s="129" t="n">
        <v>13</v>
      </c>
      <c r="B299" s="129" t="inlineStr">
        <is>
          <t>Verduras</t>
        </is>
      </c>
      <c r="C299" s="129" t="inlineStr">
        <is>
          <t>Guasca</t>
        </is>
      </c>
      <c r="D299" s="129" t="inlineStr">
        <is>
          <t>Guasca</t>
        </is>
      </c>
      <c r="E299" s="129" t="n">
        <v>1</v>
      </c>
      <c r="F299" s="129" t="n">
        <v>5000</v>
      </c>
      <c r="G299" s="129" t="n">
        <v>5000</v>
      </c>
    </row>
    <row r="300">
      <c r="A300" s="129" t="n">
        <v>13</v>
      </c>
      <c r="B300" s="129" t="inlineStr">
        <is>
          <t>Verduras</t>
        </is>
      </c>
      <c r="C300" s="129" t="inlineStr">
        <is>
          <t>Mombara</t>
        </is>
      </c>
      <c r="D300" s="129" t="inlineStr">
        <is>
          <t>Mambara y Amarillo</t>
        </is>
      </c>
      <c r="E300" s="129" t="n">
        <v>1</v>
      </c>
      <c r="F300" s="129" t="n">
        <v>18000</v>
      </c>
      <c r="G300" s="129" t="n">
        <v>18000</v>
      </c>
    </row>
    <row r="301">
      <c r="A301" s="129" t="n">
        <v>13</v>
      </c>
      <c r="B301" s="129" t="inlineStr">
        <is>
          <t>Bebidas</t>
        </is>
      </c>
      <c r="C301" s="129" t="inlineStr">
        <is>
          <t>Vino tinto</t>
        </is>
      </c>
      <c r="D301" s="129" t="inlineStr">
        <is>
          <t>Vino de cocina</t>
        </is>
      </c>
      <c r="E301" s="129" t="n">
        <v>1</v>
      </c>
      <c r="F301" s="129" t="n">
        <v>29000</v>
      </c>
      <c r="G301" s="129" t="n">
        <v>29000</v>
      </c>
    </row>
    <row r="302">
      <c r="A302" s="129" t="n">
        <v>13</v>
      </c>
      <c r="B302" s="129" t="inlineStr">
        <is>
          <t>Verduras</t>
        </is>
      </c>
      <c r="C302" s="129" t="inlineStr">
        <is>
          <t>Cocos</t>
        </is>
      </c>
      <c r="D302" s="129" t="inlineStr">
        <is>
          <t>5 - Cocos</t>
        </is>
      </c>
      <c r="E302" s="129" t="n">
        <v>5</v>
      </c>
      <c r="F302" s="129" t="n">
        <v>8000</v>
      </c>
      <c r="G302" s="129" t="n">
        <v>40000</v>
      </c>
    </row>
    <row r="303">
      <c r="A303" s="129" t="n">
        <v>13</v>
      </c>
      <c r="B303" s="129" t="inlineStr">
        <is>
          <t>Grano</t>
        </is>
      </c>
      <c r="C303" s="129" t="inlineStr">
        <is>
          <t>Pasta la muñeca</t>
        </is>
      </c>
      <c r="D303" s="129" t="inlineStr">
        <is>
          <t>PASTA LA MUNECA*500g CONCHA (x4)</t>
        </is>
      </c>
      <c r="E303" s="129" t="n">
        <v>4</v>
      </c>
      <c r="F303" s="129" t="n">
        <v>3900</v>
      </c>
      <c r="G303" s="129" t="n">
        <v>15600</v>
      </c>
    </row>
    <row r="304">
      <c r="A304" s="129" t="n">
        <v>13</v>
      </c>
      <c r="B304" s="129" t="inlineStr">
        <is>
          <t>Verduras</t>
        </is>
      </c>
      <c r="C304" s="129" t="inlineStr">
        <is>
          <t>Zanahoria</t>
        </is>
      </c>
      <c r="D304" s="129" t="inlineStr">
        <is>
          <t>ZANAHORIA SELECTA A GRANEL (3.6kg + 3.725kg)</t>
        </is>
      </c>
      <c r="E304" s="129" t="n">
        <v>7.325</v>
      </c>
      <c r="F304" s="129" t="n">
        <v>4800</v>
      </c>
      <c r="G304" s="129" t="n">
        <v>35160</v>
      </c>
    </row>
    <row r="305">
      <c r="A305" s="129" t="n">
        <v>13</v>
      </c>
      <c r="B305" s="129" t="inlineStr">
        <is>
          <t>Verduras</t>
        </is>
      </c>
      <c r="C305" s="129" t="inlineStr">
        <is>
          <t>Perejil</t>
        </is>
      </c>
      <c r="D305" s="129" t="inlineStr">
        <is>
          <t>PEREJIL*und LISO (x4)</t>
        </is>
      </c>
      <c r="E305" s="129" t="n">
        <v>4</v>
      </c>
      <c r="F305" s="129" t="n">
        <v>1150</v>
      </c>
      <c r="G305" s="129" t="n">
        <v>4600</v>
      </c>
    </row>
    <row r="306">
      <c r="A306" s="129" t="n">
        <v>13</v>
      </c>
      <c r="B306" s="129" t="inlineStr">
        <is>
          <t>Desechables</t>
        </is>
      </c>
      <c r="C306" s="129" t="inlineStr">
        <is>
          <t>Mercancias Varias Excentas</t>
        </is>
      </c>
      <c r="D306" s="129" t="inlineStr">
        <is>
          <t>GRAPADORA AH ROYAL GRANDE PARA 30HJ</t>
        </is>
      </c>
      <c r="E306" s="129" t="n">
        <v>1</v>
      </c>
      <c r="F306" s="129" t="n">
        <v>28950</v>
      </c>
      <c r="G306" s="129" t="n">
        <v>28950</v>
      </c>
    </row>
    <row r="307">
      <c r="A307" s="109" t="n">
        <v>14</v>
      </c>
      <c r="B307" s="110" t="inlineStr">
        <is>
          <t>Carnes</t>
        </is>
      </c>
      <c r="C307" s="110" t="inlineStr">
        <is>
          <t>Costilla de cerdo especial</t>
        </is>
      </c>
      <c r="D307" s="110" t="inlineStr">
        <is>
          <t>COSTILLA CERDO ESP CR (BS) X 4 KG</t>
        </is>
      </c>
      <c r="E307" s="111" t="n">
        <v>40</v>
      </c>
      <c r="F307" s="112" t="n">
        <v>18200</v>
      </c>
      <c r="G307" s="112" t="n">
        <v>728000</v>
      </c>
    </row>
    <row r="308">
      <c r="A308" s="109" t="n">
        <v>14</v>
      </c>
      <c r="B308" s="110" t="inlineStr">
        <is>
          <t>Carnes</t>
        </is>
      </c>
      <c r="C308" s="110" t="inlineStr">
        <is>
          <t>Tilapia y truchas</t>
        </is>
      </c>
      <c r="D308" s="110" t="inlineStr">
        <is>
          <t>TILAPIA ROJA SIN ESCAM A Y AGALLAS 450-550 LIB RA</t>
        </is>
      </c>
      <c r="E308" s="111" t="n">
        <v>21</v>
      </c>
      <c r="F308" s="112" t="n">
        <v>16000</v>
      </c>
      <c r="G308" s="112" t="n">
        <v>336000</v>
      </c>
    </row>
    <row r="309">
      <c r="A309" s="109" t="n">
        <v>14</v>
      </c>
      <c r="B309" s="110" t="inlineStr">
        <is>
          <t>Carnes</t>
        </is>
      </c>
      <c r="C309" s="110" t="inlineStr">
        <is>
          <t>Salmon</t>
        </is>
      </c>
      <c r="D309" s="110" t="inlineStr">
        <is>
          <t>Filete de Salmon Grande</t>
        </is>
      </c>
      <c r="E309" s="113" t="n">
        <v>9.23</v>
      </c>
      <c r="F309" s="112" t="n">
        <v>55000</v>
      </c>
      <c r="G309" s="112" t="n">
        <v>507650</v>
      </c>
    </row>
    <row r="310">
      <c r="A310" s="109" t="n">
        <v>14</v>
      </c>
      <c r="B310" s="110" t="inlineStr">
        <is>
          <t>Bebidas</t>
        </is>
      </c>
      <c r="C310" s="110" t="inlineStr">
        <is>
          <t xml:space="preserve">Agua con gas </t>
        </is>
      </c>
      <c r="D310" s="110" t="inlineStr">
        <is>
          <t>AGUA CRISTAL CON GAS 600 ML PET X 24</t>
        </is>
      </c>
      <c r="E310" s="111" t="n">
        <v>72</v>
      </c>
      <c r="F310" s="112" t="n">
        <v>1500</v>
      </c>
      <c r="G310" s="112" t="n">
        <v>108000</v>
      </c>
    </row>
    <row r="311">
      <c r="A311" s="109" t="n">
        <v>14</v>
      </c>
      <c r="B311" s="110" t="inlineStr">
        <is>
          <t>Bebidas</t>
        </is>
      </c>
      <c r="C311" s="110" t="inlineStr">
        <is>
          <t>Piña nacional 350 ml vidrio r x 30</t>
        </is>
      </c>
      <c r="D311" s="110" t="inlineStr">
        <is>
          <t>PIÑA NACIONAL 350 ML VIDRIO R X 30</t>
        </is>
      </c>
      <c r="E311" s="111" t="n">
        <v>15</v>
      </c>
      <c r="F311" s="114" t="n">
        <v>1450.98</v>
      </c>
      <c r="G311" s="114" t="n">
        <v>21764.7</v>
      </c>
    </row>
    <row r="312">
      <c r="A312" s="109" t="n">
        <v>14</v>
      </c>
      <c r="B312" s="110" t="inlineStr">
        <is>
          <t>Bebidas</t>
        </is>
      </c>
      <c r="C312" s="110" t="inlineStr">
        <is>
          <t>Gaseosa 350 ml</t>
        </is>
      </c>
      <c r="D312" s="110" t="inlineStr">
        <is>
          <t>COLOMBIANA NACIONAL 350 ML VIDRIO R X 30</t>
        </is>
      </c>
      <c r="E312" s="111" t="n">
        <v>15</v>
      </c>
      <c r="F312" s="114" t="n">
        <v>1450.98</v>
      </c>
      <c r="G312" s="114" t="n">
        <v>21764.7</v>
      </c>
    </row>
    <row r="313">
      <c r="A313" s="109" t="n">
        <v>14</v>
      </c>
      <c r="B313" s="110" t="inlineStr">
        <is>
          <t>Bebidas</t>
        </is>
      </c>
      <c r="C313" s="110" t="inlineStr">
        <is>
          <t>Gaseosa 350 ml</t>
        </is>
      </c>
      <c r="D313" s="110" t="inlineStr">
        <is>
          <t>POPULAR 350 ML VIDRIO R X 30</t>
        </is>
      </c>
      <c r="E313" s="111" t="n">
        <v>15</v>
      </c>
      <c r="F313" s="114" t="n">
        <v>1450.98</v>
      </c>
      <c r="G313" s="114" t="n">
        <v>21764.7</v>
      </c>
    </row>
    <row r="314">
      <c r="A314" s="109" t="n">
        <v>14</v>
      </c>
      <c r="B314" s="110" t="inlineStr">
        <is>
          <t>Bebidas</t>
        </is>
      </c>
      <c r="C314" s="110" t="inlineStr">
        <is>
          <t>Gaseosa 350 ml</t>
        </is>
      </c>
      <c r="D314" s="110" t="inlineStr">
        <is>
          <t>UVA POSTOBON 350 ML VIDRIO R X 30</t>
        </is>
      </c>
      <c r="E314" s="111" t="n">
        <v>15</v>
      </c>
      <c r="F314" s="114" t="n">
        <v>1450.98</v>
      </c>
      <c r="G314" s="114" t="n">
        <v>21764.7</v>
      </c>
    </row>
    <row r="315">
      <c r="A315" s="109" t="n">
        <v>14</v>
      </c>
      <c r="B315" s="110" t="inlineStr">
        <is>
          <t>Bebidas</t>
        </is>
      </c>
      <c r="C315" s="110" t="inlineStr">
        <is>
          <t>Gaseosa 350 ml</t>
        </is>
      </c>
      <c r="D315" s="110" t="inlineStr">
        <is>
          <t>NARANJA POSTOBON 350 ML VIDRIO R X 30</t>
        </is>
      </c>
      <c r="E315" s="111" t="n">
        <v>15</v>
      </c>
      <c r="F315" s="114" t="n">
        <v>1450.98</v>
      </c>
      <c r="G315" s="114" t="n">
        <v>21764.7</v>
      </c>
    </row>
    <row r="316">
      <c r="A316" s="109" t="n">
        <v>14</v>
      </c>
      <c r="B316" s="110" t="inlineStr">
        <is>
          <t>Bebidas</t>
        </is>
      </c>
      <c r="C316" s="110" t="inlineStr">
        <is>
          <t>Mr. tea</t>
        </is>
      </c>
      <c r="D316" s="110" t="inlineStr">
        <is>
          <t>DURAZNO MR TEA 500 ML PET X12</t>
        </is>
      </c>
      <c r="E316" s="111" t="n">
        <v>12</v>
      </c>
      <c r="F316" s="114" t="n">
        <v>1890.76</v>
      </c>
      <c r="G316" s="114" t="n">
        <v>22689.12</v>
      </c>
    </row>
    <row r="317">
      <c r="A317" s="109" t="n">
        <v>14</v>
      </c>
      <c r="B317" s="110" t="inlineStr">
        <is>
          <t>Bebidas</t>
        </is>
      </c>
      <c r="C317" s="110" t="inlineStr">
        <is>
          <t>Mr. tea</t>
        </is>
      </c>
      <c r="D317" s="110" t="inlineStr">
        <is>
          <t>LIMON MR TEA 500 ML PET X 12</t>
        </is>
      </c>
      <c r="E317" s="111" t="n">
        <v>12</v>
      </c>
      <c r="F317" s="114" t="n">
        <v>1890.76</v>
      </c>
      <c r="G317" s="114" t="n">
        <v>22689.12</v>
      </c>
    </row>
    <row r="318">
      <c r="A318" s="109" t="n">
        <v>14</v>
      </c>
      <c r="B318" s="110" t="inlineStr">
        <is>
          <t>Bebidas</t>
        </is>
      </c>
      <c r="C318" s="110" t="inlineStr">
        <is>
          <t>H2o</t>
        </is>
      </c>
      <c r="D318" s="110" t="inlineStr">
        <is>
          <t>MARACUYA H2OH! 600 ML PET X 15</t>
        </is>
      </c>
      <c r="E318" s="111" t="n">
        <v>15</v>
      </c>
      <c r="F318" s="114" t="n">
        <v>1820.73</v>
      </c>
      <c r="G318" s="114" t="n">
        <v>27310.95</v>
      </c>
    </row>
    <row r="319">
      <c r="A319" s="109" t="n">
        <v>14</v>
      </c>
      <c r="B319" s="110" t="inlineStr">
        <is>
          <t>Bebidas</t>
        </is>
      </c>
      <c r="C319" s="110" t="inlineStr">
        <is>
          <t>H2o</t>
        </is>
      </c>
      <c r="D319" s="110" t="inlineStr">
        <is>
          <t>LIMONATA H2OH! 600 ML PET X 15</t>
        </is>
      </c>
      <c r="E319" s="111" t="n">
        <v>15</v>
      </c>
      <c r="F319" s="114" t="n">
        <v>1820.73</v>
      </c>
      <c r="G319" s="114" t="n">
        <v>27310.95</v>
      </c>
    </row>
    <row r="320">
      <c r="A320" s="109" t="n">
        <v>14</v>
      </c>
      <c r="B320" s="110" t="inlineStr">
        <is>
          <t>Bebidas</t>
        </is>
      </c>
      <c r="C320" s="110" t="inlineStr">
        <is>
          <t>H2o</t>
        </is>
      </c>
      <c r="D320" s="110" t="inlineStr">
        <is>
          <t>LIMA LIMON H2Oh! 600 ML PET X 15</t>
        </is>
      </c>
      <c r="E320" s="111" t="n">
        <v>15</v>
      </c>
      <c r="F320" s="114" t="n">
        <v>1820.73</v>
      </c>
      <c r="G320" s="114" t="n">
        <v>27310.95</v>
      </c>
    </row>
    <row r="321">
      <c r="A321" s="109" t="n">
        <v>14</v>
      </c>
      <c r="B321" s="110" t="inlineStr">
        <is>
          <t>Bebidas</t>
        </is>
      </c>
      <c r="C321" s="110" t="inlineStr">
        <is>
          <t>Gatorade</t>
        </is>
      </c>
      <c r="D321" s="110" t="inlineStr">
        <is>
          <t>BLUE ICE GATORADE 500 ML PET X 12</t>
        </is>
      </c>
      <c r="E321" s="111" t="n">
        <v>12</v>
      </c>
      <c r="F321" s="114" t="n">
        <v>2731.09</v>
      </c>
      <c r="G321" s="114" t="n">
        <v>32773.08</v>
      </c>
    </row>
    <row r="322">
      <c r="A322" s="109" t="n">
        <v>14</v>
      </c>
      <c r="B322" s="110" t="inlineStr">
        <is>
          <t>Bebidas</t>
        </is>
      </c>
      <c r="C322" s="110" t="inlineStr">
        <is>
          <t>Gaseosa 1.5 lit</t>
        </is>
      </c>
      <c r="D322" s="110" t="inlineStr">
        <is>
          <t>COLOMBIANA NACIONAL 1.750 ML PET X 12 PM</t>
        </is>
      </c>
      <c r="E322" s="111" t="n">
        <v>12</v>
      </c>
      <c r="F322" s="114" t="n">
        <v>3151.26</v>
      </c>
      <c r="G322" s="114" t="n">
        <v>37815.12</v>
      </c>
    </row>
    <row r="323">
      <c r="A323" s="109" t="n">
        <v>14</v>
      </c>
      <c r="B323" s="110" t="inlineStr">
        <is>
          <t>Bebidas</t>
        </is>
      </c>
      <c r="C323" s="110" t="inlineStr">
        <is>
          <t>Gatorade</t>
        </is>
      </c>
      <c r="D323" s="110" t="inlineStr">
        <is>
          <t>FRUTAS TROPICAL. GATORADE 500 ML PET X12</t>
        </is>
      </c>
      <c r="E323" s="111" t="n">
        <v>24</v>
      </c>
      <c r="F323" s="114" t="n">
        <v>2731.09</v>
      </c>
      <c r="G323" s="114" t="n">
        <v>65546.16</v>
      </c>
    </row>
    <row r="324">
      <c r="A324" s="109" t="n">
        <v>14</v>
      </c>
      <c r="B324" s="110" t="inlineStr">
        <is>
          <t>Carnes</t>
        </is>
      </c>
      <c r="C324" s="110" t="inlineStr">
        <is>
          <t>Lomo viche</t>
        </is>
      </c>
      <c r="D324" s="110" t="inlineStr">
        <is>
          <t>LOMO VICHE ESPECIAL DE RES</t>
        </is>
      </c>
      <c r="E324" s="111" t="n">
        <v>10</v>
      </c>
      <c r="F324" s="112" t="n">
        <v>53000</v>
      </c>
      <c r="G324" s="112" t="n">
        <v>530000</v>
      </c>
    </row>
    <row r="325">
      <c r="A325" s="129" t="n">
        <v>14</v>
      </c>
      <c r="B325" s="129" t="inlineStr">
        <is>
          <t>Bebidas</t>
        </is>
      </c>
      <c r="C325" s="129" t="inlineStr">
        <is>
          <t>Bloque media</t>
        </is>
      </c>
      <c r="D325" s="129" t="inlineStr">
        <is>
          <t>25 - BLOQUE MEDIA</t>
        </is>
      </c>
      <c r="E325" s="129" t="n">
        <v>2</v>
      </c>
      <c r="F325" s="129" t="n">
        <v>9500</v>
      </c>
      <c r="G325" s="129" t="n">
        <v>19000</v>
      </c>
    </row>
    <row r="326">
      <c r="A326" s="129" t="n">
        <v>14</v>
      </c>
      <c r="B326" s="129" t="inlineStr">
        <is>
          <t>Bebidas</t>
        </is>
      </c>
      <c r="C326" s="129" t="inlineStr">
        <is>
          <t>Bolsa 5kl tubular</t>
        </is>
      </c>
      <c r="D326" s="129" t="inlineStr">
        <is>
          <t>7709046020616 - BOLSA X 5 KL TUBULAR</t>
        </is>
      </c>
      <c r="E326" s="129" t="n">
        <v>3</v>
      </c>
      <c r="F326" s="129" t="n">
        <v>5000</v>
      </c>
      <c r="G326" s="129" t="n">
        <v>15000</v>
      </c>
    </row>
    <row r="327">
      <c r="A327" s="129" t="n">
        <v>14</v>
      </c>
      <c r="B327" s="129" t="inlineStr">
        <is>
          <t>Grano</t>
        </is>
      </c>
      <c r="C327" s="129" t="inlineStr">
        <is>
          <t>Panela</t>
        </is>
      </c>
      <c r="D327" s="129" t="inlineStr">
        <is>
          <t>Panela</t>
        </is>
      </c>
      <c r="E327" s="129" t="n">
        <v>10</v>
      </c>
      <c r="F327" s="129" t="n">
        <v>13000</v>
      </c>
      <c r="G327" s="129" t="n">
        <v>130000</v>
      </c>
    </row>
    <row r="328">
      <c r="A328" s="129" t="n">
        <v>14</v>
      </c>
      <c r="B328" s="129" t="inlineStr">
        <is>
          <t>Servicios</t>
        </is>
      </c>
      <c r="C328" s="129" t="inlineStr">
        <is>
          <t>Acopi</t>
        </is>
      </c>
      <c r="D328" s="129" t="inlineStr">
        <is>
          <t>Acopi</t>
        </is>
      </c>
      <c r="E328" s="129" t="n">
        <v>1</v>
      </c>
      <c r="F328" s="129" t="n">
        <v>30000</v>
      </c>
      <c r="G328" s="129" t="n">
        <v>30000</v>
      </c>
    </row>
    <row r="329">
      <c r="A329" s="129" t="n">
        <v>14</v>
      </c>
      <c r="B329" s="129" t="inlineStr">
        <is>
          <t>Desechables</t>
        </is>
      </c>
      <c r="C329" s="129" t="inlineStr">
        <is>
          <t>Mazamorra</t>
        </is>
      </c>
      <c r="D329" s="129" t="inlineStr">
        <is>
          <t>Mazamorra</t>
        </is>
      </c>
      <c r="E329" s="129" t="n">
        <v>1</v>
      </c>
      <c r="F329" s="129" t="n">
        <v>10000</v>
      </c>
      <c r="G329" s="129" t="n">
        <v>10000</v>
      </c>
    </row>
    <row r="330">
      <c r="A330" s="109" t="n">
        <v>15</v>
      </c>
      <c r="B330" s="110" t="inlineStr">
        <is>
          <t>Bebidas</t>
        </is>
      </c>
      <c r="C330" s="110" t="inlineStr">
        <is>
          <t xml:space="preserve">Limonada coco </t>
        </is>
      </c>
      <c r="D330" s="110" t="inlineStr">
        <is>
          <t>LIMONADA DE COCO FUSIONADA X 10</t>
        </is>
      </c>
      <c r="E330" s="111" t="n">
        <v>3</v>
      </c>
      <c r="F330" s="112" t="n">
        <v>26000</v>
      </c>
      <c r="G330" s="112" t="n">
        <v>78000</v>
      </c>
    </row>
    <row r="331">
      <c r="A331" s="109" t="n">
        <v>15</v>
      </c>
      <c r="B331" s="110" t="inlineStr">
        <is>
          <t>Carnes</t>
        </is>
      </c>
      <c r="C331" s="110" t="inlineStr">
        <is>
          <t>Bagre de mar</t>
        </is>
      </c>
      <c r="D331" s="110" t="inlineStr">
        <is>
          <t>BAGRE DE MAR</t>
        </is>
      </c>
      <c r="E331" s="111" t="n">
        <v>20</v>
      </c>
      <c r="F331" s="112" t="n">
        <v>16500</v>
      </c>
      <c r="G331" s="112" t="n">
        <v>330000</v>
      </c>
    </row>
    <row r="332">
      <c r="A332" s="109" t="n">
        <v>15</v>
      </c>
      <c r="B332" s="110" t="inlineStr">
        <is>
          <t>Carnes</t>
        </is>
      </c>
      <c r="C332" s="110" t="inlineStr">
        <is>
          <t>Sobrebarriga delgada</t>
        </is>
      </c>
      <c r="D332" s="110" t="inlineStr">
        <is>
          <t>SOBREBARRIGA DE RES</t>
        </is>
      </c>
      <c r="E332" s="111" t="n">
        <v>15</v>
      </c>
      <c r="F332" s="112" t="n">
        <v>30000</v>
      </c>
      <c r="G332" s="112" t="n">
        <v>450000</v>
      </c>
    </row>
    <row r="333">
      <c r="A333" s="109" t="n">
        <v>15</v>
      </c>
      <c r="B333" s="110" t="inlineStr">
        <is>
          <t>Carnes</t>
        </is>
      </c>
      <c r="C333" s="110" t="inlineStr">
        <is>
          <t>Lengua de res</t>
        </is>
      </c>
      <c r="D333" s="110" t="inlineStr">
        <is>
          <t>LENGUA DE RES</t>
        </is>
      </c>
      <c r="E333" s="111" t="n">
        <v>13</v>
      </c>
      <c r="F333" s="112" t="n">
        <v>24400</v>
      </c>
      <c r="G333" s="112" t="n">
        <v>317200</v>
      </c>
    </row>
    <row r="334">
      <c r="A334" s="128" t="n">
        <v>15</v>
      </c>
      <c r="B334" s="130" t="inlineStr">
        <is>
          <t>Carnes</t>
        </is>
      </c>
      <c r="C334" s="130" t="inlineStr">
        <is>
          <t>Lomo de cerdo</t>
        </is>
      </c>
      <c r="D334" s="130" t="inlineStr">
        <is>
          <t>LOMO DE CERDO</t>
        </is>
      </c>
      <c r="E334" s="131" t="n">
        <v>21.11</v>
      </c>
      <c r="F334" s="133" t="n">
        <v>19500</v>
      </c>
      <c r="G334" s="133" t="n">
        <v>411645</v>
      </c>
    </row>
    <row r="335">
      <c r="A335" s="128" t="n">
        <v>15</v>
      </c>
      <c r="B335" s="130" t="inlineStr">
        <is>
          <t>Carnes</t>
        </is>
      </c>
      <c r="C335" s="130" t="inlineStr">
        <is>
          <t>Lengua de res</t>
        </is>
      </c>
      <c r="D335" s="130" t="inlineStr">
        <is>
          <t>LENGUA</t>
        </is>
      </c>
      <c r="E335" s="131" t="n">
        <v>5.2</v>
      </c>
      <c r="F335" s="133" t="n">
        <v>23500</v>
      </c>
      <c r="G335" s="133" t="n">
        <v>122200</v>
      </c>
    </row>
    <row r="336">
      <c r="A336" s="128" t="n">
        <v>15</v>
      </c>
      <c r="B336" s="130" t="inlineStr">
        <is>
          <t>Bebidas</t>
        </is>
      </c>
      <c r="C336" s="130" t="inlineStr">
        <is>
          <t>Costeñita</t>
        </is>
      </c>
      <c r="D336" s="130" t="inlineStr">
        <is>
          <t>CERV.COSTENITA*175 BOT</t>
        </is>
      </c>
      <c r="E336" s="132" t="n">
        <v>2</v>
      </c>
      <c r="F336" s="133" t="n">
        <v>69700</v>
      </c>
      <c r="G336" s="133" t="n">
        <v>139400</v>
      </c>
    </row>
    <row r="337">
      <c r="A337" s="128" t="n">
        <v>15</v>
      </c>
      <c r="B337" s="130" t="inlineStr">
        <is>
          <t>Bebidas</t>
        </is>
      </c>
      <c r="C337" s="130" t="inlineStr">
        <is>
          <t>Corona</t>
        </is>
      </c>
      <c r="D337" s="130" t="inlineStr">
        <is>
          <t>CERV.CORONITA*210ml</t>
        </is>
      </c>
      <c r="E337" s="132" t="n">
        <v>1</v>
      </c>
      <c r="F337" s="133" t="n">
        <v>74500</v>
      </c>
      <c r="G337" s="133" t="n">
        <v>74500</v>
      </c>
    </row>
    <row r="338">
      <c r="A338" s="128" t="n">
        <v>15</v>
      </c>
      <c r="B338" s="130" t="inlineStr">
        <is>
          <t>Bebidas</t>
        </is>
      </c>
      <c r="C338" s="130" t="inlineStr">
        <is>
          <t>Poker</t>
        </is>
      </c>
      <c r="D338" s="130" t="inlineStr">
        <is>
          <t>CERV.POKER*330 LATA</t>
        </is>
      </c>
      <c r="E338" s="132" t="n">
        <v>1</v>
      </c>
      <c r="F338" s="133" t="n">
        <v>74500</v>
      </c>
      <c r="G338" s="133" t="n">
        <v>74500</v>
      </c>
    </row>
    <row r="339">
      <c r="A339" s="128" t="n">
        <v>15</v>
      </c>
      <c r="B339" s="130" t="inlineStr">
        <is>
          <t>Bebidas</t>
        </is>
      </c>
      <c r="C339" s="130" t="inlineStr">
        <is>
          <t>Cerveza Light</t>
        </is>
      </c>
      <c r="D339" s="130" t="inlineStr">
        <is>
          <t>CERV.LIGH*330 LATA</t>
        </is>
      </c>
      <c r="E339" s="132" t="n">
        <v>1</v>
      </c>
      <c r="F339" s="133" t="n">
        <v>75500</v>
      </c>
      <c r="G339" s="133" t="n">
        <v>75500</v>
      </c>
    </row>
    <row r="340">
      <c r="A340" s="128" t="n">
        <v>15</v>
      </c>
      <c r="B340" s="130" t="inlineStr">
        <is>
          <t>Bebidas</t>
        </is>
      </c>
      <c r="C340" s="130" t="inlineStr">
        <is>
          <t>Bloque media</t>
        </is>
      </c>
      <c r="D340" s="130" t="inlineStr">
        <is>
          <t>BLOQUE MEDIA</t>
        </is>
      </c>
      <c r="E340" s="132" t="n">
        <v>2</v>
      </c>
      <c r="F340" s="133" t="n">
        <v>9500</v>
      </c>
      <c r="G340" s="133" t="n">
        <v>19000</v>
      </c>
    </row>
    <row r="341">
      <c r="A341" s="128" t="n">
        <v>15</v>
      </c>
      <c r="B341" s="130" t="inlineStr">
        <is>
          <t>Bebidas</t>
        </is>
      </c>
      <c r="C341" s="130" t="inlineStr">
        <is>
          <t>Bolsa 5kl tubular</t>
        </is>
      </c>
      <c r="D341" s="130" t="inlineStr">
        <is>
          <t>BOLSA X 5 KL TUBULAR</t>
        </is>
      </c>
      <c r="E341" s="132" t="n">
        <v>3</v>
      </c>
      <c r="F341" s="133" t="n">
        <v>5000</v>
      </c>
      <c r="G341" s="133" t="n">
        <v>15000</v>
      </c>
    </row>
    <row r="342">
      <c r="A342" s="128" t="n">
        <v>15</v>
      </c>
      <c r="B342" s="130" t="inlineStr">
        <is>
          <t>Desechables</t>
        </is>
      </c>
      <c r="C342" s="130" t="inlineStr">
        <is>
          <t>Mazamorra</t>
        </is>
      </c>
      <c r="D342" s="130" t="inlineStr">
        <is>
          <t>MAZAMORRA</t>
        </is>
      </c>
      <c r="E342" s="132" t="n">
        <v>1</v>
      </c>
      <c r="F342" s="133" t="n">
        <v>20000</v>
      </c>
      <c r="G342" s="133" t="n">
        <v>20000</v>
      </c>
    </row>
    <row r="343">
      <c r="A343" t="n">
        <v>15</v>
      </c>
      <c r="B343" t="inlineStr">
        <is>
          <t>Bebidas</t>
        </is>
      </c>
      <c r="C343" t="inlineStr">
        <is>
          <t>Costeita</t>
        </is>
      </c>
      <c r="D343" t="inlineStr">
        <is>
          <t>CERV.COSTENITA*175 BOT</t>
        </is>
      </c>
      <c r="E343" t="n">
        <v>2</v>
      </c>
      <c r="F343" t="n">
        <v>69700</v>
      </c>
      <c r="G343" t="n">
        <v>139400</v>
      </c>
    </row>
    <row r="344">
      <c r="A344" t="n">
        <v>15</v>
      </c>
      <c r="B344" t="inlineStr">
        <is>
          <t>Bebidas</t>
        </is>
      </c>
      <c r="C344" t="inlineStr">
        <is>
          <t>Corona</t>
        </is>
      </c>
      <c r="D344" t="inlineStr">
        <is>
          <t>CERV.CORONITA*210ml</t>
        </is>
      </c>
      <c r="E344" t="n">
        <v>1</v>
      </c>
      <c r="F344" t="n">
        <v>74500</v>
      </c>
      <c r="G344" t="n">
        <v>74500</v>
      </c>
    </row>
    <row r="345">
      <c r="A345" t="n">
        <v>15</v>
      </c>
      <c r="B345" t="inlineStr">
        <is>
          <t>Bebidas</t>
        </is>
      </c>
      <c r="C345" t="inlineStr">
        <is>
          <t>Poker</t>
        </is>
      </c>
      <c r="D345" t="inlineStr">
        <is>
          <t>CERV.POKER*330 LATA</t>
        </is>
      </c>
      <c r="E345" t="n">
        <v>1</v>
      </c>
      <c r="F345" t="n">
        <v>74500</v>
      </c>
      <c r="G345" t="n">
        <v>74500</v>
      </c>
    </row>
    <row r="346">
      <c r="A346" t="n">
        <v>15</v>
      </c>
      <c r="B346" t="inlineStr">
        <is>
          <t>Bebidas</t>
        </is>
      </c>
      <c r="C346" t="inlineStr">
        <is>
          <t>Cerveza Light</t>
        </is>
      </c>
      <c r="D346" t="inlineStr">
        <is>
          <t>CERV.LIGH*330 LATA</t>
        </is>
      </c>
      <c r="E346" t="n">
        <v>1</v>
      </c>
      <c r="F346" t="n">
        <v>75500</v>
      </c>
      <c r="G346" t="n">
        <v>75500</v>
      </c>
    </row>
    <row r="347">
      <c r="A347" t="n">
        <v>15</v>
      </c>
      <c r="B347" t="inlineStr">
        <is>
          <t>Carnes</t>
        </is>
      </c>
      <c r="C347" t="inlineStr">
        <is>
          <t>Chorizo coctelero x 40</t>
        </is>
      </c>
      <c r="D347" t="inlineStr">
        <is>
          <t>CHORIZO PREMIUM COCTELERO PAQ. X 40 UND. (MONTERO)</t>
        </is>
      </c>
      <c r="E347" t="n">
        <v>5</v>
      </c>
      <c r="F347" t="n">
        <v>48000</v>
      </c>
      <c r="G347" t="n">
        <v>240000</v>
      </c>
    </row>
    <row r="348">
      <c r="A348" t="n">
        <v>15</v>
      </c>
      <c r="B348" t="inlineStr">
        <is>
          <t>Carnes</t>
        </is>
      </c>
      <c r="C348" t="inlineStr">
        <is>
          <t>Chorizo Premium</t>
        </is>
      </c>
      <c r="D348" t="inlineStr">
        <is>
          <t>CHORIZO PREMIUM PAQ. X 12 UND. (MONTERO) 1800gr</t>
        </is>
      </c>
      <c r="E348" t="n">
        <v>1</v>
      </c>
      <c r="F348" t="n">
        <v>46000</v>
      </c>
      <c r="G348" t="n">
        <v>46000</v>
      </c>
    </row>
    <row r="349">
      <c r="A349" s="128" t="n">
        <v>16</v>
      </c>
      <c r="B349" s="130" t="inlineStr">
        <is>
          <t>Bebidas</t>
        </is>
      </c>
      <c r="C349" s="130" t="inlineStr">
        <is>
          <t>Bloque media</t>
        </is>
      </c>
      <c r="D349" s="130" t="inlineStr">
        <is>
          <t>BLOQUE MEDIA</t>
        </is>
      </c>
      <c r="E349" s="132" t="n">
        <v>2</v>
      </c>
      <c r="F349" s="133" t="n">
        <v>9500</v>
      </c>
      <c r="G349" s="133" t="n">
        <v>19000</v>
      </c>
    </row>
    <row r="350">
      <c r="A350" s="128" t="n">
        <v>16</v>
      </c>
      <c r="B350" s="130" t="inlineStr">
        <is>
          <t>Bebidas</t>
        </is>
      </c>
      <c r="C350" s="130" t="inlineStr">
        <is>
          <t>Bolsa 5kl tubular</t>
        </is>
      </c>
      <c r="D350" s="130" t="inlineStr">
        <is>
          <t>BOLSA X 5 KL TUBULAR</t>
        </is>
      </c>
      <c r="E350" s="132" t="n">
        <v>2</v>
      </c>
      <c r="F350" s="133" t="n">
        <v>5000</v>
      </c>
      <c r="G350" s="133" t="n">
        <v>10000</v>
      </c>
    </row>
    <row r="351">
      <c r="A351" t="n">
        <v>16</v>
      </c>
      <c r="B351" t="inlineStr">
        <is>
          <t>Bebidas</t>
        </is>
      </c>
      <c r="C351" t="inlineStr">
        <is>
          <t>Corona</t>
        </is>
      </c>
      <c r="D351" t="inlineStr">
        <is>
          <t>CERVEZA CORONA*330ml*6und EXTRA</t>
        </is>
      </c>
      <c r="E351" t="n">
        <v>5</v>
      </c>
      <c r="F351" t="n">
        <v>19900</v>
      </c>
      <c r="G351" t="n">
        <v>99500</v>
      </c>
    </row>
    <row r="352">
      <c r="A352" t="n">
        <v>16</v>
      </c>
      <c r="B352" t="inlineStr">
        <is>
          <t>Grano</t>
        </is>
      </c>
      <c r="C352" t="inlineStr">
        <is>
          <t>Aceite por 3000</t>
        </is>
      </c>
      <c r="D352" t="inlineStr">
        <is>
          <t>ACEITE OLEOSUPER x3000ml SOYA</t>
        </is>
      </c>
      <c r="E352" t="n">
        <v>1</v>
      </c>
      <c r="F352" t="n">
        <v>22000</v>
      </c>
      <c r="G352" t="n">
        <v>22000</v>
      </c>
    </row>
    <row r="353">
      <c r="A353" t="n">
        <v>16</v>
      </c>
      <c r="B353" t="inlineStr">
        <is>
          <t>Grano</t>
        </is>
      </c>
      <c r="C353" t="inlineStr">
        <is>
          <t>Aceite por 3000</t>
        </is>
      </c>
      <c r="D353" t="inlineStr">
        <is>
          <t>ACEITE OLEOSUPER x3000ml SOYA</t>
        </is>
      </c>
      <c r="E353" t="n">
        <v>1</v>
      </c>
      <c r="F353" t="n">
        <v>22000</v>
      </c>
      <c r="G353" t="n">
        <v>22000</v>
      </c>
    </row>
    <row r="354">
      <c r="A354" t="n">
        <v>16</v>
      </c>
      <c r="B354" t="inlineStr">
        <is>
          <t>Grano</t>
        </is>
      </c>
      <c r="C354" t="inlineStr">
        <is>
          <t>Aceite por 3000</t>
        </is>
      </c>
      <c r="D354" t="inlineStr">
        <is>
          <t>ACEITE OLEOSUPER x3000ml SOYA</t>
        </is>
      </c>
      <c r="E354" t="n">
        <v>1</v>
      </c>
      <c r="F354" t="n">
        <v>22000</v>
      </c>
      <c r="G354" t="n">
        <v>22000</v>
      </c>
    </row>
    <row r="355">
      <c r="A355" t="n">
        <v>16</v>
      </c>
      <c r="B355" t="inlineStr">
        <is>
          <t>Grano</t>
        </is>
      </c>
      <c r="C355" t="inlineStr">
        <is>
          <t>Alimento donkat</t>
        </is>
      </c>
      <c r="D355" t="inlineStr">
        <is>
          <t>ALIM DONKAT ADULTO x1100g</t>
        </is>
      </c>
      <c r="E355" t="n">
        <v>1</v>
      </c>
      <c r="F355" t="n">
        <v>11300</v>
      </c>
      <c r="G355" t="n">
        <v>11300</v>
      </c>
    </row>
    <row r="356">
      <c r="A356" t="n">
        <v>16</v>
      </c>
      <c r="B356" t="inlineStr">
        <is>
          <t>Desechables</t>
        </is>
      </c>
      <c r="C356" t="inlineStr">
        <is>
          <t>Bolsa mercamio reciclable</t>
        </is>
      </c>
      <c r="D356" t="inlineStr">
        <is>
          <t>BOLSA MATERIAL 100% RECICLADO</t>
        </is>
      </c>
      <c r="E356" t="n">
        <v>1</v>
      </c>
      <c r="F356" t="n">
        <v>253</v>
      </c>
      <c r="G356" t="n">
        <v>253</v>
      </c>
    </row>
    <row r="357">
      <c r="A357" t="n">
        <v>16</v>
      </c>
      <c r="B357" t="inlineStr">
        <is>
          <t>Verduras</t>
        </is>
      </c>
      <c r="C357" t="inlineStr">
        <is>
          <t>Aguacate común</t>
        </is>
      </c>
      <c r="D357" t="inlineStr">
        <is>
          <t>AGUACATE COMUN*UND</t>
        </is>
      </c>
      <c r="E357" t="n">
        <v>4</v>
      </c>
      <c r="F357" t="n">
        <v>6800</v>
      </c>
      <c r="G357" t="n">
        <v>27200</v>
      </c>
    </row>
    <row r="358">
      <c r="A358" t="n">
        <v>16</v>
      </c>
      <c r="B358" t="inlineStr">
        <is>
          <t>Desechables</t>
        </is>
      </c>
      <c r="C358" t="inlineStr">
        <is>
          <t>Bolsa canaveral 100% material recicl f</t>
        </is>
      </c>
      <c r="D358" t="inlineStr">
        <is>
          <t>BOLSA CANAVERAL 100% MATERIAL RECICL P</t>
        </is>
      </c>
      <c r="E358" t="n">
        <v>1</v>
      </c>
      <c r="F358" t="n">
        <v>300</v>
      </c>
      <c r="G358" t="n">
        <v>300</v>
      </c>
    </row>
    <row r="359">
      <c r="A359" t="n">
        <v>16</v>
      </c>
      <c r="B359" t="inlineStr">
        <is>
          <t>Verduras</t>
        </is>
      </c>
      <c r="C359" t="inlineStr">
        <is>
          <t>Aguacate</t>
        </is>
      </c>
      <c r="D359" t="inlineStr">
        <is>
          <t>Aguacates 22 x 6000</t>
        </is>
      </c>
      <c r="E359" t="n">
        <v>22</v>
      </c>
      <c r="F359" t="n">
        <v>6000</v>
      </c>
      <c r="G359" t="n">
        <v>132000</v>
      </c>
    </row>
    <row r="360">
      <c r="A360" t="n">
        <v>16</v>
      </c>
      <c r="B360" t="inlineStr">
        <is>
          <t>Verduras</t>
        </is>
      </c>
      <c r="C360" t="inlineStr">
        <is>
          <t>Cimarron</t>
        </is>
      </c>
      <c r="D360" t="inlineStr">
        <is>
          <t>Cimarron</t>
        </is>
      </c>
      <c r="E360" t="n">
        <v>1</v>
      </c>
      <c r="F360" t="n">
        <v>8000</v>
      </c>
      <c r="G360" t="n">
        <v>8000</v>
      </c>
    </row>
    <row r="361">
      <c r="A361" s="128" t="n">
        <v>17</v>
      </c>
      <c r="B361" s="130" t="inlineStr">
        <is>
          <t>Verduras</t>
        </is>
      </c>
      <c r="C361" s="130" t="inlineStr">
        <is>
          <t>Aguacate común</t>
        </is>
      </c>
      <c r="D361" s="130" t="inlineStr">
        <is>
          <t>AGUACATE COMUN*und</t>
        </is>
      </c>
      <c r="E361" s="132" t="n">
        <v>10</v>
      </c>
      <c r="F361" s="133" t="n">
        <v>6800</v>
      </c>
      <c r="G361" s="133" t="n">
        <v>68000</v>
      </c>
    </row>
    <row r="362">
      <c r="A362" s="128" t="n">
        <v>17</v>
      </c>
      <c r="B362" s="130" t="inlineStr">
        <is>
          <t>Bebidas</t>
        </is>
      </c>
      <c r="C362" s="130" t="inlineStr">
        <is>
          <t>Coca cola 3 litros</t>
        </is>
      </c>
      <c r="D362" s="130" t="inlineStr">
        <is>
          <t>COCA COLA 3LT PET(6) Nvo</t>
        </is>
      </c>
      <c r="E362" s="132" t="n">
        <v>1</v>
      </c>
      <c r="F362" s="133" t="n">
        <v>42269</v>
      </c>
      <c r="G362" s="133" t="n">
        <v>42269</v>
      </c>
    </row>
    <row r="363">
      <c r="A363" s="128" t="n">
        <v>17</v>
      </c>
      <c r="B363" s="130" t="inlineStr">
        <is>
          <t>Bebidas</t>
        </is>
      </c>
      <c r="C363" s="130" t="inlineStr">
        <is>
          <t>Coca cola 1,5 lt pet (12) nvo</t>
        </is>
      </c>
      <c r="D363" s="130" t="inlineStr">
        <is>
          <t>COCA COLA 1.5LT PET(12) Nvo</t>
        </is>
      </c>
      <c r="E363" s="132" t="n">
        <v>2</v>
      </c>
      <c r="F363" s="134" t="n">
        <v>48571.5</v>
      </c>
      <c r="G363" s="133" t="n">
        <v>97143</v>
      </c>
    </row>
    <row r="364">
      <c r="A364" s="128" t="n">
        <v>17</v>
      </c>
      <c r="B364" s="130" t="inlineStr">
        <is>
          <t>Bebidas</t>
        </is>
      </c>
      <c r="C364" s="130" t="inlineStr">
        <is>
          <t>Coca cola 350</t>
        </is>
      </c>
      <c r="D364" s="130" t="inlineStr">
        <is>
          <t>COCA-COLA 350ML VIR(30)</t>
        </is>
      </c>
      <c r="E364" s="132" t="n">
        <v>2</v>
      </c>
      <c r="F364" s="133" t="n">
        <v>46521</v>
      </c>
      <c r="G364" s="133" t="n">
        <v>93042</v>
      </c>
    </row>
    <row r="365">
      <c r="A365" s="128" t="n">
        <v>17</v>
      </c>
      <c r="B365" s="130" t="inlineStr">
        <is>
          <t>Carnes</t>
        </is>
      </c>
      <c r="C365" s="130" t="inlineStr">
        <is>
          <t>Filete de pollo x 350</t>
        </is>
      </c>
      <c r="D365" s="130" t="inlineStr">
        <is>
          <t>FILETE DE POLLO X 350G</t>
        </is>
      </c>
      <c r="E365" s="131" t="n">
        <v>25.2</v>
      </c>
      <c r="F365" s="133" t="n">
        <v>18500</v>
      </c>
      <c r="G365" s="133" t="n">
        <v>466200</v>
      </c>
    </row>
    <row r="366">
      <c r="A366" t="n">
        <v>17</v>
      </c>
      <c r="B366" t="inlineStr">
        <is>
          <t>Carnes</t>
        </is>
      </c>
      <c r="C366" t="inlineStr">
        <is>
          <t>Gallina gigante</t>
        </is>
      </c>
      <c r="D366" t="inlineStr">
        <is>
          <t>9 GALLINAS GIGANTES</t>
        </is>
      </c>
      <c r="E366" t="n">
        <v>9</v>
      </c>
      <c r="F366" t="n">
        <v>50555.555556</v>
      </c>
      <c r="G366" t="n">
        <v>455000</v>
      </c>
    </row>
    <row r="367">
      <c r="A367" t="n">
        <v>17</v>
      </c>
      <c r="B367" t="inlineStr">
        <is>
          <t>Servicios</t>
        </is>
      </c>
      <c r="C367" t="inlineStr">
        <is>
          <t>Arreglo Tubos x Materiales</t>
        </is>
      </c>
      <c r="D367" t="inlineStr">
        <is>
          <t>12 ANGULO 3"</t>
        </is>
      </c>
      <c r="E367" t="n">
        <v>12</v>
      </c>
      <c r="F367" t="n">
        <v>1800</v>
      </c>
      <c r="G367" t="n">
        <v>21600</v>
      </c>
    </row>
    <row r="368">
      <c r="A368" t="n">
        <v>17</v>
      </c>
      <c r="B368" t="inlineStr">
        <is>
          <t>Servicios</t>
        </is>
      </c>
      <c r="C368" t="inlineStr">
        <is>
          <t>Arreglo Tubos x Materiales</t>
        </is>
      </c>
      <c r="D368" t="inlineStr">
        <is>
          <t>1 BROCA</t>
        </is>
      </c>
      <c r="E368" t="n">
        <v>1</v>
      </c>
      <c r="F368" t="n">
        <v>5000</v>
      </c>
      <c r="G368" t="n">
        <v>5000</v>
      </c>
    </row>
    <row r="369">
      <c r="A369" s="128" t="n">
        <v>18</v>
      </c>
      <c r="B369" s="130" t="inlineStr">
        <is>
          <t>Carnes</t>
        </is>
      </c>
      <c r="C369" s="130" t="inlineStr">
        <is>
          <t>Lomo de cerdo</t>
        </is>
      </c>
      <c r="D369" s="130" t="inlineStr">
        <is>
          <t>LOMO DE CERDO</t>
        </is>
      </c>
      <c r="E369" s="131" t="n">
        <v>17.4</v>
      </c>
      <c r="F369" s="133" t="n">
        <v>19500</v>
      </c>
      <c r="G369" s="133" t="n">
        <v>339300</v>
      </c>
    </row>
    <row r="370">
      <c r="A370" s="128" t="n">
        <v>18</v>
      </c>
      <c r="B370" s="130" t="inlineStr">
        <is>
          <t>Carnes</t>
        </is>
      </c>
      <c r="C370" s="130" t="inlineStr">
        <is>
          <t>Pernil de pollo</t>
        </is>
      </c>
      <c r="D370" s="130" t="inlineStr">
        <is>
          <t>PERNIL BLANCO</t>
        </is>
      </c>
      <c r="E370" s="131" t="n">
        <v>13.8</v>
      </c>
      <c r="F370" s="133" t="n">
        <v>7700</v>
      </c>
      <c r="G370" s="133" t="n">
        <v>106260</v>
      </c>
    </row>
    <row r="371">
      <c r="A371" s="128" t="n">
        <v>18</v>
      </c>
      <c r="B371" s="130" t="inlineStr">
        <is>
          <t>Carnes</t>
        </is>
      </c>
      <c r="C371" s="130" t="inlineStr">
        <is>
          <t>Tocineta barril</t>
        </is>
      </c>
      <c r="D371" s="130" t="inlineStr">
        <is>
          <t>TOCINETA BARRIL</t>
        </is>
      </c>
      <c r="E371" s="131" t="n">
        <v>72.95</v>
      </c>
      <c r="F371" s="133" t="n">
        <v>21900</v>
      </c>
      <c r="G371" s="133" t="n">
        <v>1597605</v>
      </c>
    </row>
    <row r="372">
      <c r="A372" s="128" t="n">
        <v>18</v>
      </c>
      <c r="B372" s="130" t="inlineStr">
        <is>
          <t>Carnes</t>
        </is>
      </c>
      <c r="C372" s="130" t="inlineStr">
        <is>
          <t>Camaron precocido</t>
        </is>
      </c>
      <c r="D372" s="130" t="inlineStr">
        <is>
          <t>CAMARON DE CULTIVO PRECOCIDO 91-110P</t>
        </is>
      </c>
      <c r="E372" s="131" t="n">
        <v>20.2</v>
      </c>
      <c r="F372" s="133" t="n">
        <v>22900</v>
      </c>
      <c r="G372" s="133" t="n">
        <v>462580</v>
      </c>
    </row>
    <row r="373">
      <c r="A373" s="128" t="n">
        <v>18</v>
      </c>
      <c r="B373" s="130" t="inlineStr">
        <is>
          <t>Carnes</t>
        </is>
      </c>
      <c r="C373" s="130" t="inlineStr">
        <is>
          <t>Lengua de res</t>
        </is>
      </c>
      <c r="D373" s="130" t="inlineStr">
        <is>
          <t>LENGUA DE RES IMP X KL</t>
        </is>
      </c>
      <c r="E373" s="131" t="n">
        <v>27.15</v>
      </c>
      <c r="F373" s="133" t="n">
        <v>23900</v>
      </c>
      <c r="G373" s="133" t="n">
        <v>648885</v>
      </c>
    </row>
    <row r="374">
      <c r="A374" s="128" t="n">
        <v>18</v>
      </c>
      <c r="B374" s="130" t="inlineStr">
        <is>
          <t>Carnes</t>
        </is>
      </c>
      <c r="C374" s="130" t="inlineStr">
        <is>
          <t>Sobaco</t>
        </is>
      </c>
      <c r="D374" s="130" t="inlineStr">
        <is>
          <t>SOBACO</t>
        </is>
      </c>
      <c r="E374" s="131" t="n">
        <v>21.2</v>
      </c>
      <c r="F374" s="133" t="n">
        <v>25900</v>
      </c>
      <c r="G374" s="133" t="n">
        <v>549080</v>
      </c>
    </row>
    <row r="375">
      <c r="A375" s="128" t="n">
        <v>18</v>
      </c>
      <c r="B375" s="130" t="inlineStr">
        <is>
          <t>Bebidas</t>
        </is>
      </c>
      <c r="C375" s="130" t="inlineStr">
        <is>
          <t>Bloque media</t>
        </is>
      </c>
      <c r="D375" s="130" t="inlineStr">
        <is>
          <t>BLOQUE MEDIA</t>
        </is>
      </c>
      <c r="E375" s="132" t="n">
        <v>2</v>
      </c>
      <c r="F375" s="133" t="n">
        <v>9500</v>
      </c>
      <c r="G375" s="133" t="n">
        <v>19000</v>
      </c>
    </row>
    <row r="376">
      <c r="A376" s="128" t="n">
        <v>18</v>
      </c>
      <c r="B376" s="130" t="inlineStr">
        <is>
          <t>Bebidas</t>
        </is>
      </c>
      <c r="C376" s="130" t="inlineStr">
        <is>
          <t>Bolsa 5kl tubular</t>
        </is>
      </c>
      <c r="D376" s="130" t="inlineStr">
        <is>
          <t>BOLSA X 5 KL TUBULAR</t>
        </is>
      </c>
      <c r="E376" s="132" t="n">
        <v>5</v>
      </c>
      <c r="F376" s="133" t="n">
        <v>5000</v>
      </c>
      <c r="G376" s="133" t="n">
        <v>25000</v>
      </c>
    </row>
    <row r="377">
      <c r="A377" s="128" t="n">
        <v>18</v>
      </c>
      <c r="B377" s="130" t="inlineStr">
        <is>
          <t>Servicios</t>
        </is>
      </c>
      <c r="C377" s="130" t="inlineStr">
        <is>
          <t>Servicios temporales</t>
        </is>
      </c>
      <c r="D377" s="130" t="inlineStr">
        <is>
          <t>SERVICIOS TEMPORALES</t>
        </is>
      </c>
      <c r="E377" s="132" t="n">
        <v>1</v>
      </c>
      <c r="F377" s="133" t="n">
        <v>14284611</v>
      </c>
      <c r="G377" s="133" t="n">
        <v>14284611</v>
      </c>
    </row>
    <row r="378">
      <c r="A378" s="128" t="n">
        <v>18</v>
      </c>
      <c r="B378" s="130" t="inlineStr">
        <is>
          <t>Servicios</t>
        </is>
      </c>
      <c r="C378" s="130" t="inlineStr">
        <is>
          <t>Servicios temporales</t>
        </is>
      </c>
      <c r="D378" s="130" t="inlineStr">
        <is>
          <t>AIU FISCAL</t>
        </is>
      </c>
      <c r="E378" s="132" t="n">
        <v>1</v>
      </c>
      <c r="F378" s="134" t="n">
        <v>1888743.01</v>
      </c>
      <c r="G378" s="134" t="n">
        <v>1888743.01</v>
      </c>
    </row>
    <row r="379">
      <c r="A379" s="128" t="n">
        <v>18</v>
      </c>
      <c r="B379" s="130" t="inlineStr">
        <is>
          <t>Verduras</t>
        </is>
      </c>
      <c r="C379" s="130" t="inlineStr">
        <is>
          <t>Platano maduro</t>
        </is>
      </c>
      <c r="D379" s="130" t="inlineStr">
        <is>
          <t>PLATANO</t>
        </is>
      </c>
      <c r="E379" s="131" t="n">
        <v>30.2</v>
      </c>
      <c r="F379" s="133" t="n">
        <v>2000</v>
      </c>
      <c r="G379" s="133" t="n">
        <v>60400</v>
      </c>
    </row>
    <row r="380">
      <c r="A380" t="n">
        <v>18</v>
      </c>
      <c r="B380" t="inlineStr">
        <is>
          <t>Bebidas</t>
        </is>
      </c>
      <c r="C380" t="inlineStr">
        <is>
          <t>Bloque media</t>
        </is>
      </c>
      <c r="D380" t="inlineStr">
        <is>
          <t>25 - BLOQUE MEDIA</t>
        </is>
      </c>
      <c r="E380" t="n">
        <v>2</v>
      </c>
      <c r="F380" t="n">
        <v>12000</v>
      </c>
      <c r="G380" t="n">
        <v>24000</v>
      </c>
    </row>
    <row r="381">
      <c r="A381" t="n">
        <v>18</v>
      </c>
      <c r="B381" t="inlineStr">
        <is>
          <t>Bebidas</t>
        </is>
      </c>
      <c r="C381" t="inlineStr">
        <is>
          <t>Bolsa 5kl tubular</t>
        </is>
      </c>
      <c r="D381" t="inlineStr">
        <is>
          <t>7709046020616 - BOLSA X 5 KL TUBULAR</t>
        </is>
      </c>
      <c r="E381" t="n">
        <v>3</v>
      </c>
      <c r="F381" t="n">
        <v>5000</v>
      </c>
      <c r="G381" t="n">
        <v>15000</v>
      </c>
    </row>
    <row r="382">
      <c r="A382" t="n">
        <v>18</v>
      </c>
      <c r="B382" t="inlineStr">
        <is>
          <t>Grano</t>
        </is>
      </c>
      <c r="C382" t="inlineStr">
        <is>
          <t>Aceite de soya</t>
        </is>
      </c>
      <c r="D382" t="inlineStr">
        <is>
          <t>ACEITE DE SOY</t>
        </is>
      </c>
      <c r="E382" t="n">
        <v>4</v>
      </c>
      <c r="F382" t="n">
        <v>22990</v>
      </c>
      <c r="G382" t="n">
        <v>91960</v>
      </c>
    </row>
    <row r="383">
      <c r="A383" t="n">
        <v>18</v>
      </c>
      <c r="B383" t="inlineStr">
        <is>
          <t>Grano</t>
        </is>
      </c>
      <c r="C383" t="inlineStr">
        <is>
          <t>Pasta la muñeca</t>
        </is>
      </c>
      <c r="D383" t="inlineStr">
        <is>
          <t>PASTA LA MUNECA*1000g ESPAGUETI</t>
        </is>
      </c>
      <c r="E383" t="n">
        <v>1</v>
      </c>
      <c r="F383" t="n">
        <v>4950</v>
      </c>
      <c r="G383" t="n">
        <v>4950</v>
      </c>
    </row>
    <row r="384">
      <c r="A384" t="n">
        <v>18</v>
      </c>
      <c r="B384" t="inlineStr">
        <is>
          <t>Verduras</t>
        </is>
      </c>
      <c r="C384" t="inlineStr">
        <is>
          <t>Pimenton</t>
        </is>
      </c>
      <c r="D384" t="inlineStr">
        <is>
          <t>PIMENTON A GRANEL</t>
        </is>
      </c>
      <c r="E384" t="n">
        <v>0.66</v>
      </c>
      <c r="F384" t="n">
        <v>5300</v>
      </c>
      <c r="G384" t="n">
        <v>3498</v>
      </c>
    </row>
    <row r="385">
      <c r="A385" t="n">
        <v>18</v>
      </c>
      <c r="B385" t="inlineStr">
        <is>
          <t>Verduras</t>
        </is>
      </c>
      <c r="C385" t="inlineStr">
        <is>
          <t>Aguacate común</t>
        </is>
      </c>
      <c r="D385" t="inlineStr">
        <is>
          <t>AGUACATE COMUN*und</t>
        </is>
      </c>
      <c r="E385" t="n">
        <v>4</v>
      </c>
      <c r="F385" t="n">
        <v>6800</v>
      </c>
      <c r="G385" t="n">
        <v>27200</v>
      </c>
    </row>
    <row r="386">
      <c r="A386" t="n">
        <v>18</v>
      </c>
      <c r="B386" t="inlineStr">
        <is>
          <t>Grano</t>
        </is>
      </c>
      <c r="C386" t="inlineStr">
        <is>
          <t>Pasta la muñeca</t>
        </is>
      </c>
      <c r="D386" t="inlineStr">
        <is>
          <t>PASTA LA MUNECA*500g ESPAGUETI</t>
        </is>
      </c>
      <c r="E386" t="n">
        <v>2</v>
      </c>
      <c r="F386" t="n">
        <v>3900</v>
      </c>
      <c r="G386" t="n">
        <v>7800</v>
      </c>
    </row>
    <row r="387">
      <c r="A387" t="n">
        <v>18</v>
      </c>
      <c r="B387" t="inlineStr">
        <is>
          <t>Servicios</t>
        </is>
      </c>
      <c r="C387" t="inlineStr">
        <is>
          <t>Acopi</t>
        </is>
      </c>
      <c r="D387" t="inlineStr">
        <is>
          <t>Acopi</t>
        </is>
      </c>
      <c r="E387" t="n">
        <v>1</v>
      </c>
      <c r="F387" t="n">
        <v>30000</v>
      </c>
      <c r="G387" t="n">
        <v>30000</v>
      </c>
    </row>
    <row r="388">
      <c r="A388" s="128" t="n">
        <v>19</v>
      </c>
      <c r="B388" s="130" t="inlineStr">
        <is>
          <t>Carnes</t>
        </is>
      </c>
      <c r="C388" s="130" t="inlineStr">
        <is>
          <t>Caderita</t>
        </is>
      </c>
      <c r="D388" s="130" t="inlineStr">
        <is>
          <t>CADERITA DE RES</t>
        </is>
      </c>
      <c r="E388" s="131" t="n">
        <v>4.35</v>
      </c>
      <c r="F388" s="133" t="n">
        <v>34000</v>
      </c>
      <c r="G388" s="133" t="n">
        <v>147900</v>
      </c>
    </row>
    <row r="389">
      <c r="A389" s="128" t="n">
        <v>19</v>
      </c>
      <c r="B389" s="130" t="inlineStr">
        <is>
          <t>Carnes</t>
        </is>
      </c>
      <c r="C389" s="130" t="inlineStr">
        <is>
          <t>Costilla de res</t>
        </is>
      </c>
      <c r="D389" s="130" t="inlineStr">
        <is>
          <t>COSTILLA DE RES</t>
        </is>
      </c>
      <c r="E389" s="131" t="n">
        <v>7.15</v>
      </c>
      <c r="F389" s="133" t="n">
        <v>18000</v>
      </c>
      <c r="G389" s="133" t="n">
        <v>128700</v>
      </c>
    </row>
    <row r="390">
      <c r="A390" s="128" t="n">
        <v>19</v>
      </c>
      <c r="B390" s="130" t="inlineStr">
        <is>
          <t>Carnes</t>
        </is>
      </c>
      <c r="C390" s="130" t="inlineStr">
        <is>
          <t>Sobrebarriga delgada</t>
        </is>
      </c>
      <c r="D390" s="130" t="inlineStr">
        <is>
          <t>SOBREBARRIGA DE RES</t>
        </is>
      </c>
      <c r="E390" s="132" t="n">
        <v>10</v>
      </c>
      <c r="F390" s="133" t="n">
        <v>30000</v>
      </c>
      <c r="G390" s="133" t="n">
        <v>300000</v>
      </c>
    </row>
    <row r="391">
      <c r="A391" s="128" t="n">
        <v>19</v>
      </c>
      <c r="B391" s="130" t="inlineStr">
        <is>
          <t>Carnes</t>
        </is>
      </c>
      <c r="C391" s="130" t="inlineStr">
        <is>
          <t>Costilla de res</t>
        </is>
      </c>
      <c r="D391" s="130" t="inlineStr">
        <is>
          <t>COSTILLA DE RES</t>
        </is>
      </c>
      <c r="E391" s="132" t="n">
        <v>20</v>
      </c>
      <c r="F391" s="133" t="n">
        <v>20000</v>
      </c>
      <c r="G391" s="133" t="n">
        <v>400000</v>
      </c>
    </row>
    <row r="392">
      <c r="A392" s="128" t="n">
        <v>19</v>
      </c>
      <c r="B392" s="130" t="inlineStr">
        <is>
          <t>Desechables</t>
        </is>
      </c>
      <c r="C392" s="130" t="inlineStr">
        <is>
          <t>Crema de leche</t>
        </is>
      </c>
      <c r="D392" s="130" t="inlineStr">
        <is>
          <t>CREMA DE LECHE 1000G</t>
        </is>
      </c>
      <c r="E392" s="132" t="n">
        <v>4</v>
      </c>
      <c r="F392" s="133" t="n">
        <v>18200</v>
      </c>
      <c r="G392" s="133" t="n">
        <v>72800</v>
      </c>
    </row>
    <row r="393">
      <c r="A393" s="128" t="n">
        <v>19</v>
      </c>
      <c r="B393" s="130" t="inlineStr">
        <is>
          <t>Grano</t>
        </is>
      </c>
      <c r="C393" s="130" t="inlineStr">
        <is>
          <t>Sabor original</t>
        </is>
      </c>
      <c r="D393" s="130" t="inlineStr">
        <is>
          <t>SABOR ORIGINAL INSTITUCIONAL 1100ML</t>
        </is>
      </c>
      <c r="E393" s="132" t="n">
        <v>60</v>
      </c>
      <c r="F393" s="133" t="n">
        <v>4180</v>
      </c>
      <c r="G393" s="133" t="n">
        <v>250800</v>
      </c>
    </row>
    <row r="394">
      <c r="A394" s="128" t="n">
        <v>19</v>
      </c>
      <c r="B394" s="130" t="inlineStr">
        <is>
          <t>Bebidas</t>
        </is>
      </c>
      <c r="C394" s="130" t="inlineStr">
        <is>
          <t>Bloque media</t>
        </is>
      </c>
      <c r="D394" s="130" t="inlineStr">
        <is>
          <t>BLOQUE MEDIA</t>
        </is>
      </c>
      <c r="E394" s="132" t="n">
        <v>2</v>
      </c>
      <c r="F394" s="133" t="n">
        <v>12000</v>
      </c>
      <c r="G394" s="133" t="n">
        <v>24000</v>
      </c>
    </row>
    <row r="395">
      <c r="A395" s="128" t="n">
        <v>19</v>
      </c>
      <c r="B395" s="130" t="inlineStr">
        <is>
          <t>Bebidas</t>
        </is>
      </c>
      <c r="C395" s="130" t="inlineStr">
        <is>
          <t>Bolsa 5kl tubular</t>
        </is>
      </c>
      <c r="D395" s="130" t="inlineStr">
        <is>
          <t>BOLSA X 5 KL TUBULAR</t>
        </is>
      </c>
      <c r="E395" s="132" t="n">
        <v>3</v>
      </c>
      <c r="F395" s="133" t="n">
        <v>5000</v>
      </c>
      <c r="G395" s="133" t="n">
        <v>15000</v>
      </c>
    </row>
    <row r="396">
      <c r="A396" s="128" t="n">
        <v>19</v>
      </c>
      <c r="B396" s="130" t="inlineStr">
        <is>
          <t>Carnes</t>
        </is>
      </c>
      <c r="C396" s="130" t="inlineStr">
        <is>
          <t>Pechuga mcpollo</t>
        </is>
      </c>
      <c r="D396" s="130" t="inlineStr">
        <is>
          <t>FILETE DE PECHUGA MARIPOSA X KL</t>
        </is>
      </c>
      <c r="E396" s="131" t="n">
        <v>1.29</v>
      </c>
      <c r="F396" s="133" t="n">
        <v>13900</v>
      </c>
      <c r="G396" s="133" t="n">
        <v>17931</v>
      </c>
    </row>
    <row r="397">
      <c r="A397" s="128" t="n">
        <v>19</v>
      </c>
      <c r="B397" s="130" t="inlineStr">
        <is>
          <t>Carnes</t>
        </is>
      </c>
      <c r="C397" s="130" t="inlineStr">
        <is>
          <t>Lomo de caracho</t>
        </is>
      </c>
      <c r="D397" s="130" t="inlineStr">
        <is>
          <t>LOMO CARACHO PARRILLA PORCIONADO</t>
        </is>
      </c>
      <c r="E397" s="131" t="n">
        <v>0.925</v>
      </c>
      <c r="F397" s="134" t="n">
        <v>48900.54</v>
      </c>
      <c r="G397" s="133" t="n">
        <v>45233</v>
      </c>
    </row>
    <row r="398">
      <c r="A398" s="128" t="n">
        <v>19</v>
      </c>
      <c r="B398" s="130" t="inlineStr">
        <is>
          <t>Carnes</t>
        </is>
      </c>
      <c r="C398" s="130" t="inlineStr">
        <is>
          <t>Lomo de caracho</t>
        </is>
      </c>
      <c r="D398" s="130" t="inlineStr">
        <is>
          <t>LOMO CARACHO TRADICIONAL</t>
        </is>
      </c>
      <c r="E398" s="131" t="n">
        <v>1.645</v>
      </c>
      <c r="F398" s="134" t="n">
        <v>41900.3</v>
      </c>
      <c r="G398" s="133" t="n">
        <v>68926</v>
      </c>
    </row>
    <row r="399">
      <c r="A399" s="128" t="n">
        <v>19</v>
      </c>
      <c r="B399" s="130" t="inlineStr">
        <is>
          <t>Carnes</t>
        </is>
      </c>
      <c r="C399" s="130" t="inlineStr">
        <is>
          <t>Carne molida</t>
        </is>
      </c>
      <c r="D399" s="130" t="inlineStr">
        <is>
          <t>CARNE B.D.F MOLIDA 90-10</t>
        </is>
      </c>
      <c r="E399" s="131" t="n">
        <v>0.505</v>
      </c>
      <c r="F399" s="134" t="n">
        <v>26900.99</v>
      </c>
      <c r="G399" s="133" t="n">
        <v>13585</v>
      </c>
    </row>
    <row r="400">
      <c r="A400" s="128" t="n">
        <v>19</v>
      </c>
      <c r="B400" s="130" t="inlineStr">
        <is>
          <t>Carnes</t>
        </is>
      </c>
      <c r="C400" s="130" t="inlineStr">
        <is>
          <t>Costilla san luis jr</t>
        </is>
      </c>
      <c r="D400" s="130" t="inlineStr">
        <is>
          <t>COSTILLA SAN LUIS JUNIOR</t>
        </is>
      </c>
      <c r="E400" s="131" t="n">
        <v>1.25</v>
      </c>
      <c r="F400" s="133" t="n">
        <v>21900</v>
      </c>
      <c r="G400" s="133" t="n">
        <v>27375</v>
      </c>
    </row>
    <row r="401">
      <c r="A401" s="128" t="n">
        <v>19</v>
      </c>
      <c r="B401" s="130" t="inlineStr">
        <is>
          <t>Carnes</t>
        </is>
      </c>
      <c r="C401" s="130" t="inlineStr">
        <is>
          <t>Caderita</t>
        </is>
      </c>
      <c r="D401" s="130" t="inlineStr">
        <is>
          <t>COLA DE CADERA</t>
        </is>
      </c>
      <c r="E401" s="131" t="n">
        <v>1.205</v>
      </c>
      <c r="F401" s="133" t="n">
        <v>29800</v>
      </c>
      <c r="G401" s="133" t="n">
        <v>35909</v>
      </c>
    </row>
    <row r="402">
      <c r="A402" s="128" t="n">
        <v>19</v>
      </c>
      <c r="B402" s="130" t="inlineStr">
        <is>
          <t>Carnes</t>
        </is>
      </c>
      <c r="C402" s="130" t="inlineStr">
        <is>
          <t>Chorizo Premium</t>
        </is>
      </c>
      <c r="D402" s="130" t="inlineStr">
        <is>
          <t>CHORIZO DE CERDO PARRILLERO - PICANT</t>
        </is>
      </c>
      <c r="E402" s="132" t="n">
        <v>1</v>
      </c>
      <c r="F402" s="133" t="n">
        <v>17450</v>
      </c>
      <c r="G402" s="133" t="n">
        <v>17450</v>
      </c>
    </row>
    <row r="403">
      <c r="A403" s="128" t="n">
        <v>19</v>
      </c>
      <c r="B403" s="130" t="inlineStr">
        <is>
          <t>Carnes</t>
        </is>
      </c>
      <c r="C403" s="130" t="inlineStr">
        <is>
          <t>Carne molida</t>
        </is>
      </c>
      <c r="D403" s="130" t="inlineStr">
        <is>
          <t>CARNE MOLIDA DE CERDO MARINADA 500GR</t>
        </is>
      </c>
      <c r="E403" s="132" t="n">
        <v>1</v>
      </c>
      <c r="F403" s="133" t="n">
        <v>10900</v>
      </c>
      <c r="G403" s="133" t="n">
        <v>10900</v>
      </c>
    </row>
    <row r="404">
      <c r="A404" s="128" t="n">
        <v>19</v>
      </c>
      <c r="B404" s="130" t="inlineStr">
        <is>
          <t>Verduras</t>
        </is>
      </c>
      <c r="C404" s="130" t="inlineStr">
        <is>
          <t>Queso mozarella</t>
        </is>
      </c>
      <c r="D404" s="130" t="inlineStr">
        <is>
          <t>QUESO CREMA 1,360KG</t>
        </is>
      </c>
      <c r="E404" s="132" t="n">
        <v>1</v>
      </c>
      <c r="F404" s="133" t="n">
        <v>30900</v>
      </c>
      <c r="G404" s="133" t="n">
        <v>30900</v>
      </c>
    </row>
    <row r="405">
      <c r="A405" s="128" t="n">
        <v>19</v>
      </c>
      <c r="B405" s="130" t="inlineStr">
        <is>
          <t>Carnes</t>
        </is>
      </c>
      <c r="C405" s="130" t="inlineStr">
        <is>
          <t>Salchicha</t>
        </is>
      </c>
      <c r="D405" s="130" t="inlineStr">
        <is>
          <t>SALCHICHA SUPER PERRO LUCARNI X 640</t>
        </is>
      </c>
      <c r="E405" s="132" t="n">
        <v>1</v>
      </c>
      <c r="F405" s="133" t="n">
        <v>15500</v>
      </c>
      <c r="G405" s="133" t="n">
        <v>15500</v>
      </c>
    </row>
    <row r="406">
      <c r="A406" s="128" t="n">
        <v>19</v>
      </c>
      <c r="B406" s="130" t="inlineStr">
        <is>
          <t>Carnes</t>
        </is>
      </c>
      <c r="C406" s="130" t="inlineStr">
        <is>
          <t>Pechuga mcpollo</t>
        </is>
      </c>
      <c r="D406" s="130" t="inlineStr">
        <is>
          <t>PECHUGA REFRIGERADA</t>
        </is>
      </c>
      <c r="E406" s="131" t="n">
        <v>3.2</v>
      </c>
      <c r="F406" s="133" t="n">
        <v>14900</v>
      </c>
      <c r="G406" s="133" t="n">
        <v>47680</v>
      </c>
    </row>
    <row r="407">
      <c r="A407" s="128" t="n">
        <v>19</v>
      </c>
      <c r="B407" s="130" t="inlineStr">
        <is>
          <t>Carnes</t>
        </is>
      </c>
      <c r="C407" s="130" t="inlineStr">
        <is>
          <t>Pernil de pollo</t>
        </is>
      </c>
      <c r="D407" s="130" t="inlineStr">
        <is>
          <t>PERNIL BLANCO</t>
        </is>
      </c>
      <c r="E407" s="131" t="n">
        <v>19.3</v>
      </c>
      <c r="F407" s="133" t="n">
        <v>7700</v>
      </c>
      <c r="G407" s="133" t="n">
        <v>148610</v>
      </c>
    </row>
    <row r="408">
      <c r="A408" s="128" t="n">
        <v>19</v>
      </c>
      <c r="B408" s="130" t="inlineStr">
        <is>
          <t>Carnes</t>
        </is>
      </c>
      <c r="C408" s="130" t="inlineStr">
        <is>
          <t>Costilla de cerdo especial</t>
        </is>
      </c>
      <c r="D408" s="130" t="inlineStr">
        <is>
          <t>COSTILLA DE CERDO IBP 244M</t>
        </is>
      </c>
      <c r="E408" s="131" t="n">
        <v>26.6</v>
      </c>
      <c r="F408" s="133" t="n">
        <v>14900</v>
      </c>
      <c r="G408" s="133" t="n">
        <v>396340</v>
      </c>
    </row>
    <row r="409">
      <c r="A409" s="128" t="n">
        <v>19</v>
      </c>
      <c r="B409" s="130" t="inlineStr">
        <is>
          <t>Carnes</t>
        </is>
      </c>
      <c r="C409" s="130" t="inlineStr">
        <is>
          <t>Sobaco</t>
        </is>
      </c>
      <c r="D409" s="130" t="inlineStr">
        <is>
          <t>SOBACO</t>
        </is>
      </c>
      <c r="E409" s="131" t="n">
        <v>27.2</v>
      </c>
      <c r="F409" s="133" t="n">
        <v>25900</v>
      </c>
      <c r="G409" s="133" t="n">
        <v>704480</v>
      </c>
    </row>
    <row r="410">
      <c r="A410" s="128" t="n">
        <v>19</v>
      </c>
      <c r="B410" s="130" t="inlineStr">
        <is>
          <t>Carnes</t>
        </is>
      </c>
      <c r="C410" s="130" t="inlineStr">
        <is>
          <t>Trozos e pechuga</t>
        </is>
      </c>
      <c r="D410" s="130" t="inlineStr">
        <is>
          <t>TROZOS DE PECHUGA</t>
        </is>
      </c>
      <c r="E410" s="132" t="n">
        <v>19</v>
      </c>
      <c r="F410" s="133" t="n">
        <v>10900</v>
      </c>
      <c r="G410" s="133" t="n">
        <v>207100</v>
      </c>
    </row>
    <row r="411">
      <c r="A411" s="128" t="n">
        <v>19</v>
      </c>
      <c r="B411" s="130" t="inlineStr">
        <is>
          <t>Verduras</t>
        </is>
      </c>
      <c r="C411" s="130" t="inlineStr">
        <is>
          <t>Papa a la francesa paq 2.5 kl</t>
        </is>
      </c>
      <c r="D411" s="130" t="inlineStr">
        <is>
          <t>PAPA A LA FRANCESA PAQ 2.5 KL</t>
        </is>
      </c>
      <c r="E411" s="132" t="n">
        <v>12</v>
      </c>
      <c r="F411" s="134" t="n">
        <v>16386.58</v>
      </c>
      <c r="G411" s="133" t="n">
        <v>196639</v>
      </c>
    </row>
    <row r="412">
      <c r="A412" s="128" t="n">
        <v>19</v>
      </c>
      <c r="B412" s="130" t="inlineStr">
        <is>
          <t>Carnes</t>
        </is>
      </c>
      <c r="C412" s="130" t="inlineStr">
        <is>
          <t>Punta de anca</t>
        </is>
      </c>
      <c r="D412" s="130" t="inlineStr">
        <is>
          <t>PUNTA DE ANCA IMP PORC. PARRILLA</t>
        </is>
      </c>
      <c r="E412" s="132" t="n">
        <v>10</v>
      </c>
      <c r="F412" s="133" t="n">
        <v>44000</v>
      </c>
      <c r="G412" s="133" t="n">
        <v>440000</v>
      </c>
    </row>
    <row r="413">
      <c r="A413" s="128" t="n">
        <v>19</v>
      </c>
      <c r="B413" s="130" t="inlineStr">
        <is>
          <t>Carnes</t>
        </is>
      </c>
      <c r="C413" s="130" t="inlineStr">
        <is>
          <t>Lomo de caracho</t>
        </is>
      </c>
      <c r="D413" s="130" t="inlineStr">
        <is>
          <t>LOMO CARACHO PORCIONADO PARRILLA</t>
        </is>
      </c>
      <c r="E413" s="132" t="n">
        <v>22</v>
      </c>
      <c r="F413" s="133" t="n">
        <v>44000</v>
      </c>
      <c r="G413" s="133" t="n">
        <v>968000</v>
      </c>
    </row>
    <row r="414">
      <c r="A414" s="128" t="n">
        <v>19</v>
      </c>
      <c r="B414" s="130" t="inlineStr">
        <is>
          <t>Carnes</t>
        </is>
      </c>
      <c r="C414" s="130" t="inlineStr">
        <is>
          <t>Lengua de res</t>
        </is>
      </c>
      <c r="D414" s="130" t="inlineStr">
        <is>
          <t>LENGUA DE RES IMP X KL</t>
        </is>
      </c>
      <c r="E414" s="131" t="n">
        <v>26.15</v>
      </c>
      <c r="F414" s="133" t="n">
        <v>23900</v>
      </c>
      <c r="G414" s="133" t="n">
        <v>624985</v>
      </c>
    </row>
    <row r="415">
      <c r="A415" s="128" t="n">
        <v>19</v>
      </c>
      <c r="B415" s="130" t="inlineStr">
        <is>
          <t>Carnes</t>
        </is>
      </c>
      <c r="C415" s="130" t="inlineStr">
        <is>
          <t>Costilla de res</t>
        </is>
      </c>
      <c r="D415" s="130" t="inlineStr">
        <is>
          <t>COSTILLA DE RES DELANTERA</t>
        </is>
      </c>
      <c r="E415" s="131" t="n">
        <v>33.65</v>
      </c>
      <c r="F415" s="133" t="n">
        <v>18500</v>
      </c>
      <c r="G415" s="133" t="n">
        <v>622525</v>
      </c>
    </row>
    <row r="416">
      <c r="A416" t="n">
        <v>19</v>
      </c>
      <c r="B416" t="inlineStr">
        <is>
          <t>Verduras</t>
        </is>
      </c>
      <c r="C416" t="inlineStr">
        <is>
          <t>Color isabel</t>
        </is>
      </c>
      <c r="D416" t="inlineStr">
        <is>
          <t>2 BTS. COLOR</t>
        </is>
      </c>
      <c r="E416" t="n">
        <v>2</v>
      </c>
      <c r="F416" t="n">
        <v>340000</v>
      </c>
      <c r="G416" t="n">
        <v>680000</v>
      </c>
    </row>
    <row r="417">
      <c r="A417" t="n">
        <v>19</v>
      </c>
      <c r="B417" t="inlineStr">
        <is>
          <t>Carnes</t>
        </is>
      </c>
      <c r="C417" t="inlineStr">
        <is>
          <t>Espinazo de cerdo</t>
        </is>
      </c>
      <c r="D417" t="inlineStr">
        <is>
          <t>ESPINAZO DE CERDO A GRANEL</t>
        </is>
      </c>
      <c r="E417" t="n">
        <v>4.24</v>
      </c>
      <c r="F417" t="n">
        <v>8984.2358</v>
      </c>
      <c r="G417" t="n">
        <v>38093.16</v>
      </c>
    </row>
    <row r="418">
      <c r="A418" t="n">
        <v>19</v>
      </c>
      <c r="B418" t="inlineStr">
        <is>
          <t>Desechables</t>
        </is>
      </c>
      <c r="C418" t="inlineStr">
        <is>
          <t>Bolsa canaveral 100% material recicl f</t>
        </is>
      </c>
      <c r="D418" t="inlineStr">
        <is>
          <t>BOLSA CANAVERAL 100% MATERIAL RECICL F</t>
        </is>
      </c>
      <c r="E418" t="n">
        <v>1</v>
      </c>
      <c r="F418" t="n">
        <v>360</v>
      </c>
      <c r="G418" t="n">
        <v>360</v>
      </c>
    </row>
    <row r="419">
      <c r="A419" t="n">
        <v>19</v>
      </c>
      <c r="B419" t="inlineStr">
        <is>
          <t>Desechables</t>
        </is>
      </c>
      <c r="C419" t="inlineStr">
        <is>
          <t>Impuesto bolsa</t>
        </is>
      </c>
      <c r="D419" t="inlineStr">
        <is>
          <t>IMPUESTO A LA BOLSA</t>
        </is>
      </c>
      <c r="E419" t="n">
        <v>1</v>
      </c>
      <c r="F419" t="n">
        <v>73</v>
      </c>
      <c r="G419" t="n">
        <v>73</v>
      </c>
    </row>
    <row r="420">
      <c r="A420" t="n">
        <v>19</v>
      </c>
      <c r="B420" t="inlineStr">
        <is>
          <t>Verduras</t>
        </is>
      </c>
      <c r="C420" t="inlineStr">
        <is>
          <t>Platano guineo</t>
        </is>
      </c>
      <c r="D420" t="inlineStr">
        <is>
          <t>GUINEO</t>
        </is>
      </c>
      <c r="E420" t="n">
        <v>6.32</v>
      </c>
      <c r="F420" t="n">
        <v>1490</v>
      </c>
      <c r="G420" t="n">
        <v>9416.799999999999</v>
      </c>
    </row>
    <row r="421">
      <c r="A421" t="n">
        <v>19</v>
      </c>
      <c r="B421" t="inlineStr">
        <is>
          <t>Verduras</t>
        </is>
      </c>
      <c r="C421" t="inlineStr">
        <is>
          <t>Platano guineo</t>
        </is>
      </c>
      <c r="D421" t="inlineStr">
        <is>
          <t>GUINEO</t>
        </is>
      </c>
      <c r="E421" t="n">
        <v>6.96</v>
      </c>
      <c r="F421" t="n">
        <v>1490</v>
      </c>
      <c r="G421" t="n">
        <v>10370.4</v>
      </c>
    </row>
    <row r="422">
      <c r="A422" t="n">
        <v>19</v>
      </c>
      <c r="B422" t="inlineStr">
        <is>
          <t>Verduras</t>
        </is>
      </c>
      <c r="C422" t="inlineStr">
        <is>
          <t>Platano guineo</t>
        </is>
      </c>
      <c r="D422" t="inlineStr">
        <is>
          <t>GUINEO</t>
        </is>
      </c>
      <c r="E422" t="n">
        <v>5.3</v>
      </c>
      <c r="F422" t="n">
        <v>1490</v>
      </c>
      <c r="G422" t="n">
        <v>7897</v>
      </c>
    </row>
    <row r="423">
      <c r="A423" t="n">
        <v>19</v>
      </c>
      <c r="B423" t="inlineStr">
        <is>
          <t>Bebidas</t>
        </is>
      </c>
      <c r="C423" t="inlineStr">
        <is>
          <t>Vino tinto</t>
        </is>
      </c>
      <c r="D423" t="inlineStr">
        <is>
          <t>VINO TINTO BUENA COCINA Fco*3</t>
        </is>
      </c>
      <c r="E423" t="n">
        <v>1</v>
      </c>
      <c r="F423" t="n">
        <v>14200</v>
      </c>
      <c r="G423" t="n">
        <v>14200</v>
      </c>
    </row>
    <row r="424">
      <c r="A424" t="n">
        <v>19</v>
      </c>
      <c r="B424" t="inlineStr">
        <is>
          <t>Desechables</t>
        </is>
      </c>
      <c r="C424" t="inlineStr">
        <is>
          <t>Bolsa canaveral 100% material recicl f</t>
        </is>
      </c>
      <c r="D424" t="inlineStr">
        <is>
          <t>BOLSA 100% RECICLABLE*Und PEQ</t>
        </is>
      </c>
      <c r="E424" t="n">
        <v>1</v>
      </c>
      <c r="F424" t="n">
        <v>400</v>
      </c>
      <c r="G424" t="n">
        <v>400</v>
      </c>
    </row>
    <row r="425">
      <c r="A425" t="n">
        <v>19</v>
      </c>
      <c r="B425" t="inlineStr">
        <is>
          <t>Carnes</t>
        </is>
      </c>
      <c r="C425" t="inlineStr">
        <is>
          <t>Mortadela</t>
        </is>
      </c>
      <c r="D425" t="inlineStr">
        <is>
          <t>MORTADELA RICA*450g</t>
        </is>
      </c>
      <c r="E425" t="n">
        <v>1</v>
      </c>
      <c r="F425" t="n">
        <v>10600</v>
      </c>
      <c r="G425" t="n">
        <v>10600</v>
      </c>
    </row>
    <row r="426">
      <c r="A426" t="n">
        <v>19</v>
      </c>
      <c r="B426" t="inlineStr">
        <is>
          <t>Carnes</t>
        </is>
      </c>
      <c r="C426" t="inlineStr">
        <is>
          <t>Salchicha ranchera</t>
        </is>
      </c>
      <c r="D426" t="inlineStr">
        <is>
          <t>SALCHICHA RANCHERA*480g</t>
        </is>
      </c>
      <c r="E426" t="n">
        <v>1</v>
      </c>
      <c r="F426" t="n">
        <v>29500</v>
      </c>
      <c r="G426" t="n">
        <v>29500</v>
      </c>
    </row>
    <row r="427">
      <c r="A427" t="n">
        <v>19</v>
      </c>
      <c r="B427" t="inlineStr">
        <is>
          <t>Carnes</t>
        </is>
      </c>
      <c r="C427" t="inlineStr">
        <is>
          <t>Pechuga mcpollo</t>
        </is>
      </c>
      <c r="D427" t="inlineStr">
        <is>
          <t>PECHUGA MACPOLLO CAMPO MARIN A GRANEL</t>
        </is>
      </c>
      <c r="E427" t="n">
        <v>4.174</v>
      </c>
      <c r="F427" t="n">
        <v>13475</v>
      </c>
      <c r="G427" t="n">
        <v>56244.65</v>
      </c>
    </row>
    <row r="428">
      <c r="A428" t="n">
        <v>19</v>
      </c>
      <c r="B428" t="inlineStr">
        <is>
          <t>Desechables</t>
        </is>
      </c>
      <c r="C428" t="inlineStr">
        <is>
          <t>Bolsa canaveral 100% material recicl f</t>
        </is>
      </c>
      <c r="D428" t="inlineStr">
        <is>
          <t>BOLSA CANAVERAL 100% MATERIAL RECICL P</t>
        </is>
      </c>
      <c r="E428" t="n">
        <v>1</v>
      </c>
      <c r="F428" t="n">
        <v>300</v>
      </c>
      <c r="G428" t="n">
        <v>300</v>
      </c>
    </row>
    <row r="429">
      <c r="A429" t="n">
        <v>19</v>
      </c>
      <c r="B429" t="inlineStr">
        <is>
          <t>Verduras</t>
        </is>
      </c>
      <c r="C429" t="inlineStr">
        <is>
          <t>Aguacate</t>
        </is>
      </c>
      <c r="D429" t="inlineStr">
        <is>
          <t>4- AGUACATE</t>
        </is>
      </c>
      <c r="E429" t="n">
        <v>4</v>
      </c>
      <c r="F429" t="n">
        <v>8000</v>
      </c>
      <c r="G429" t="n">
        <v>32000</v>
      </c>
    </row>
    <row r="430">
      <c r="A430" t="n">
        <v>19</v>
      </c>
      <c r="B430" t="inlineStr">
        <is>
          <t>Desechables</t>
        </is>
      </c>
      <c r="C430" t="inlineStr">
        <is>
          <t>Mazamorra</t>
        </is>
      </c>
      <c r="D430" t="inlineStr">
        <is>
          <t>MAZAMORRA</t>
        </is>
      </c>
      <c r="E430" t="n">
        <v>1</v>
      </c>
      <c r="F430" t="n">
        <v>25000</v>
      </c>
      <c r="G430" t="n">
        <v>25000</v>
      </c>
    </row>
    <row r="431">
      <c r="A431" t="n">
        <v>19</v>
      </c>
      <c r="B431" t="inlineStr">
        <is>
          <t>Bebidas</t>
        </is>
      </c>
      <c r="C431" t="inlineStr">
        <is>
          <t>Bloque media</t>
        </is>
      </c>
      <c r="D431" t="inlineStr">
        <is>
          <t>BLOQUE MEDIA</t>
        </is>
      </c>
      <c r="E431" t="n">
        <v>2</v>
      </c>
      <c r="F431" t="n">
        <v>9500</v>
      </c>
      <c r="G431" t="n">
        <v>19000</v>
      </c>
    </row>
    <row r="432">
      <c r="A432" t="n">
        <v>19</v>
      </c>
      <c r="B432" t="inlineStr">
        <is>
          <t>Servicios</t>
        </is>
      </c>
      <c r="C432" t="inlineStr">
        <is>
          <t>Acopi</t>
        </is>
      </c>
      <c r="D432" t="inlineStr">
        <is>
          <t>ACOPI</t>
        </is>
      </c>
      <c r="E432" t="n">
        <v>1</v>
      </c>
      <c r="F432" t="n">
        <v>30000</v>
      </c>
      <c r="G432" t="n">
        <v>30000</v>
      </c>
    </row>
    <row r="433">
      <c r="A433" t="n">
        <v>19</v>
      </c>
      <c r="B433" t="inlineStr">
        <is>
          <t>Servicios</t>
        </is>
      </c>
      <c r="C433" t="inlineStr">
        <is>
          <t>Pago turnos</t>
        </is>
      </c>
      <c r="D433" t="inlineStr">
        <is>
          <t>DOMINGO L.</t>
        </is>
      </c>
      <c r="E433" t="n">
        <v>1</v>
      </c>
      <c r="F433" t="n">
        <v>50000</v>
      </c>
      <c r="G433" t="n">
        <v>50000</v>
      </c>
    </row>
    <row r="434">
      <c r="A434" s="128" t="n">
        <v>20</v>
      </c>
      <c r="B434" s="130" t="inlineStr">
        <is>
          <t>Bebidas</t>
        </is>
      </c>
      <c r="C434" s="130" t="inlineStr">
        <is>
          <t>Mr. tea</t>
        </is>
      </c>
      <c r="D434" s="130" t="inlineStr">
        <is>
          <t>DURAZNO MR TEA 500 ML PET X12</t>
        </is>
      </c>
      <c r="E434" s="132" t="n">
        <v>12</v>
      </c>
      <c r="F434" s="134" t="n">
        <v>1890.76</v>
      </c>
      <c r="G434" s="134" t="n">
        <v>22689.12</v>
      </c>
    </row>
    <row r="435">
      <c r="A435" s="128" t="n">
        <v>20</v>
      </c>
      <c r="B435" s="130" t="inlineStr">
        <is>
          <t>Bebidas</t>
        </is>
      </c>
      <c r="C435" s="130" t="inlineStr">
        <is>
          <t>Itamarindo postobo n 350 ml vidrio r x 30</t>
        </is>
      </c>
      <c r="D435" s="130" t="inlineStr">
        <is>
          <t>TAMARINDO POSTOBON 350 ML VIDRIO R X 30</t>
        </is>
      </c>
      <c r="E435" s="132" t="n">
        <v>15</v>
      </c>
      <c r="F435" s="134" t="n">
        <v>1260.5</v>
      </c>
      <c r="G435" s="134" t="n">
        <v>18907.51</v>
      </c>
    </row>
    <row r="436">
      <c r="A436" s="128" t="n">
        <v>20</v>
      </c>
      <c r="B436" s="130" t="inlineStr">
        <is>
          <t>Bebidas</t>
        </is>
      </c>
      <c r="C436" s="130" t="inlineStr">
        <is>
          <t>Gaseosa 350 ml</t>
        </is>
      </c>
      <c r="D436" s="130" t="inlineStr">
        <is>
          <t>COLOMBIANA NACIONAL 350 ML VIDRIO R X 30</t>
        </is>
      </c>
      <c r="E436" s="132" t="n">
        <v>15</v>
      </c>
      <c r="F436" s="134" t="n">
        <v>1450.98</v>
      </c>
      <c r="G436" s="134" t="n">
        <v>21764.7</v>
      </c>
    </row>
    <row r="437">
      <c r="A437" s="128" t="n">
        <v>20</v>
      </c>
      <c r="B437" s="130" t="inlineStr">
        <is>
          <t>Bebidas</t>
        </is>
      </c>
      <c r="C437" s="130" t="inlineStr">
        <is>
          <t>Soda bretaña</t>
        </is>
      </c>
      <c r="D437" s="130" t="inlineStr">
        <is>
          <t>BRETAÑA 350 ML VIDRIO R X 30</t>
        </is>
      </c>
      <c r="E437" s="132" t="n">
        <v>30</v>
      </c>
      <c r="F437" s="134" t="n">
        <v>1916.67</v>
      </c>
      <c r="G437" s="134" t="n">
        <v>57500.1</v>
      </c>
    </row>
    <row r="438">
      <c r="A438" s="128" t="n">
        <v>20</v>
      </c>
      <c r="B438" s="130" t="inlineStr">
        <is>
          <t>Bebidas</t>
        </is>
      </c>
      <c r="C438" s="130" t="inlineStr">
        <is>
          <t>H2o</t>
        </is>
      </c>
      <c r="D438" s="130" t="inlineStr">
        <is>
          <t>MARACUYA H2OH! 600 ML PET X 15</t>
        </is>
      </c>
      <c r="E438" s="132" t="n">
        <v>8</v>
      </c>
      <c r="F438" s="134" t="n">
        <v>1820.73</v>
      </c>
      <c r="G438" s="134" t="n">
        <v>14565.84</v>
      </c>
    </row>
    <row r="439">
      <c r="A439" s="128" t="n">
        <v>20</v>
      </c>
      <c r="B439" s="130" t="inlineStr">
        <is>
          <t>Bebidas</t>
        </is>
      </c>
      <c r="C439" s="130" t="inlineStr">
        <is>
          <t>Agua</t>
        </is>
      </c>
      <c r="D439" s="130" t="inlineStr">
        <is>
          <t>AGUA CRISTAL 600 ML PET X 24</t>
        </is>
      </c>
      <c r="E439" s="132" t="n">
        <v>24</v>
      </c>
      <c r="F439" s="134" t="n">
        <v>1333.33</v>
      </c>
      <c r="G439" s="134" t="n">
        <v>31999.92</v>
      </c>
    </row>
    <row r="440">
      <c r="A440" s="128" t="n">
        <v>20</v>
      </c>
      <c r="B440" s="130" t="inlineStr">
        <is>
          <t>Bebidas</t>
        </is>
      </c>
      <c r="C440" s="130" t="inlineStr">
        <is>
          <t>H2o</t>
        </is>
      </c>
      <c r="D440" s="130" t="inlineStr">
        <is>
          <t>LIMA LIMON H2Oh! 600 ML PET X 15</t>
        </is>
      </c>
      <c r="E440" s="132" t="n">
        <v>15</v>
      </c>
      <c r="F440" s="134" t="n">
        <v>1820.73</v>
      </c>
      <c r="G440" s="134" t="n">
        <v>27310.95</v>
      </c>
    </row>
    <row r="441">
      <c r="A441" s="128" t="n">
        <v>20</v>
      </c>
      <c r="B441" s="130" t="inlineStr">
        <is>
          <t>Bebidas</t>
        </is>
      </c>
      <c r="C441" s="130" t="inlineStr">
        <is>
          <t>Mr. tea</t>
        </is>
      </c>
      <c r="D441" s="130" t="inlineStr">
        <is>
          <t>LIMON MR TEA 500 ML PET X 12</t>
        </is>
      </c>
      <c r="E441" s="132" t="n">
        <v>12</v>
      </c>
      <c r="F441" s="134" t="n">
        <v>1890.76</v>
      </c>
      <c r="G441" s="134" t="n">
        <v>22689.12</v>
      </c>
    </row>
    <row r="442">
      <c r="A442" s="128" t="n">
        <v>20</v>
      </c>
      <c r="B442" s="130" t="inlineStr">
        <is>
          <t>Bebidas</t>
        </is>
      </c>
      <c r="C442" s="130" t="inlineStr">
        <is>
          <t>H2o</t>
        </is>
      </c>
      <c r="D442" s="130" t="inlineStr">
        <is>
          <t>MANZANA H2OH 600 ML PET X 15</t>
        </is>
      </c>
      <c r="E442" s="132" t="n">
        <v>7</v>
      </c>
      <c r="F442" s="134" t="n">
        <v>1820.73</v>
      </c>
      <c r="G442" s="134" t="n">
        <v>12745.11</v>
      </c>
    </row>
    <row r="443">
      <c r="A443" s="128" t="n">
        <v>20</v>
      </c>
      <c r="B443" s="130" t="inlineStr">
        <is>
          <t>Carnes</t>
        </is>
      </c>
      <c r="C443" s="130" t="inlineStr">
        <is>
          <t>Salmon</t>
        </is>
      </c>
      <c r="D443" s="130" t="inlineStr">
        <is>
          <t>Filete de Salmon Grande</t>
        </is>
      </c>
      <c r="E443" s="131" t="n">
        <v>10.225</v>
      </c>
      <c r="F443" s="133" t="n">
        <v>55000</v>
      </c>
      <c r="G443" s="133" t="n">
        <v>562375</v>
      </c>
    </row>
    <row r="444">
      <c r="A444" s="128" t="n">
        <v>20</v>
      </c>
      <c r="B444" s="130" t="inlineStr">
        <is>
          <t>Carnes</t>
        </is>
      </c>
      <c r="C444" s="130" t="inlineStr">
        <is>
          <t>Marisco</t>
        </is>
      </c>
      <c r="D444" s="130" t="inlineStr">
        <is>
          <t>Mix de Mariscos</t>
        </is>
      </c>
      <c r="E444" s="132" t="n">
        <v>5</v>
      </c>
      <c r="F444" s="133" t="n">
        <v>24000</v>
      </c>
      <c r="G444" s="133" t="n">
        <v>120000</v>
      </c>
    </row>
    <row r="445">
      <c r="A445" s="128" t="n">
        <v>20</v>
      </c>
      <c r="B445" s="130" t="inlineStr">
        <is>
          <t>Carnes</t>
        </is>
      </c>
      <c r="C445" s="130" t="inlineStr">
        <is>
          <t>Tilapia y truchas</t>
        </is>
      </c>
      <c r="D445" s="130" t="inlineStr">
        <is>
          <t>Tilapia Roja</t>
        </is>
      </c>
      <c r="E445" s="131" t="n">
        <v>24.79</v>
      </c>
      <c r="F445" s="133" t="n">
        <v>18000</v>
      </c>
      <c r="G445" s="133" t="n">
        <v>446220</v>
      </c>
    </row>
    <row r="446">
      <c r="A446" s="128" t="n">
        <v>20</v>
      </c>
      <c r="B446" s="130" t="inlineStr">
        <is>
          <t>Bebidas</t>
        </is>
      </c>
      <c r="C446" s="130" t="inlineStr">
        <is>
          <t>Bloque media</t>
        </is>
      </c>
      <c r="D446" s="130" t="inlineStr">
        <is>
          <t>BLOQUE MEDIA</t>
        </is>
      </c>
      <c r="E446" s="132" t="n">
        <v>2</v>
      </c>
      <c r="F446" s="133" t="n">
        <v>9500</v>
      </c>
      <c r="G446" s="133" t="n">
        <v>19000</v>
      </c>
    </row>
    <row r="447">
      <c r="A447" s="128" t="n">
        <v>20</v>
      </c>
      <c r="B447" s="130" t="inlineStr">
        <is>
          <t>Desechables</t>
        </is>
      </c>
      <c r="C447" s="130" t="inlineStr">
        <is>
          <t>Acento x 500</t>
        </is>
      </c>
      <c r="D447" s="130" t="inlineStr">
        <is>
          <t>ACENTO X 500 LB</t>
        </is>
      </c>
      <c r="E447" s="132" t="n">
        <v>4</v>
      </c>
      <c r="F447" s="134" t="n">
        <v>6199.995</v>
      </c>
      <c r="G447" s="134" t="n">
        <v>24799.98</v>
      </c>
    </row>
    <row r="448">
      <c r="A448" s="128" t="n">
        <v>20</v>
      </c>
      <c r="B448" s="130" t="inlineStr">
        <is>
          <t>Desechables</t>
        </is>
      </c>
      <c r="C448" s="130" t="inlineStr">
        <is>
          <t>Aji pequeño x 40</t>
        </is>
      </c>
      <c r="D448" s="130" t="inlineStr">
        <is>
          <t>AJI DIFER PEQUEÑO X40</t>
        </is>
      </c>
      <c r="E448" s="132" t="n">
        <v>2</v>
      </c>
      <c r="F448" s="133" t="n">
        <v>3000</v>
      </c>
      <c r="G448" s="133" t="n">
        <v>6000</v>
      </c>
    </row>
    <row r="449">
      <c r="A449" s="128" t="n">
        <v>20</v>
      </c>
      <c r="B449" s="130" t="inlineStr">
        <is>
          <t>Desechables</t>
        </is>
      </c>
      <c r="C449" s="130" t="inlineStr">
        <is>
          <t>Azucar sobre x 200</t>
        </is>
      </c>
      <c r="D449" s="130" t="inlineStr">
        <is>
          <t>AZUCAR EN SOBRE X 200 X 10</t>
        </is>
      </c>
      <c r="E449" s="132" t="n">
        <v>3</v>
      </c>
      <c r="F449" s="133" t="n">
        <v>8400</v>
      </c>
      <c r="G449" s="133" t="n">
        <v>25200</v>
      </c>
    </row>
    <row r="450">
      <c r="A450" s="128" t="n">
        <v>20</v>
      </c>
      <c r="B450" s="130" t="inlineStr">
        <is>
          <t>Desechables</t>
        </is>
      </c>
      <c r="C450" s="130" t="inlineStr">
        <is>
          <t>Bananas x 24</t>
        </is>
      </c>
      <c r="D450" s="130" t="inlineStr">
        <is>
          <t>BANANA EXTRA X 24</t>
        </is>
      </c>
      <c r="E450" s="132" t="n">
        <v>5</v>
      </c>
      <c r="F450" s="134" t="n">
        <v>6650.006</v>
      </c>
      <c r="G450" s="134" t="n">
        <v>33250.03</v>
      </c>
    </row>
    <row r="451">
      <c r="A451" s="128" t="n">
        <v>20</v>
      </c>
      <c r="B451" s="130" t="inlineStr">
        <is>
          <t>Desechables</t>
        </is>
      </c>
      <c r="C451" s="130" t="inlineStr">
        <is>
          <t>Bolsa basura 65 x 90 # 2</t>
        </is>
      </c>
      <c r="D451" s="130" t="inlineStr">
        <is>
          <t>BOLSA BASURA 65 X 90 #2</t>
        </is>
      </c>
      <c r="E451" s="132" t="n">
        <v>10</v>
      </c>
      <c r="F451" s="134" t="n">
        <v>449.998</v>
      </c>
      <c r="G451" s="134" t="n">
        <v>4499.98</v>
      </c>
    </row>
    <row r="452">
      <c r="A452" s="128" t="n">
        <v>20</v>
      </c>
      <c r="B452" s="130" t="inlineStr">
        <is>
          <t>Desechables</t>
        </is>
      </c>
      <c r="C452" s="130" t="inlineStr">
        <is>
          <t>Bolsa basura 65 x 90 # 2</t>
        </is>
      </c>
      <c r="D452" s="130" t="inlineStr">
        <is>
          <t>BOLSA BASURA DE COLORES 65 X 90</t>
        </is>
      </c>
      <c r="E452" s="132" t="n">
        <v>10</v>
      </c>
      <c r="F452" s="134" t="n">
        <v>449.998</v>
      </c>
      <c r="G452" s="134" t="n">
        <v>4499.98</v>
      </c>
    </row>
    <row r="453">
      <c r="A453" s="128" t="n">
        <v>20</v>
      </c>
      <c r="B453" s="130" t="inlineStr">
        <is>
          <t>Desechables</t>
        </is>
      </c>
      <c r="C453" s="130" t="inlineStr">
        <is>
          <t>Bolsa basura industrial gruesa 90 x 120</t>
        </is>
      </c>
      <c r="D453" s="130" t="inlineStr">
        <is>
          <t>BOLSA BASURA INDUSTRIAL GRUESA 90 X 120</t>
        </is>
      </c>
      <c r="E453" s="132" t="n">
        <v>20</v>
      </c>
      <c r="F453" s="134" t="n">
        <v>899.997</v>
      </c>
      <c r="G453" s="134" t="n">
        <v>17999.94</v>
      </c>
    </row>
    <row r="454">
      <c r="A454" s="128" t="n">
        <v>20</v>
      </c>
      <c r="B454" s="130" t="inlineStr">
        <is>
          <t>Desechables</t>
        </is>
      </c>
      <c r="C454" s="130" t="inlineStr">
        <is>
          <t>Café</t>
        </is>
      </c>
      <c r="D454" s="130" t="inlineStr">
        <is>
          <t>CAFE AGUILA 1/2 DE LB X 25</t>
        </is>
      </c>
      <c r="E454" s="132" t="n">
        <v>2</v>
      </c>
      <c r="F454" s="134" t="n">
        <v>15099.95</v>
      </c>
      <c r="G454" s="134" t="n">
        <v>30199.9</v>
      </c>
    </row>
    <row r="455">
      <c r="A455" s="128" t="n">
        <v>20</v>
      </c>
      <c r="B455" s="130" t="inlineStr">
        <is>
          <t>Desechables</t>
        </is>
      </c>
      <c r="C455" s="130" t="inlineStr">
        <is>
          <t>Contenedor 12 onz.</t>
        </is>
      </c>
      <c r="D455" s="130" t="inlineStr">
        <is>
          <t>CONTENEDOR DARNEL 12 ONZ X 20X25 T ESPUMADO</t>
        </is>
      </c>
      <c r="E455" s="132" t="n">
        <v>5</v>
      </c>
      <c r="F455" s="134" t="n">
        <v>9499.995999999999</v>
      </c>
      <c r="G455" s="134" t="n">
        <v>47499.98</v>
      </c>
    </row>
    <row r="456">
      <c r="A456" s="128" t="n">
        <v>20</v>
      </c>
      <c r="B456" s="130" t="inlineStr">
        <is>
          <t>Desechables</t>
        </is>
      </c>
      <c r="C456" s="130" t="inlineStr">
        <is>
          <t>Contenedor darnel 8 onz. x 20 x 25</t>
        </is>
      </c>
      <c r="D456" s="130" t="inlineStr">
        <is>
          <t>CONTENEDOR DARNEL 8 ONZ T X 20X25</t>
        </is>
      </c>
      <c r="E456" s="132" t="n">
        <v>25</v>
      </c>
      <c r="F456" s="134" t="n">
        <v>8599.999</v>
      </c>
      <c r="G456" s="134" t="n">
        <v>214999.98</v>
      </c>
    </row>
    <row r="457">
      <c r="A457" s="128" t="n">
        <v>20</v>
      </c>
      <c r="B457" s="130" t="inlineStr">
        <is>
          <t>Desechables</t>
        </is>
      </c>
      <c r="C457" s="130" t="inlineStr">
        <is>
          <t>Copa troforma 1/2</t>
        </is>
      </c>
      <c r="D457" s="130" t="inlineStr">
        <is>
          <t>COPA TROFORMA 1/2 ONZ X 50 x 90</t>
        </is>
      </c>
      <c r="E457" s="132" t="n">
        <v>8</v>
      </c>
      <c r="F457" s="133" t="n">
        <v>2500</v>
      </c>
      <c r="G457" s="133" t="n">
        <v>20000</v>
      </c>
    </row>
    <row r="458">
      <c r="A458" s="128" t="n">
        <v>20</v>
      </c>
      <c r="B458" s="130" t="inlineStr">
        <is>
          <t>Desechables</t>
        </is>
      </c>
      <c r="C458" s="130" t="inlineStr">
        <is>
          <t>Cubierto grande x 3 cja x 28pq x 50un</t>
        </is>
      </c>
      <c r="D458" s="130" t="inlineStr">
        <is>
          <t>CUBIERTO GRANDE X 3 CJA X 28PQ X 50UN</t>
        </is>
      </c>
      <c r="E458" s="132" t="n">
        <v>250</v>
      </c>
      <c r="F458" s="134" t="n">
        <v>389.999</v>
      </c>
      <c r="G458" s="134" t="n">
        <v>97499.67</v>
      </c>
    </row>
    <row r="459">
      <c r="A459" s="128" t="n">
        <v>20</v>
      </c>
      <c r="B459" s="130" t="inlineStr">
        <is>
          <t>Desechables</t>
        </is>
      </c>
      <c r="C459" s="130" t="inlineStr">
        <is>
          <t>Bolsa maniguetat40</t>
        </is>
      </c>
      <c r="D459" s="130" t="inlineStr">
        <is>
          <t>BOLSA MANIGUETA T40 BLANCA ECON</t>
        </is>
      </c>
      <c r="E459" s="132" t="n">
        <v>6</v>
      </c>
      <c r="F459" s="134" t="n">
        <v>9600.003000000001</v>
      </c>
      <c r="G459" s="134" t="n">
        <v>57600.02</v>
      </c>
    </row>
    <row r="460">
      <c r="A460" s="128" t="n">
        <v>20</v>
      </c>
      <c r="B460" s="130" t="inlineStr">
        <is>
          <t>Desechables</t>
        </is>
      </c>
      <c r="C460" s="130" t="inlineStr">
        <is>
          <t>Detergente dersax 1000</t>
        </is>
      </c>
      <c r="D460" s="130" t="inlineStr">
        <is>
          <t>DETERGENTE DERSA LIMON X500 X 40</t>
        </is>
      </c>
      <c r="E460" s="132" t="n">
        <v>14</v>
      </c>
      <c r="F460" s="134" t="n">
        <v>6499.994</v>
      </c>
      <c r="G460" s="134" t="n">
        <v>90999.92</v>
      </c>
    </row>
    <row r="461">
      <c r="A461" s="128" t="n">
        <v>20</v>
      </c>
      <c r="B461" s="130" t="inlineStr">
        <is>
          <t>Desechables</t>
        </is>
      </c>
      <c r="C461" s="130" t="inlineStr">
        <is>
          <t>Harina de trigo x 25</t>
        </is>
      </c>
      <c r="D461" s="130" t="inlineStr">
        <is>
          <t>HARINA DE TRIGO X 25</t>
        </is>
      </c>
      <c r="E461" s="132" t="n">
        <v>5</v>
      </c>
      <c r="F461" s="133" t="n">
        <v>2100</v>
      </c>
      <c r="G461" s="133" t="n">
        <v>10500</v>
      </c>
    </row>
    <row r="462">
      <c r="A462" s="128" t="n">
        <v>20</v>
      </c>
      <c r="B462" s="130" t="inlineStr">
        <is>
          <t>Desechables</t>
        </is>
      </c>
      <c r="C462" s="130" t="inlineStr">
        <is>
          <t>Harina para apanar</t>
        </is>
      </c>
      <c r="D462" s="130" t="inlineStr">
        <is>
          <t>HARINA PARA APANAR LB</t>
        </is>
      </c>
      <c r="E462" s="132" t="n">
        <v>25</v>
      </c>
      <c r="F462" s="133" t="n">
        <v>2100</v>
      </c>
      <c r="G462" s="133" t="n">
        <v>52500</v>
      </c>
    </row>
    <row r="463">
      <c r="A463" s="128" t="n">
        <v>20</v>
      </c>
      <c r="B463" s="130" t="inlineStr">
        <is>
          <t>Desechables</t>
        </is>
      </c>
      <c r="C463" s="130" t="inlineStr">
        <is>
          <t>Humo</t>
        </is>
      </c>
      <c r="D463" s="130" t="inlineStr">
        <is>
          <t>HUMO LIQUIDO X3000 DIFFER CJX6</t>
        </is>
      </c>
      <c r="E463" s="132" t="n">
        <v>1</v>
      </c>
      <c r="F463" s="133" t="n">
        <v>19850</v>
      </c>
      <c r="G463" s="133" t="n">
        <v>19850</v>
      </c>
    </row>
    <row r="464">
      <c r="A464" s="128" t="n">
        <v>20</v>
      </c>
      <c r="B464" s="130" t="inlineStr">
        <is>
          <t>Desechables</t>
        </is>
      </c>
      <c r="C464" s="130" t="inlineStr">
        <is>
          <t>Papel higienico jumbo</t>
        </is>
      </c>
      <c r="D464" s="130" t="inlineStr">
        <is>
          <t>PAPEL H. JUMBO INST. BCO X 8 X 250 NUBE</t>
        </is>
      </c>
      <c r="E464" s="132" t="n">
        <v>4</v>
      </c>
      <c r="F464" s="134" t="n">
        <v>11399.998</v>
      </c>
      <c r="G464" s="134" t="n">
        <v>45599.99</v>
      </c>
    </row>
    <row r="465">
      <c r="A465" s="128" t="n">
        <v>20</v>
      </c>
      <c r="B465" s="130" t="inlineStr">
        <is>
          <t>Desechables</t>
        </is>
      </c>
      <c r="C465" s="130" t="inlineStr">
        <is>
          <t>Porta comida j-1</t>
        </is>
      </c>
      <c r="D465" s="130" t="inlineStr">
        <is>
          <t>PORTACOMIDA DARNEL J1 X 200</t>
        </is>
      </c>
      <c r="E465" s="132" t="n">
        <v>200</v>
      </c>
      <c r="F465" s="134" t="n">
        <v>440.0025</v>
      </c>
      <c r="G465" s="134" t="n">
        <v>88000.5</v>
      </c>
    </row>
    <row r="466">
      <c r="A466" s="128" t="n">
        <v>20</v>
      </c>
      <c r="B466" s="130" t="inlineStr">
        <is>
          <t>Desechables</t>
        </is>
      </c>
      <c r="C466" s="130" t="inlineStr">
        <is>
          <t>Porta comida j-2</t>
        </is>
      </c>
      <c r="D466" s="130" t="inlineStr">
        <is>
          <t>PORTACOMIDA DARNEL J2 X 200</t>
        </is>
      </c>
      <c r="E466" s="132" t="n">
        <v>400</v>
      </c>
      <c r="F466" s="134" t="n">
        <v>440.0025</v>
      </c>
      <c r="G466" s="133" t="n">
        <v>176001</v>
      </c>
    </row>
    <row r="467">
      <c r="A467" s="128" t="n">
        <v>20</v>
      </c>
      <c r="B467" s="130" t="inlineStr">
        <is>
          <t>Desechables</t>
        </is>
      </c>
      <c r="C467" s="130" t="inlineStr">
        <is>
          <t>Porta comida c-1</t>
        </is>
      </c>
      <c r="D467" s="130" t="inlineStr">
        <is>
          <t>PORTACOMIDA WAU C1 X 200</t>
        </is>
      </c>
      <c r="E467" s="132" t="n">
        <v>200</v>
      </c>
      <c r="F467" s="134" t="n">
        <v>269.9991</v>
      </c>
      <c r="G467" s="134" t="n">
        <v>53999.82</v>
      </c>
    </row>
    <row r="468">
      <c r="A468" s="128" t="n">
        <v>20</v>
      </c>
      <c r="B468" s="130" t="inlineStr">
        <is>
          <t>Desechables</t>
        </is>
      </c>
      <c r="C468" s="130" t="inlineStr">
        <is>
          <t>Salsa mayonezax4000</t>
        </is>
      </c>
      <c r="D468" s="130" t="inlineStr">
        <is>
          <t>SALSA MAYONESA DIFFER X 4000 X 3</t>
        </is>
      </c>
      <c r="E468" s="132" t="n">
        <v>1</v>
      </c>
      <c r="F468" s="133" t="n">
        <v>30350</v>
      </c>
      <c r="G468" s="133" t="n">
        <v>30350</v>
      </c>
    </row>
    <row r="469">
      <c r="A469" s="128" t="n">
        <v>20</v>
      </c>
      <c r="B469" s="130" t="inlineStr">
        <is>
          <t>Desechables</t>
        </is>
      </c>
      <c r="C469" s="130" t="inlineStr">
        <is>
          <t>Salsa mostaza differ x 4000</t>
        </is>
      </c>
      <c r="D469" s="130" t="inlineStr">
        <is>
          <t>SALSA MOSTAZA DIFFER BOLSA X 4000 X 3</t>
        </is>
      </c>
      <c r="E469" s="132" t="n">
        <v>1</v>
      </c>
      <c r="F469" s="133" t="n">
        <v>18650</v>
      </c>
      <c r="G469" s="133" t="n">
        <v>18650</v>
      </c>
    </row>
    <row r="470">
      <c r="A470" s="128" t="n">
        <v>20</v>
      </c>
      <c r="B470" s="130" t="inlineStr">
        <is>
          <t>Desechables</t>
        </is>
      </c>
      <c r="C470" s="130" t="inlineStr">
        <is>
          <t>Salsa negra differ galon x 3000 x 6</t>
        </is>
      </c>
      <c r="D470" s="130" t="inlineStr">
        <is>
          <t>SALSA NEGRA DIFFER GALON X 3000 X 6</t>
        </is>
      </c>
      <c r="E470" s="132" t="n">
        <v>2</v>
      </c>
      <c r="F470" s="133" t="n">
        <v>14600</v>
      </c>
      <c r="G470" s="133" t="n">
        <v>29200</v>
      </c>
    </row>
    <row r="471">
      <c r="A471" s="128" t="n">
        <v>20</v>
      </c>
      <c r="B471" s="130" t="inlineStr">
        <is>
          <t>Desechables</t>
        </is>
      </c>
      <c r="C471" s="130" t="inlineStr">
        <is>
          <t>Salsa tomate x 4000</t>
        </is>
      </c>
      <c r="D471" s="130" t="inlineStr">
        <is>
          <t>SALSA TOMATE DIFFER X 4000 X3</t>
        </is>
      </c>
      <c r="E471" s="132" t="n">
        <v>1</v>
      </c>
      <c r="F471" s="133" t="n">
        <v>18200</v>
      </c>
      <c r="G471" s="133" t="n">
        <v>18200</v>
      </c>
    </row>
    <row r="472">
      <c r="A472" s="128" t="n">
        <v>20</v>
      </c>
      <c r="B472" s="130" t="inlineStr">
        <is>
          <t>Desechables</t>
        </is>
      </c>
      <c r="C472" s="130" t="inlineStr">
        <is>
          <t>Contenedor 16 onz. darnel 20x20</t>
        </is>
      </c>
      <c r="D472" s="130" t="inlineStr">
        <is>
          <t>CONTENEDOR DARNEL 16 ONZ X20UND X20 PAQ</t>
        </is>
      </c>
      <c r="E472" s="132" t="n">
        <v>20</v>
      </c>
      <c r="F472" s="134" t="n">
        <v>11199.9945</v>
      </c>
      <c r="G472" s="134" t="n">
        <v>223999.89</v>
      </c>
    </row>
    <row r="473">
      <c r="A473" s="128" t="n">
        <v>20</v>
      </c>
      <c r="B473" s="130" t="inlineStr">
        <is>
          <t>Desechables</t>
        </is>
      </c>
      <c r="C473" s="130" t="inlineStr">
        <is>
          <t>Tapa vaso 3.5</t>
        </is>
      </c>
      <c r="D473" s="130" t="inlineStr">
        <is>
          <t>TAPA VASO 3,5 Y 7 ONZ WAU X 50 X 90</t>
        </is>
      </c>
      <c r="E473" s="132" t="n">
        <v>5</v>
      </c>
      <c r="F473" s="133" t="n">
        <v>4850</v>
      </c>
      <c r="G473" s="133" t="n">
        <v>24250</v>
      </c>
    </row>
    <row r="474">
      <c r="A474" s="128" t="n">
        <v>20</v>
      </c>
      <c r="B474" s="130" t="inlineStr">
        <is>
          <t>Desechables</t>
        </is>
      </c>
      <c r="C474" s="130" t="inlineStr">
        <is>
          <t>Tapa boca</t>
        </is>
      </c>
      <c r="D474" s="130" t="inlineStr">
        <is>
          <t>TAPABOCA X 50</t>
        </is>
      </c>
      <c r="E474" s="132" t="n">
        <v>1</v>
      </c>
      <c r="F474" s="133" t="n">
        <v>8200</v>
      </c>
      <c r="G474" s="133" t="n">
        <v>8200</v>
      </c>
    </row>
    <row r="475">
      <c r="A475" s="128" t="n">
        <v>20</v>
      </c>
      <c r="B475" s="130" t="inlineStr">
        <is>
          <t>Desechables</t>
        </is>
      </c>
      <c r="C475" s="130" t="inlineStr">
        <is>
          <t>Tapa copa troforma 1 1/2</t>
        </is>
      </c>
      <c r="D475" s="130" t="inlineStr">
        <is>
          <t>TAPA COPA TROFORMA 1 Y 1/2 ONZ X 50 X 2000 X 6</t>
        </is>
      </c>
      <c r="E475" s="132" t="n">
        <v>8</v>
      </c>
      <c r="F475" s="134" t="n">
        <v>2400.0038</v>
      </c>
      <c r="G475" s="134" t="n">
        <v>19200.03</v>
      </c>
    </row>
    <row r="476">
      <c r="A476" s="128" t="n">
        <v>20</v>
      </c>
      <c r="B476" s="130" t="inlineStr">
        <is>
          <t>Desechables</t>
        </is>
      </c>
      <c r="C476" s="130" t="inlineStr">
        <is>
          <t>Tapa vaso 12 onz. tami</t>
        </is>
      </c>
      <c r="D476" s="130" t="inlineStr">
        <is>
          <t>TAPA VASO 12 ONZ TAMI X 50 UND X 20 PQ</t>
        </is>
      </c>
      <c r="E476" s="132" t="n">
        <v>5</v>
      </c>
      <c r="F476" s="134" t="n">
        <v>5449.998</v>
      </c>
      <c r="G476" s="134" t="n">
        <v>27249.99</v>
      </c>
    </row>
    <row r="477">
      <c r="A477" s="128" t="n">
        <v>20</v>
      </c>
      <c r="B477" s="130" t="inlineStr">
        <is>
          <t>Desechables</t>
        </is>
      </c>
      <c r="C477" s="130" t="inlineStr">
        <is>
          <t>Vaso tami 12x25</t>
        </is>
      </c>
      <c r="D477" s="130" t="inlineStr">
        <is>
          <t>VASO TAMI 12 X 25 TRANSP X 126 PQ</t>
        </is>
      </c>
      <c r="E477" s="132" t="n">
        <v>10</v>
      </c>
      <c r="F477" s="134" t="n">
        <v>4999.999</v>
      </c>
      <c r="G477" s="134" t="n">
        <v>49999.99</v>
      </c>
    </row>
    <row r="478">
      <c r="A478" s="128" t="n">
        <v>20</v>
      </c>
      <c r="B478" s="130" t="inlineStr">
        <is>
          <t>Desechables</t>
        </is>
      </c>
      <c r="C478" s="130" t="inlineStr">
        <is>
          <t>Vasote 3.5 tansl x 50 x 60</t>
        </is>
      </c>
      <c r="D478" s="130" t="inlineStr">
        <is>
          <t>VASOTE 3,5 TTE X50UDS CJX60PQ WAU!</t>
        </is>
      </c>
      <c r="E478" s="132" t="n">
        <v>5</v>
      </c>
      <c r="F478" s="134" t="n">
        <v>2749.994</v>
      </c>
      <c r="G478" s="134" t="n">
        <v>13749.97</v>
      </c>
    </row>
    <row r="479">
      <c r="A479" s="128" t="n">
        <v>20</v>
      </c>
      <c r="B479" s="130" t="inlineStr">
        <is>
          <t>Desechables</t>
        </is>
      </c>
      <c r="C479" s="130" t="inlineStr">
        <is>
          <t>Vinagre differ galon 3000</t>
        </is>
      </c>
      <c r="D479" s="130" t="inlineStr">
        <is>
          <t>VINAGRE DIFFER GALON X 3000 X 6</t>
        </is>
      </c>
      <c r="E479" s="132" t="n">
        <v>2</v>
      </c>
      <c r="F479" s="133" t="n">
        <v>7200</v>
      </c>
      <c r="G479" s="133" t="n">
        <v>14400</v>
      </c>
    </row>
    <row r="480">
      <c r="A480" s="128" t="n">
        <v>20</v>
      </c>
      <c r="B480" s="130" t="inlineStr">
        <is>
          <t>Desechables</t>
        </is>
      </c>
      <c r="C480" s="130" t="inlineStr">
        <is>
          <t>Color azafran</t>
        </is>
      </c>
      <c r="D480" s="130" t="inlineStr">
        <is>
          <t>COLOR AZAFRAN 1/4 ARROBA</t>
        </is>
      </c>
      <c r="E480" s="132" t="n">
        <v>2</v>
      </c>
      <c r="F480" s="133" t="n">
        <v>23800</v>
      </c>
      <c r="G480" s="133" t="n">
        <v>47600</v>
      </c>
    </row>
    <row r="481">
      <c r="A481" s="128" t="n">
        <v>20</v>
      </c>
      <c r="B481" s="130" t="inlineStr">
        <is>
          <t>Desechables</t>
        </is>
      </c>
      <c r="C481" s="130" t="inlineStr">
        <is>
          <t>Limpido</t>
        </is>
      </c>
      <c r="D481" s="130" t="inlineStr">
        <is>
          <t>LIMPIDO CUÑETE TAKTAX X19000</t>
        </is>
      </c>
      <c r="E481" s="132" t="n">
        <v>1</v>
      </c>
      <c r="F481" s="133" t="n">
        <v>34300</v>
      </c>
      <c r="G481" s="133" t="n">
        <v>34300</v>
      </c>
    </row>
    <row r="482">
      <c r="A482" s="128" t="n">
        <v>20</v>
      </c>
      <c r="B482" s="130" t="inlineStr">
        <is>
          <t>Desechables</t>
        </is>
      </c>
      <c r="C482" s="130" t="inlineStr">
        <is>
          <t>Bolsa tina</t>
        </is>
      </c>
      <c r="D482" s="130" t="inlineStr">
        <is>
          <t>BOLSA TINA X 100</t>
        </is>
      </c>
      <c r="E482" s="132" t="n">
        <v>1</v>
      </c>
      <c r="F482" s="133" t="n">
        <v>21700</v>
      </c>
      <c r="G482" s="133" t="n">
        <v>21700</v>
      </c>
    </row>
    <row r="483">
      <c r="A483" s="128" t="n">
        <v>20</v>
      </c>
      <c r="B483" s="130" t="inlineStr">
        <is>
          <t>Desechables</t>
        </is>
      </c>
      <c r="C483" s="130" t="inlineStr">
        <is>
          <t>Servilletas</t>
        </is>
      </c>
      <c r="D483" s="130" t="inlineStr">
        <is>
          <t>SERVILLETA NUBE 1 A 1 X 60PQ X 100UND</t>
        </is>
      </c>
      <c r="E483" s="132" t="n">
        <v>60</v>
      </c>
      <c r="F483" s="134" t="n">
        <v>1999.997</v>
      </c>
      <c r="G483" s="134" t="n">
        <v>119999.84</v>
      </c>
    </row>
    <row r="484">
      <c r="A484" s="128" t="n">
        <v>20</v>
      </c>
      <c r="B484" s="130" t="inlineStr">
        <is>
          <t>Desechables</t>
        </is>
      </c>
      <c r="C484" s="130" t="inlineStr">
        <is>
          <t>Tarrina 14 x 25 unid</t>
        </is>
      </c>
      <c r="D484" s="130" t="inlineStr">
        <is>
          <t>TARRINA 14 ONZ X 25UND X 20PQ PRODUCT</t>
        </is>
      </c>
      <c r="E484" s="132" t="n">
        <v>3</v>
      </c>
      <c r="F484" s="134" t="n">
        <v>17250.003</v>
      </c>
      <c r="G484" s="134" t="n">
        <v>51750.01</v>
      </c>
    </row>
    <row r="485">
      <c r="A485" s="128" t="n">
        <v>20</v>
      </c>
      <c r="B485" s="130" t="inlineStr">
        <is>
          <t>Desechables</t>
        </is>
      </c>
      <c r="C485" s="130" t="inlineStr">
        <is>
          <t>Guante nitrilo</t>
        </is>
      </c>
      <c r="D485" s="130" t="inlineStr">
        <is>
          <t>GUANTE NITRILO NEGRO M X100UDS MEGA</t>
        </is>
      </c>
      <c r="E485" s="132" t="n">
        <v>2</v>
      </c>
      <c r="F485" s="134" t="n">
        <v>23700.005</v>
      </c>
      <c r="G485" s="134" t="n">
        <v>47400.01</v>
      </c>
    </row>
    <row r="486">
      <c r="A486" s="128" t="n">
        <v>20</v>
      </c>
      <c r="B486" s="130" t="inlineStr">
        <is>
          <t>Desechables</t>
        </is>
      </c>
      <c r="C486" s="130" t="inlineStr">
        <is>
          <t>Toalla mano v natural mio 24x150h</t>
        </is>
      </c>
      <c r="D486" s="130" t="inlineStr">
        <is>
          <t>TOALLA MANO Z NATURAL GARDEN 24X150H</t>
        </is>
      </c>
      <c r="E486" s="132" t="n">
        <v>10</v>
      </c>
      <c r="F486" s="134" t="n">
        <v>5200.002</v>
      </c>
      <c r="G486" s="134" t="n">
        <v>52000.02</v>
      </c>
    </row>
    <row r="487">
      <c r="A487" s="128" t="n">
        <v>20</v>
      </c>
      <c r="B487" s="130" t="inlineStr">
        <is>
          <t>Desechables</t>
        </is>
      </c>
      <c r="C487" s="130" t="inlineStr">
        <is>
          <t>Bolsa maniguetat19</t>
        </is>
      </c>
      <c r="D487" s="130" t="inlineStr">
        <is>
          <t>BOLSA MANIGUETA T19 ECON</t>
        </is>
      </c>
      <c r="E487" s="132" t="n">
        <v>6</v>
      </c>
      <c r="F487" s="134" t="n">
        <v>2599.995</v>
      </c>
      <c r="G487" s="134" t="n">
        <v>15599.97</v>
      </c>
    </row>
    <row r="488">
      <c r="A488" s="128" t="n">
        <v>20</v>
      </c>
      <c r="B488" s="130" t="inlineStr">
        <is>
          <t>Desechables</t>
        </is>
      </c>
      <c r="C488" s="130" t="inlineStr">
        <is>
          <t>Bolsa manigueta t25</t>
        </is>
      </c>
      <c r="D488" s="130" t="inlineStr">
        <is>
          <t>BOLSA MANIGUETA T25 ECON</t>
        </is>
      </c>
      <c r="E488" s="132" t="n">
        <v>5</v>
      </c>
      <c r="F488" s="134" t="n">
        <v>4600.004</v>
      </c>
      <c r="G488" s="134" t="n">
        <v>23000.02</v>
      </c>
    </row>
    <row r="489">
      <c r="A489" s="128" t="n">
        <v>20</v>
      </c>
      <c r="B489" s="130" t="inlineStr">
        <is>
          <t>Carnes</t>
        </is>
      </c>
      <c r="C489" s="130" t="inlineStr">
        <is>
          <t>Lomo de cerdo</t>
        </is>
      </c>
      <c r="D489" s="130" t="inlineStr">
        <is>
          <t>LOMO DE CERDO</t>
        </is>
      </c>
      <c r="E489" s="131" t="n">
        <v>16.1</v>
      </c>
      <c r="F489" s="133" t="n">
        <v>19500</v>
      </c>
      <c r="G489" s="133" t="n">
        <v>313950</v>
      </c>
    </row>
    <row r="490">
      <c r="A490" s="128" t="n">
        <v>20</v>
      </c>
      <c r="B490" s="130" t="inlineStr">
        <is>
          <t>Bebidas</t>
        </is>
      </c>
      <c r="C490" s="130" t="inlineStr">
        <is>
          <t>Coca cola zero 400ml pet(12)kz</t>
        </is>
      </c>
      <c r="D490" s="130" t="inlineStr">
        <is>
          <t>COCA COLA ZERO 400ML PET(12)KZ</t>
        </is>
      </c>
      <c r="E490" s="132" t="n">
        <v>2</v>
      </c>
      <c r="F490" s="134" t="n">
        <v>19411.5</v>
      </c>
      <c r="G490" s="133" t="n">
        <v>38823</v>
      </c>
    </row>
    <row r="491">
      <c r="A491" s="128" t="n">
        <v>20</v>
      </c>
      <c r="B491" s="130" t="inlineStr">
        <is>
          <t>Carnes</t>
        </is>
      </c>
      <c r="C491" s="130" t="inlineStr">
        <is>
          <t>Sobrebarriga delgada</t>
        </is>
      </c>
      <c r="D491" s="130" t="inlineStr">
        <is>
          <t>SOBREBARRIGA DE RES</t>
        </is>
      </c>
      <c r="E491" s="131" t="n">
        <v>6.1</v>
      </c>
      <c r="F491" s="133" t="n">
        <v>30000</v>
      </c>
      <c r="G491" s="133" t="n">
        <v>183000</v>
      </c>
    </row>
    <row r="492">
      <c r="A492" s="128" t="n">
        <v>20</v>
      </c>
      <c r="B492" s="130" t="inlineStr">
        <is>
          <t>Carnes</t>
        </is>
      </c>
      <c r="C492" s="130" t="inlineStr">
        <is>
          <t>Lomo viche</t>
        </is>
      </c>
      <c r="D492" s="130" t="inlineStr">
        <is>
          <t>LOMO VICHE ESPECIAL</t>
        </is>
      </c>
      <c r="E492" s="131" t="n">
        <v>14.05</v>
      </c>
      <c r="F492" s="133" t="n">
        <v>53000</v>
      </c>
      <c r="G492" s="133" t="n">
        <v>744650</v>
      </c>
    </row>
    <row r="493">
      <c r="A493" s="128" t="n">
        <v>20</v>
      </c>
      <c r="B493" s="130" t="inlineStr">
        <is>
          <t>Carnes</t>
        </is>
      </c>
      <c r="C493" s="130" t="inlineStr">
        <is>
          <t>Morrillo</t>
        </is>
      </c>
      <c r="D493" s="130" t="inlineStr">
        <is>
          <t>MORRILLO</t>
        </is>
      </c>
      <c r="E493" s="131" t="n">
        <v>11.375</v>
      </c>
      <c r="F493" s="133" t="n">
        <v>28000</v>
      </c>
      <c r="G493" s="133" t="n">
        <v>318500</v>
      </c>
    </row>
    <row r="494">
      <c r="A494" s="128" t="n">
        <v>20</v>
      </c>
      <c r="B494" s="130" t="inlineStr">
        <is>
          <t>Desechables</t>
        </is>
      </c>
      <c r="C494" s="130" t="inlineStr">
        <is>
          <t>Aromatizador 250CC</t>
        </is>
      </c>
      <c r="D494" s="130" t="inlineStr">
        <is>
          <t>AROMATIZADOR DULCE EN SPRAY 250 CC</t>
        </is>
      </c>
      <c r="E494" s="132" t="n">
        <v>1</v>
      </c>
      <c r="F494" s="133" t="n">
        <v>29512</v>
      </c>
      <c r="G494" s="133" t="n">
        <v>29512</v>
      </c>
    </row>
    <row r="495">
      <c r="A495" t="n">
        <v>20</v>
      </c>
      <c r="B495" t="inlineStr">
        <is>
          <t>Grano</t>
        </is>
      </c>
      <c r="C495" t="inlineStr">
        <is>
          <t>Alverja</t>
        </is>
      </c>
      <c r="D495" t="inlineStr">
        <is>
          <t>ARVEJA LA FLORESTA*500g</t>
        </is>
      </c>
      <c r="E495" t="n">
        <v>4</v>
      </c>
      <c r="F495" t="n">
        <v>3100</v>
      </c>
      <c r="G495" t="n">
        <v>12400</v>
      </c>
    </row>
    <row r="496">
      <c r="A496" t="n">
        <v>20</v>
      </c>
      <c r="B496" t="inlineStr">
        <is>
          <t>Verduras</t>
        </is>
      </c>
      <c r="C496" t="inlineStr">
        <is>
          <t>Jengibre</t>
        </is>
      </c>
      <c r="D496" t="inlineStr">
        <is>
          <t>JENGIBRE A GRANEL</t>
        </is>
      </c>
      <c r="E496" t="n">
        <v>0.515</v>
      </c>
      <c r="F496" t="n">
        <v>12600</v>
      </c>
      <c r="G496" t="n">
        <v>6489</v>
      </c>
    </row>
    <row r="497">
      <c r="A497" t="n">
        <v>20</v>
      </c>
      <c r="B497" t="inlineStr">
        <is>
          <t>Desechables</t>
        </is>
      </c>
      <c r="C497" t="inlineStr">
        <is>
          <t>Detergente dersax 1000</t>
        </is>
      </c>
      <c r="D497" t="inlineStr">
        <is>
          <t>DETER DERSA*1000g VINAGRE+LIMON</t>
        </is>
      </c>
      <c r="E497" t="n">
        <v>2</v>
      </c>
      <c r="F497" t="n">
        <v>11100</v>
      </c>
      <c r="G497" t="n">
        <v>22200</v>
      </c>
    </row>
    <row r="498">
      <c r="A498" s="128" t="n">
        <v>21</v>
      </c>
      <c r="B498" s="130" t="inlineStr">
        <is>
          <t>Bebidas</t>
        </is>
      </c>
      <c r="C498" s="130" t="inlineStr">
        <is>
          <t>Bloque media</t>
        </is>
      </c>
      <c r="D498" s="130" t="inlineStr">
        <is>
          <t>BLOQUE MEDIA</t>
        </is>
      </c>
      <c r="E498" s="132" t="n">
        <v>2</v>
      </c>
      <c r="F498" s="133" t="n">
        <v>9500</v>
      </c>
      <c r="G498" s="133" t="n">
        <v>19000</v>
      </c>
    </row>
    <row r="499">
      <c r="A499" t="n">
        <v>2</v>
      </c>
      <c r="B499" t="inlineStr">
        <is>
          <t>Bebidas</t>
        </is>
      </c>
      <c r="C499" t="inlineStr">
        <is>
          <t>Bloque media</t>
        </is>
      </c>
      <c r="D499" t="inlineStr">
        <is>
          <t>25 - BLOQUE MEDIA</t>
        </is>
      </c>
      <c r="E499" t="n">
        <v>2</v>
      </c>
      <c r="F499" t="n">
        <v>9500</v>
      </c>
      <c r="G499" t="n">
        <v>19000</v>
      </c>
    </row>
    <row r="500">
      <c r="A500" t="n">
        <v>2</v>
      </c>
      <c r="B500" t="inlineStr">
        <is>
          <t>Bebidas</t>
        </is>
      </c>
      <c r="C500" t="inlineStr">
        <is>
          <t>Bolsa 5kl tubular</t>
        </is>
      </c>
      <c r="D500" t="inlineStr">
        <is>
          <t>7709046020616 - BOLSA X 5 KL TUBULAR</t>
        </is>
      </c>
      <c r="E500" t="n">
        <v>2</v>
      </c>
      <c r="F500" t="n">
        <v>5000</v>
      </c>
      <c r="G500" t="n">
        <v>10000</v>
      </c>
    </row>
    <row r="501">
      <c r="A501" t="n">
        <v>2</v>
      </c>
      <c r="B501" t="inlineStr">
        <is>
          <t>Servicios</t>
        </is>
      </c>
      <c r="C501" t="inlineStr">
        <is>
          <t>Otros servicios de salud</t>
        </is>
      </c>
      <c r="D501" t="inlineStr">
        <is>
          <t>DOLEX NORMAL (10 un)</t>
        </is>
      </c>
      <c r="E501" t="n">
        <v>10</v>
      </c>
      <c r="F501" t="n">
        <v>1200</v>
      </c>
      <c r="G501" t="n">
        <v>12000</v>
      </c>
    </row>
    <row r="502">
      <c r="A502" t="n">
        <v>2</v>
      </c>
      <c r="B502" t="inlineStr">
        <is>
          <t>Carnes</t>
        </is>
      </c>
      <c r="C502" t="inlineStr">
        <is>
          <t>Callo</t>
        </is>
      </c>
      <c r="D502" t="inlineStr">
        <is>
          <t>CALLO (5.060 kg)</t>
        </is>
      </c>
      <c r="E502" t="n">
        <v>5.06</v>
      </c>
      <c r="F502" t="n">
        <v>19000</v>
      </c>
      <c r="G502" t="n">
        <v>96140</v>
      </c>
    </row>
    <row r="503">
      <c r="A503" t="n">
        <v>2</v>
      </c>
      <c r="B503" t="inlineStr">
        <is>
          <t>Grano</t>
        </is>
      </c>
      <c r="C503" t="inlineStr">
        <is>
          <t>Sal marina</t>
        </is>
      </c>
      <c r="D503" t="inlineStr">
        <is>
          <t>SAL NATUSAL*1000g MARINA GRANO MEDIO (x2)</t>
        </is>
      </c>
      <c r="E503" t="n">
        <v>2</v>
      </c>
      <c r="F503" t="n">
        <v>3100</v>
      </c>
      <c r="G503" t="n">
        <v>6200</v>
      </c>
    </row>
    <row r="504">
      <c r="A504" t="n">
        <v>2</v>
      </c>
      <c r="B504" t="inlineStr">
        <is>
          <t>Grano</t>
        </is>
      </c>
      <c r="C504" t="inlineStr">
        <is>
          <t>Aceite de soya</t>
        </is>
      </c>
      <c r="D504" t="inlineStr">
        <is>
          <t>ACEITE DE SOY (x6)</t>
        </is>
      </c>
      <c r="E504" t="n">
        <v>6</v>
      </c>
      <c r="F504" t="n">
        <v>22990</v>
      </c>
      <c r="G504" t="n">
        <v>137940</v>
      </c>
    </row>
    <row r="505">
      <c r="A505" t="n">
        <v>2</v>
      </c>
      <c r="B505" t="inlineStr">
        <is>
          <t>Bebidas</t>
        </is>
      </c>
      <c r="C505" t="inlineStr">
        <is>
          <t>Bolsa 5kl tubular</t>
        </is>
      </c>
      <c r="D505" t="inlineStr">
        <is>
          <t>2 Hielo (Licores Zafiro)</t>
        </is>
      </c>
      <c r="E505" t="n">
        <v>2</v>
      </c>
      <c r="F505" t="n">
        <v>5000</v>
      </c>
      <c r="G505" t="n">
        <v>10000</v>
      </c>
    </row>
    <row r="506">
      <c r="A506" t="n">
        <v>2</v>
      </c>
      <c r="B506" t="inlineStr">
        <is>
          <t>Desechables</t>
        </is>
      </c>
      <c r="C506" t="inlineStr">
        <is>
          <t>Mazamorra</t>
        </is>
      </c>
      <c r="D506" t="inlineStr">
        <is>
          <t>Mazamorra (Franco Bravo)</t>
        </is>
      </c>
      <c r="E506" t="n">
        <v>1</v>
      </c>
      <c r="F506" t="n">
        <v>20000</v>
      </c>
      <c r="G506" t="n">
        <v>20000</v>
      </c>
    </row>
    <row r="507">
      <c r="A507" t="n">
        <v>2</v>
      </c>
      <c r="B507" t="inlineStr">
        <is>
          <t>Servicios</t>
        </is>
      </c>
      <c r="C507" t="inlineStr">
        <is>
          <t>Pago turnos</t>
        </is>
      </c>
      <c r="D507" t="inlineStr">
        <is>
          <t>Turno Oscar P (Recibo Caja Menor)</t>
        </is>
      </c>
      <c r="E507" t="n">
        <v>1</v>
      </c>
      <c r="F507" t="n">
        <v>66000</v>
      </c>
      <c r="G507" t="n">
        <v>66000</v>
      </c>
    </row>
    <row r="508">
      <c r="A508" t="n">
        <v>2</v>
      </c>
      <c r="B508" t="inlineStr">
        <is>
          <t>Verduras</t>
        </is>
      </c>
      <c r="C508" t="inlineStr">
        <is>
          <t>Aguacate</t>
        </is>
      </c>
      <c r="D508" t="inlineStr">
        <is>
          <t>25 - Aguacates</t>
        </is>
      </c>
      <c r="E508" t="n">
        <v>25</v>
      </c>
      <c r="F508" t="n">
        <v>7000</v>
      </c>
      <c r="G508" t="n">
        <v>175000</v>
      </c>
    </row>
    <row r="509">
      <c r="A509" t="n">
        <v>2</v>
      </c>
      <c r="B509" t="inlineStr">
        <is>
          <t>Grano</t>
        </is>
      </c>
      <c r="C509" t="inlineStr">
        <is>
          <t>Comino molido</t>
        </is>
      </c>
      <c r="D509" t="inlineStr">
        <is>
          <t>1 - lba Comino M.</t>
        </is>
      </c>
      <c r="E509" t="n">
        <v>1</v>
      </c>
      <c r="F509" t="n">
        <v>25000</v>
      </c>
      <c r="G509" t="n">
        <v>25000</v>
      </c>
    </row>
    <row r="510">
      <c r="A510" t="n">
        <v>1</v>
      </c>
      <c r="B510" t="inlineStr">
        <is>
          <t>Carnes</t>
        </is>
      </c>
      <c r="C510" t="inlineStr">
        <is>
          <t>Morcilla</t>
        </is>
      </c>
      <c r="D510" t="inlineStr">
        <is>
          <t>10 lb libra de Morcilla (La Morcilla Jamundeña)</t>
        </is>
      </c>
      <c r="E510" t="n">
        <v>10</v>
      </c>
      <c r="F510" t="n">
        <v>10000</v>
      </c>
      <c r="G510" t="n">
        <v>100000</v>
      </c>
    </row>
    <row r="511">
      <c r="A511" t="n">
        <v>1</v>
      </c>
      <c r="B511" t="inlineStr">
        <is>
          <t>Bebidas</t>
        </is>
      </c>
      <c r="C511" t="inlineStr">
        <is>
          <t>Lulo 100 gr</t>
        </is>
      </c>
      <c r="D511" t="inlineStr">
        <is>
          <t>O Lulo 100 gr (x2)</t>
        </is>
      </c>
      <c r="E511" t="n">
        <v>2</v>
      </c>
      <c r="F511" t="n">
        <v>12600</v>
      </c>
      <c r="G511" t="n">
        <v>25200</v>
      </c>
    </row>
    <row r="512">
      <c r="A512" t="n">
        <v>1</v>
      </c>
      <c r="B512" t="inlineStr">
        <is>
          <t>Bebidas</t>
        </is>
      </c>
      <c r="C512" t="inlineStr">
        <is>
          <t>Maracuya 100gr</t>
        </is>
      </c>
      <c r="D512" t="inlineStr">
        <is>
          <t>S Maracuya 100 gr (x4)</t>
        </is>
      </c>
      <c r="E512" t="n">
        <v>4</v>
      </c>
      <c r="F512" t="n">
        <v>17950</v>
      </c>
      <c r="G512" t="n">
        <v>71800</v>
      </c>
    </row>
    <row r="513">
      <c r="A513" t="n">
        <v>1</v>
      </c>
      <c r="B513" t="inlineStr">
        <is>
          <t>Bebidas</t>
        </is>
      </c>
      <c r="C513" t="inlineStr">
        <is>
          <t>Cerezada</t>
        </is>
      </c>
      <c r="D513" t="inlineStr">
        <is>
          <t>Z.E Limonada Cerezada 143 gr (x2)</t>
        </is>
      </c>
      <c r="E513" t="n">
        <v>2</v>
      </c>
      <c r="F513" t="n">
        <v>16800</v>
      </c>
      <c r="G513" t="n">
        <v>33600</v>
      </c>
    </row>
    <row r="514">
      <c r="A514" t="n">
        <v>1</v>
      </c>
      <c r="B514" t="inlineStr">
        <is>
          <t>Bebidas</t>
        </is>
      </c>
      <c r="C514" t="inlineStr">
        <is>
          <t>Mora 100gr</t>
        </is>
      </c>
      <c r="D514" t="inlineStr">
        <is>
          <t>P Mora 100 gr (x1)</t>
        </is>
      </c>
      <c r="E514" t="n">
        <v>1</v>
      </c>
      <c r="F514" t="n">
        <v>12700</v>
      </c>
      <c r="G514" t="n">
        <v>12700</v>
      </c>
    </row>
    <row r="515">
      <c r="A515" t="n">
        <v>1</v>
      </c>
      <c r="B515" t="inlineStr">
        <is>
          <t>Servicios</t>
        </is>
      </c>
      <c r="C515" t="inlineStr">
        <is>
          <t>Pago turnos</t>
        </is>
      </c>
      <c r="D515" t="inlineStr">
        <is>
          <t>Turno kelly cocina (Recibo Caja Menor)</t>
        </is>
      </c>
      <c r="E515" t="n">
        <v>1</v>
      </c>
      <c r="F515" t="n">
        <v>66000</v>
      </c>
      <c r="G515" t="n">
        <v>66000</v>
      </c>
    </row>
    <row r="516">
      <c r="A516" t="n">
        <v>1</v>
      </c>
      <c r="B516" t="inlineStr">
        <is>
          <t>Desechables</t>
        </is>
      </c>
      <c r="C516" t="inlineStr">
        <is>
          <t>Lampara led antipolvo</t>
        </is>
      </c>
      <c r="D516" t="inlineStr">
        <is>
          <t>TUBO LED 18W LUZ BLANCA T5 120CM LUTTER (x2)</t>
        </is>
      </c>
      <c r="E516" t="n">
        <v>2</v>
      </c>
      <c r="F516" t="n">
        <v>8500</v>
      </c>
      <c r="G516" t="n">
        <v>17000</v>
      </c>
    </row>
    <row r="517">
      <c r="A517" t="n">
        <v>1</v>
      </c>
      <c r="B517" t="inlineStr">
        <is>
          <t>Bebidas</t>
        </is>
      </c>
      <c r="C517" t="inlineStr">
        <is>
          <t>Bloque media</t>
        </is>
      </c>
      <c r="D517" t="inlineStr">
        <is>
          <t>25 - BLOQUE MEDIA</t>
        </is>
      </c>
      <c r="E517" t="n">
        <v>2</v>
      </c>
      <c r="F517" t="n">
        <v>9500</v>
      </c>
      <c r="G517" t="n">
        <v>19000</v>
      </c>
    </row>
    <row r="518">
      <c r="A518" t="n">
        <v>1</v>
      </c>
      <c r="B518" t="inlineStr">
        <is>
          <t>Bebidas</t>
        </is>
      </c>
      <c r="C518" t="inlineStr">
        <is>
          <t>Bolsa 5kl tubular</t>
        </is>
      </c>
      <c r="D518" t="inlineStr">
        <is>
          <t>7709046020616 - BOLSA X 5 KL TUBULAR</t>
        </is>
      </c>
      <c r="E518" t="n">
        <v>3</v>
      </c>
      <c r="F518" t="n">
        <v>5000</v>
      </c>
      <c r="G518" t="n">
        <v>15000</v>
      </c>
    </row>
    <row r="519">
      <c r="A519" t="n">
        <v>1</v>
      </c>
      <c r="B519" t="inlineStr">
        <is>
          <t>Verduras</t>
        </is>
      </c>
      <c r="C519" t="inlineStr">
        <is>
          <t>Ajo pelado</t>
        </is>
      </c>
      <c r="D519" t="inlineStr">
        <is>
          <t>009558 AJO A GRANEL (0.545 kg)</t>
        </is>
      </c>
      <c r="E519" t="n">
        <v>0.545</v>
      </c>
      <c r="F519" t="n">
        <v>7500.9174</v>
      </c>
      <c r="G519" t="n">
        <v>4088</v>
      </c>
    </row>
    <row r="520">
      <c r="A520" t="n">
        <v>1</v>
      </c>
      <c r="B520" t="inlineStr">
        <is>
          <t>Desechables</t>
        </is>
      </c>
      <c r="C520" t="inlineStr">
        <is>
          <t>Mazamorra</t>
        </is>
      </c>
      <c r="D520" t="inlineStr">
        <is>
          <t>Mazamorra (Franco Bravo)</t>
        </is>
      </c>
      <c r="E520" t="n">
        <v>1</v>
      </c>
      <c r="F520" t="n">
        <v>20000</v>
      </c>
      <c r="G520" t="n">
        <v>20000</v>
      </c>
    </row>
    <row r="521">
      <c r="A521" t="n">
        <v>1</v>
      </c>
      <c r="B521" t="inlineStr">
        <is>
          <t>Grano</t>
        </is>
      </c>
      <c r="C521" t="inlineStr">
        <is>
          <t>Arepas</t>
        </is>
      </c>
      <c r="D521" t="inlineStr">
        <is>
          <t>750 arepas (Factura 0794 Lucía)</t>
        </is>
      </c>
      <c r="E521" t="n">
        <v>750</v>
      </c>
      <c r="F521" t="n">
        <v>150</v>
      </c>
      <c r="G521" t="n">
        <v>112500</v>
      </c>
    </row>
    <row r="522">
      <c r="A522" t="n">
        <v>1</v>
      </c>
      <c r="B522" t="inlineStr">
        <is>
          <t>Grano</t>
        </is>
      </c>
      <c r="C522" t="inlineStr">
        <is>
          <t>Arepas</t>
        </is>
      </c>
      <c r="D522" t="inlineStr">
        <is>
          <t>150 arepas</t>
        </is>
      </c>
      <c r="E522" t="n">
        <v>150</v>
      </c>
      <c r="F522" t="n">
        <v>150</v>
      </c>
      <c r="G522" t="n">
        <v>22500</v>
      </c>
    </row>
    <row r="523">
      <c r="A523" t="n">
        <v>1</v>
      </c>
      <c r="B523" t="inlineStr">
        <is>
          <t>Grano</t>
        </is>
      </c>
      <c r="C523" t="inlineStr">
        <is>
          <t>Arepas</t>
        </is>
      </c>
      <c r="D523" t="inlineStr">
        <is>
          <t>100 arepas</t>
        </is>
      </c>
      <c r="E523" t="n">
        <v>100</v>
      </c>
      <c r="F523" t="n">
        <v>150</v>
      </c>
      <c r="G523" t="n">
        <v>15000</v>
      </c>
    </row>
    <row r="524">
      <c r="A524" t="n">
        <v>1</v>
      </c>
      <c r="B524" t="inlineStr">
        <is>
          <t>Grano</t>
        </is>
      </c>
      <c r="C524" t="inlineStr">
        <is>
          <t>Arepas</t>
        </is>
      </c>
      <c r="D524" t="inlineStr">
        <is>
          <t>100 arepas</t>
        </is>
      </c>
      <c r="E524" t="n">
        <v>100</v>
      </c>
      <c r="F524" t="n">
        <v>150</v>
      </c>
      <c r="G524" t="n">
        <v>15000</v>
      </c>
    </row>
    <row r="525">
      <c r="A525" t="n">
        <v>1</v>
      </c>
      <c r="B525" t="inlineStr">
        <is>
          <t>Grano</t>
        </is>
      </c>
      <c r="C525" t="inlineStr">
        <is>
          <t>Arepas</t>
        </is>
      </c>
      <c r="D525" t="inlineStr">
        <is>
          <t>400 arepas (01/08/26)</t>
        </is>
      </c>
      <c r="E525" t="n">
        <v>400</v>
      </c>
      <c r="F525" t="n">
        <v>150</v>
      </c>
      <c r="G525" t="n">
        <v>60000</v>
      </c>
    </row>
    <row r="526">
      <c r="A526" t="n">
        <v>7</v>
      </c>
      <c r="B526" t="inlineStr">
        <is>
          <t>Verduras</t>
        </is>
      </c>
      <c r="C526" t="inlineStr">
        <is>
          <t>Yuca pelada</t>
        </is>
      </c>
      <c r="D526" t="inlineStr">
        <is>
          <t>10 kl YUCA PELADA (Pasqualito)</t>
        </is>
      </c>
      <c r="E526" t="n">
        <v>10</v>
      </c>
      <c r="F526" t="n">
        <v>4500</v>
      </c>
      <c r="G526" t="n">
        <v>45000</v>
      </c>
    </row>
    <row r="527">
      <c r="A527" t="n">
        <v>5</v>
      </c>
      <c r="B527" t="inlineStr">
        <is>
          <t>Servicios</t>
        </is>
      </c>
      <c r="C527" t="inlineStr">
        <is>
          <t>Prestamo Enith Mosquera</t>
        </is>
      </c>
      <c r="D527" t="inlineStr">
        <is>
          <t>Prestamo Enith Mosquera (Recibo Caja Menor)</t>
        </is>
      </c>
      <c r="E527" t="n">
        <v>1</v>
      </c>
      <c r="F527" t="n">
        <v>300000</v>
      </c>
      <c r="G527" t="n">
        <v>300000</v>
      </c>
    </row>
    <row r="528">
      <c r="A528" t="n">
        <v>1</v>
      </c>
      <c r="B528" t="inlineStr">
        <is>
          <t>Servicios</t>
        </is>
      </c>
      <c r="C528" t="inlineStr">
        <is>
          <t>Pago turnos</t>
        </is>
      </c>
      <c r="D528" t="inlineStr">
        <is>
          <t>Incentivo cumplimiento mes de Julio (Jhonatan Ocampo)</t>
        </is>
      </c>
      <c r="E528" t="n">
        <v>1</v>
      </c>
      <c r="F528" t="n">
        <v>100000</v>
      </c>
      <c r="G528" t="n">
        <v>100000</v>
      </c>
    </row>
    <row r="529">
      <c r="A529" t="n">
        <v>6</v>
      </c>
      <c r="B529" t="inlineStr">
        <is>
          <t>Carnes</t>
        </is>
      </c>
      <c r="C529" t="inlineStr">
        <is>
          <t>Alas de pollo</t>
        </is>
      </c>
      <c r="D529" t="inlineStr">
        <is>
          <t>ALAS MACPOLLO CAMPO C/COS MARIN A GRAN (3.984kg)</t>
        </is>
      </c>
      <c r="E529" t="n">
        <v>3.984</v>
      </c>
      <c r="F529" t="n">
        <v>15750</v>
      </c>
      <c r="G529" t="n">
        <v>62748</v>
      </c>
    </row>
    <row r="530">
      <c r="A530" t="n">
        <v>6</v>
      </c>
      <c r="B530" t="inlineStr">
        <is>
          <t>Grano</t>
        </is>
      </c>
      <c r="C530" t="inlineStr">
        <is>
          <t>Pasta la muñeca</t>
        </is>
      </c>
      <c r="D530" t="inlineStr">
        <is>
          <t>PASTA LA MUNECA*500g CONCHA (x3)</t>
        </is>
      </c>
      <c r="E530" t="n">
        <v>3</v>
      </c>
      <c r="F530" t="n">
        <v>3900</v>
      </c>
      <c r="G530" t="n">
        <v>11700</v>
      </c>
    </row>
    <row r="531">
      <c r="A531" t="n">
        <v>6</v>
      </c>
      <c r="B531" t="inlineStr">
        <is>
          <t>Verduras</t>
        </is>
      </c>
      <c r="C531" t="inlineStr">
        <is>
          <t>Aguacate</t>
        </is>
      </c>
      <c r="D531" t="inlineStr">
        <is>
          <t>AGUACATE COMUN*und (20 un)</t>
        </is>
      </c>
      <c r="E531" t="n">
        <v>20</v>
      </c>
      <c r="F531" t="n">
        <v>6800</v>
      </c>
      <c r="G531" t="n">
        <v>136000</v>
      </c>
    </row>
    <row r="532">
      <c r="A532" t="n">
        <v>5</v>
      </c>
      <c r="B532" t="inlineStr">
        <is>
          <t>Verduras</t>
        </is>
      </c>
      <c r="C532" t="inlineStr">
        <is>
          <t>Color isabel</t>
        </is>
      </c>
      <c r="D532" t="inlineStr">
        <is>
          <t>2 bts. color</t>
        </is>
      </c>
      <c r="E532" t="n">
        <v>2</v>
      </c>
      <c r="F532" t="n">
        <v>340000</v>
      </c>
      <c r="G532" t="n">
        <v>680000</v>
      </c>
    </row>
    <row r="533">
      <c r="A533" t="n">
        <v>6</v>
      </c>
      <c r="B533" t="inlineStr">
        <is>
          <t>Grano</t>
        </is>
      </c>
      <c r="C533" t="inlineStr">
        <is>
          <t>Milo</t>
        </is>
      </c>
      <c r="D533" t="inlineStr">
        <is>
          <t>1 milo * 440</t>
        </is>
      </c>
      <c r="E533" t="n">
        <v>1</v>
      </c>
      <c r="F533" t="n">
        <v>22000</v>
      </c>
      <c r="G533" t="n">
        <v>22000</v>
      </c>
    </row>
    <row r="534">
      <c r="A534" t="n">
        <v>6</v>
      </c>
      <c r="B534" t="inlineStr">
        <is>
          <t>Grano</t>
        </is>
      </c>
      <c r="C534" t="inlineStr">
        <is>
          <t>Chocolate</t>
        </is>
      </c>
      <c r="D534" t="inlineStr">
        <is>
          <t>1 LB chocolate</t>
        </is>
      </c>
      <c r="E534" t="n">
        <v>1</v>
      </c>
      <c r="F534" t="n">
        <v>37000</v>
      </c>
      <c r="G534" t="n">
        <v>37000</v>
      </c>
    </row>
    <row r="535">
      <c r="A535" t="n">
        <v>6</v>
      </c>
      <c r="B535" t="inlineStr">
        <is>
          <t>Grano</t>
        </is>
      </c>
      <c r="C535" t="inlineStr">
        <is>
          <t>Alverja</t>
        </is>
      </c>
      <c r="D535" t="inlineStr">
        <is>
          <t>3 LB- Arveja</t>
        </is>
      </c>
      <c r="E535" t="n">
        <v>3</v>
      </c>
      <c r="F535" t="n">
        <v>2200</v>
      </c>
      <c r="G535" t="n">
        <v>6600</v>
      </c>
    </row>
    <row r="536">
      <c r="A536" t="n">
        <v>6</v>
      </c>
      <c r="B536" t="inlineStr">
        <is>
          <t>Grano</t>
        </is>
      </c>
      <c r="C536" t="inlineStr">
        <is>
          <t>Garbanzo</t>
        </is>
      </c>
      <c r="D536" t="inlineStr">
        <is>
          <t>3 LB garbanzo</t>
        </is>
      </c>
      <c r="E536" t="n">
        <v>3</v>
      </c>
      <c r="F536" t="n">
        <v>3700</v>
      </c>
      <c r="G536" t="n">
        <v>11100</v>
      </c>
    </row>
    <row r="537">
      <c r="A537" t="n">
        <v>7</v>
      </c>
      <c r="B537" t="inlineStr">
        <is>
          <t>Servicios</t>
        </is>
      </c>
      <c r="C537" t="inlineStr">
        <is>
          <t>Taxi restaurante casa</t>
        </is>
      </c>
      <c r="D537" t="inlineStr">
        <is>
          <t>Taxi Johanna caja (Recibo Caja Menor)</t>
        </is>
      </c>
      <c r="E537" t="n">
        <v>1</v>
      </c>
      <c r="F537" t="n">
        <v>10000</v>
      </c>
      <c r="G537" t="n">
        <v>10000</v>
      </c>
    </row>
    <row r="538">
      <c r="A538" t="n">
        <v>6</v>
      </c>
      <c r="B538" t="inlineStr">
        <is>
          <t>Verduras</t>
        </is>
      </c>
      <c r="C538" t="inlineStr">
        <is>
          <t>Mezcla liquida de limon</t>
        </is>
      </c>
      <c r="D538" t="inlineStr">
        <is>
          <t>12 Mezcla Liquida de Limon x 2.000ml JF</t>
        </is>
      </c>
      <c r="E538" t="n">
        <v>12</v>
      </c>
      <c r="F538" t="n">
        <v>12000</v>
      </c>
      <c r="G538" t="n">
        <v>144000</v>
      </c>
    </row>
    <row r="539">
      <c r="A539" t="n">
        <v>6</v>
      </c>
      <c r="B539" t="inlineStr">
        <is>
          <t>Bebidas</t>
        </is>
      </c>
      <c r="C539" t="inlineStr">
        <is>
          <t>Mango 100gr</t>
        </is>
      </c>
      <c r="D539" t="inlineStr">
        <is>
          <t>A Mango 125 gr (x5)</t>
        </is>
      </c>
      <c r="E539" t="n">
        <v>5</v>
      </c>
      <c r="F539" t="n">
        <v>12900</v>
      </c>
      <c r="G539" t="n">
        <v>64500</v>
      </c>
    </row>
    <row r="540">
      <c r="A540" t="n">
        <v>6</v>
      </c>
      <c r="B540" t="inlineStr">
        <is>
          <t>Bebidas</t>
        </is>
      </c>
      <c r="C540" t="inlineStr">
        <is>
          <t>Maracuya 100gr</t>
        </is>
      </c>
      <c r="D540" t="inlineStr">
        <is>
          <t>G Maracuya 125 gr (x5)</t>
        </is>
      </c>
      <c r="E540" t="n">
        <v>5</v>
      </c>
      <c r="F540" t="n">
        <v>17950</v>
      </c>
      <c r="G540" t="n">
        <v>89750</v>
      </c>
    </row>
    <row r="541">
      <c r="A541" t="n">
        <v>6</v>
      </c>
      <c r="B541" t="inlineStr">
        <is>
          <t>Bebidas</t>
        </is>
      </c>
      <c r="C541" t="inlineStr">
        <is>
          <t>Lulo 100 gr</t>
        </is>
      </c>
      <c r="D541" t="inlineStr">
        <is>
          <t>B Lulo 125 gr (x4)</t>
        </is>
      </c>
      <c r="E541" t="n">
        <v>4</v>
      </c>
      <c r="F541" t="n">
        <v>12600</v>
      </c>
      <c r="G541" t="n">
        <v>50400</v>
      </c>
    </row>
    <row r="542">
      <c r="A542" t="n">
        <v>6</v>
      </c>
      <c r="B542" t="inlineStr">
        <is>
          <t>Bebidas</t>
        </is>
      </c>
      <c r="C542" t="inlineStr">
        <is>
          <t>Mora 100gr</t>
        </is>
      </c>
      <c r="D542" t="inlineStr">
        <is>
          <t>C Mora 125 gr (x2)</t>
        </is>
      </c>
      <c r="E542" t="n">
        <v>2</v>
      </c>
      <c r="F542" t="n">
        <v>12700</v>
      </c>
      <c r="G542" t="n">
        <v>25400</v>
      </c>
    </row>
    <row r="543">
      <c r="A543" t="n">
        <v>6</v>
      </c>
      <c r="B543" t="inlineStr">
        <is>
          <t>Bebidas</t>
        </is>
      </c>
      <c r="C543" t="inlineStr">
        <is>
          <t>Cerezada</t>
        </is>
      </c>
      <c r="D543" t="inlineStr">
        <is>
          <t>ZE Limonada Cerezada 143 gr (x1)</t>
        </is>
      </c>
      <c r="E543" t="n">
        <v>1</v>
      </c>
      <c r="F543" t="n">
        <v>16800</v>
      </c>
      <c r="G543" t="n">
        <v>16800</v>
      </c>
    </row>
    <row r="544">
      <c r="A544" t="n">
        <v>18</v>
      </c>
      <c r="B544" t="inlineStr">
        <is>
          <t>Verduras</t>
        </is>
      </c>
      <c r="C544" t="inlineStr">
        <is>
          <t>Habichuela</t>
        </is>
      </c>
      <c r="D544" t="inlineStr">
        <is>
          <t>HABICHUELA A GRANEL (1.530kg + 1.590kg)</t>
        </is>
      </c>
      <c r="E544" t="n">
        <v>3.12</v>
      </c>
      <c r="F544" t="n">
        <v>8500</v>
      </c>
      <c r="G544" t="n">
        <v>26520</v>
      </c>
    </row>
    <row r="545">
      <c r="A545" t="n">
        <v>18</v>
      </c>
      <c r="B545" t="inlineStr">
        <is>
          <t>Carnes</t>
        </is>
      </c>
      <c r="C545" t="inlineStr">
        <is>
          <t>Pezua</t>
        </is>
      </c>
      <c r="D545" t="inlineStr">
        <is>
          <t>PEZUNA CERDO A GRANEL (4.064kg + 2.782kg)</t>
        </is>
      </c>
      <c r="E545" t="n">
        <v>6.846</v>
      </c>
      <c r="F545" t="n">
        <v>9700</v>
      </c>
      <c r="G545" t="n">
        <v>66406</v>
      </c>
    </row>
    <row r="546">
      <c r="A546" t="n">
        <v>15</v>
      </c>
      <c r="B546" t="inlineStr">
        <is>
          <t>Bebidas</t>
        </is>
      </c>
      <c r="C546" t="inlineStr">
        <is>
          <t>Bloque media</t>
        </is>
      </c>
      <c r="D546" t="inlineStr">
        <is>
          <t>25 - BLOQUE MEDIA</t>
        </is>
      </c>
      <c r="E546" t="n">
        <v>2</v>
      </c>
      <c r="F546" t="n">
        <v>9500</v>
      </c>
      <c r="G546" t="n">
        <v>19000</v>
      </c>
    </row>
    <row r="547">
      <c r="A547" t="n">
        <v>15</v>
      </c>
      <c r="B547" t="inlineStr">
        <is>
          <t>Bebidas</t>
        </is>
      </c>
      <c r="C547" t="inlineStr">
        <is>
          <t>Bolsa 5kl tubular</t>
        </is>
      </c>
      <c r="D547" t="inlineStr">
        <is>
          <t>7709046020616 - BOLSA X 5 KL TUBULAR</t>
        </is>
      </c>
      <c r="E547" t="n">
        <v>2</v>
      </c>
      <c r="F547" t="n">
        <v>5000</v>
      </c>
      <c r="G547" t="n">
        <v>10000</v>
      </c>
    </row>
    <row r="548">
      <c r="A548" t="n">
        <v>14</v>
      </c>
      <c r="B548" t="inlineStr">
        <is>
          <t>Grano</t>
        </is>
      </c>
      <c r="C548" t="inlineStr">
        <is>
          <t>Arepas</t>
        </is>
      </c>
      <c r="D548" t="inlineStr">
        <is>
          <t>150 arepas</t>
        </is>
      </c>
      <c r="E548" t="n">
        <v>150</v>
      </c>
      <c r="F548" t="n">
        <v>150</v>
      </c>
      <c r="G548" t="n">
        <v>22500</v>
      </c>
    </row>
    <row r="549">
      <c r="A549" t="n">
        <v>17</v>
      </c>
      <c r="B549" t="inlineStr">
        <is>
          <t>Grano</t>
        </is>
      </c>
      <c r="C549" t="inlineStr">
        <is>
          <t>Arepas</t>
        </is>
      </c>
      <c r="D549" t="inlineStr">
        <is>
          <t>200 arepas</t>
        </is>
      </c>
      <c r="E549" t="n">
        <v>200</v>
      </c>
      <c r="F549" t="n">
        <v>150</v>
      </c>
      <c r="G549" t="n">
        <v>30000</v>
      </c>
    </row>
    <row r="550">
      <c r="A550" t="n">
        <v>17</v>
      </c>
      <c r="B550" t="inlineStr">
        <is>
          <t>Grano</t>
        </is>
      </c>
      <c r="C550" t="inlineStr">
        <is>
          <t>Arepas</t>
        </is>
      </c>
      <c r="D550" t="inlineStr">
        <is>
          <t>100 arepas</t>
        </is>
      </c>
      <c r="E550" t="n">
        <v>100</v>
      </c>
      <c r="F550" t="n">
        <v>150</v>
      </c>
      <c r="G550" t="n">
        <v>15000</v>
      </c>
    </row>
    <row r="551">
      <c r="A551" t="n">
        <v>13</v>
      </c>
      <c r="B551" t="inlineStr">
        <is>
          <t>Grano</t>
        </is>
      </c>
      <c r="C551" t="inlineStr">
        <is>
          <t>Arepas</t>
        </is>
      </c>
      <c r="D551" t="inlineStr">
        <is>
          <t>200 arepas</t>
        </is>
      </c>
      <c r="E551" t="n">
        <v>200</v>
      </c>
      <c r="F551" t="n">
        <v>150</v>
      </c>
      <c r="G551" t="n">
        <v>30000</v>
      </c>
    </row>
    <row r="552">
      <c r="A552" t="n">
        <v>15</v>
      </c>
      <c r="B552" t="inlineStr">
        <is>
          <t>Grano</t>
        </is>
      </c>
      <c r="C552" t="inlineStr">
        <is>
          <t>Arepas</t>
        </is>
      </c>
      <c r="D552" t="inlineStr">
        <is>
          <t>1350 arepas (Factura 0799 Lucía)</t>
        </is>
      </c>
      <c r="E552" t="n">
        <v>1350</v>
      </c>
      <c r="F552" t="n">
        <v>150</v>
      </c>
      <c r="G552" t="n">
        <v>202500</v>
      </c>
    </row>
    <row r="553">
      <c r="A553" t="n">
        <v>15</v>
      </c>
      <c r="B553" t="inlineStr">
        <is>
          <t>Verduras</t>
        </is>
      </c>
      <c r="C553" t="inlineStr">
        <is>
          <t>Aguacate</t>
        </is>
      </c>
      <c r="D553" t="inlineStr">
        <is>
          <t>AGUACATE COMUN*und (6 un)</t>
        </is>
      </c>
      <c r="E553" t="n">
        <v>6</v>
      </c>
      <c r="F553" t="n">
        <v>6800</v>
      </c>
      <c r="G553" t="n">
        <v>40800</v>
      </c>
    </row>
    <row r="554">
      <c r="A554" t="n">
        <v>15</v>
      </c>
      <c r="B554" t="inlineStr">
        <is>
          <t>Desechables</t>
        </is>
      </c>
      <c r="C554" t="inlineStr">
        <is>
          <t>Bolsa canaveral 100% material recicl f</t>
        </is>
      </c>
      <c r="D554" t="inlineStr">
        <is>
          <t>BOLSA CANAVERAL 100% MATERIAL RECICL P</t>
        </is>
      </c>
      <c r="E554" t="n">
        <v>1</v>
      </c>
      <c r="F554" t="n">
        <v>300</v>
      </c>
      <c r="G554" t="n">
        <v>300</v>
      </c>
    </row>
    <row r="555">
      <c r="A555" t="n">
        <v>15</v>
      </c>
      <c r="B555" t="inlineStr">
        <is>
          <t>Verduras</t>
        </is>
      </c>
      <c r="C555" t="inlineStr">
        <is>
          <t>Yuca pelada</t>
        </is>
      </c>
      <c r="D555" t="inlineStr">
        <is>
          <t>10 kl yuca pelada (Pasqualito)</t>
        </is>
      </c>
      <c r="E555" t="n">
        <v>10</v>
      </c>
      <c r="F555" t="n">
        <v>4500</v>
      </c>
      <c r="G555" t="n">
        <v>45000</v>
      </c>
    </row>
    <row r="556">
      <c r="A556" t="n">
        <v>14</v>
      </c>
      <c r="B556" t="inlineStr">
        <is>
          <t>Verduras</t>
        </is>
      </c>
      <c r="C556" t="inlineStr">
        <is>
          <t>Platano verde</t>
        </is>
      </c>
      <c r="D556" t="inlineStr">
        <is>
          <t>PLATANO VERDE 28 KILOS (Monica Molina)</t>
        </is>
      </c>
      <c r="E556" t="n">
        <v>28</v>
      </c>
      <c r="F556" t="n">
        <v>2200</v>
      </c>
      <c r="G556" t="n">
        <v>61600</v>
      </c>
    </row>
    <row r="557">
      <c r="A557" t="n">
        <v>16</v>
      </c>
      <c r="B557" t="inlineStr">
        <is>
          <t>Bebidas</t>
        </is>
      </c>
      <c r="C557" t="inlineStr">
        <is>
          <t>Hielo</t>
        </is>
      </c>
      <c r="D557" t="inlineStr">
        <is>
          <t>HIELO IGLU B (3 un)</t>
        </is>
      </c>
      <c r="E557" t="n">
        <v>3</v>
      </c>
      <c r="F557" t="n">
        <v>6150</v>
      </c>
      <c r="G557" t="n">
        <v>18450</v>
      </c>
    </row>
    <row r="558">
      <c r="A558" t="n">
        <v>16</v>
      </c>
      <c r="B558" t="inlineStr">
        <is>
          <t>Verduras</t>
        </is>
      </c>
      <c r="C558" t="inlineStr">
        <is>
          <t>Aguacate</t>
        </is>
      </c>
      <c r="D558" t="inlineStr">
        <is>
          <t>AGUACATE COMUN*und (5 un)</t>
        </is>
      </c>
      <c r="E558" t="n">
        <v>5</v>
      </c>
      <c r="F558" t="n">
        <v>6800</v>
      </c>
      <c r="G558" t="n">
        <v>34000</v>
      </c>
    </row>
    <row r="559">
      <c r="A559" t="n">
        <v>16</v>
      </c>
      <c r="B559" t="inlineStr">
        <is>
          <t>Desechables</t>
        </is>
      </c>
      <c r="C559" t="inlineStr">
        <is>
          <t>Bolsa canaveral 100% material recicl f</t>
        </is>
      </c>
      <c r="D559" t="inlineStr">
        <is>
          <t>BOLSA CANAVERAL 100% MATERIAL RECICL P</t>
        </is>
      </c>
      <c r="E559" t="n">
        <v>1</v>
      </c>
      <c r="F559" t="n">
        <v>300</v>
      </c>
      <c r="G559" t="n">
        <v>300</v>
      </c>
    </row>
    <row r="560">
      <c r="A560" t="n">
        <v>29</v>
      </c>
      <c r="B560" t="inlineStr">
        <is>
          <t>Grano</t>
        </is>
      </c>
      <c r="C560" t="inlineStr">
        <is>
          <t>Arroz</t>
        </is>
      </c>
      <c r="D560" t="inlineStr">
        <is>
          <t>ARROZ PROARROZ (Angela Arroyave - FPP 6698)</t>
        </is>
      </c>
      <c r="E560" t="n">
        <v>1</v>
      </c>
      <c r="F560" t="n">
        <v>547500</v>
      </c>
      <c r="G560" t="n">
        <v>547500</v>
      </c>
    </row>
    <row r="561">
      <c r="A561" t="n">
        <v>29</v>
      </c>
      <c r="B561" t="inlineStr">
        <is>
          <t>Servicios</t>
        </is>
      </c>
      <c r="C561" t="inlineStr">
        <is>
          <t>TV Challenger 40</t>
        </is>
      </c>
      <c r="D561" t="inlineStr">
        <is>
          <t>TV CHALLENGER 40 40K G90 FHD (Colombiana de Comercio)</t>
        </is>
      </c>
      <c r="E561" t="n">
        <v>1</v>
      </c>
      <c r="F561" t="n">
        <v>839900</v>
      </c>
      <c r="G561" t="n">
        <v>839900</v>
      </c>
    </row>
    <row r="562">
      <c r="A562" t="n">
        <v>29</v>
      </c>
      <c r="B562" t="inlineStr">
        <is>
          <t>Carnes</t>
        </is>
      </c>
      <c r="C562" t="inlineStr">
        <is>
          <t>Trucha</t>
        </is>
      </c>
      <c r="D562" t="inlineStr">
        <is>
          <t>TRUCHA (9 kg - Gabriel Andres Ramirez)</t>
        </is>
      </c>
      <c r="E562" t="n">
        <v>9</v>
      </c>
      <c r="F562" t="n">
        <v>22000</v>
      </c>
      <c r="G562" t="n">
        <v>198000</v>
      </c>
    </row>
    <row r="563">
      <c r="A563" t="n">
        <v>31</v>
      </c>
      <c r="B563" t="inlineStr">
        <is>
          <t>Servicios</t>
        </is>
      </c>
      <c r="C563" t="inlineStr">
        <is>
          <t>Servicios temporales</t>
        </is>
      </c>
      <c r="D563" t="inlineStr">
        <is>
          <t>SERVICIOS TEMPORALES (GIT 16 al 31 Agosto)</t>
        </is>
      </c>
      <c r="E563" t="n">
        <v>1</v>
      </c>
      <c r="F563" t="n">
        <v>14805208</v>
      </c>
      <c r="G563" t="n">
        <v>14805208</v>
      </c>
    </row>
    <row r="564">
      <c r="A564" t="n">
        <v>31</v>
      </c>
      <c r="B564" t="inlineStr">
        <is>
          <t>Servicios</t>
        </is>
      </c>
      <c r="C564" t="inlineStr">
        <is>
          <t>Servicios temporales</t>
        </is>
      </c>
      <c r="D564" t="inlineStr">
        <is>
          <t>AIU FISCAL + IVA (GIT 16 al 31 Agosto)</t>
        </is>
      </c>
      <c r="E564" t="n">
        <v>1</v>
      </c>
      <c r="F564" t="n">
        <v>1957577.37</v>
      </c>
      <c r="G564" t="n">
        <v>1957577.37</v>
      </c>
    </row>
    <row r="565">
      <c r="A565" t="n">
        <v>28</v>
      </c>
      <c r="B565" t="inlineStr">
        <is>
          <t>Carnes</t>
        </is>
      </c>
      <c r="C565" t="inlineStr">
        <is>
          <t>Lomo de cerdo</t>
        </is>
      </c>
      <c r="D565" t="inlineStr">
        <is>
          <t>LOMO DE CERDO (13.4 kg - Fabian Bonilla)</t>
        </is>
      </c>
      <c r="E565" t="n">
        <v>13.4</v>
      </c>
      <c r="F565" t="n">
        <v>19500</v>
      </c>
      <c r="G565" t="n">
        <v>261300</v>
      </c>
    </row>
    <row r="566">
      <c r="A566" t="n">
        <v>27</v>
      </c>
      <c r="B566" t="inlineStr">
        <is>
          <t>Carnes</t>
        </is>
      </c>
      <c r="C566" t="inlineStr">
        <is>
          <t>Costilla de cerdo especial</t>
        </is>
      </c>
      <c r="D566" t="inlineStr">
        <is>
          <t>COSTILLA CERDO ESP CR (BS) X 4 KG</t>
        </is>
      </c>
      <c r="E566" t="n">
        <v>40</v>
      </c>
      <c r="F566" t="n">
        <v>18200</v>
      </c>
      <c r="G566" t="n">
        <v>728000</v>
      </c>
    </row>
    <row r="567">
      <c r="A567" t="n">
        <v>26</v>
      </c>
      <c r="B567" t="inlineStr">
        <is>
          <t>Grano</t>
        </is>
      </c>
      <c r="C567" t="inlineStr">
        <is>
          <t>Leche de coco</t>
        </is>
      </c>
      <c r="D567" t="inlineStr">
        <is>
          <t>Extrato de coco premium 1000 mL (Col Coco)</t>
        </is>
      </c>
      <c r="E567" t="n">
        <v>5</v>
      </c>
      <c r="F567" t="n">
        <v>24395</v>
      </c>
      <c r="G567" t="n">
        <v>121975</v>
      </c>
    </row>
    <row r="568">
      <c r="A568" t="n">
        <v>28</v>
      </c>
      <c r="B568" t="inlineStr">
        <is>
          <t>Servicios</t>
        </is>
      </c>
      <c r="C568" t="inlineStr">
        <is>
          <t>Otros servicios de salud</t>
        </is>
      </c>
      <c r="D568" t="inlineStr">
        <is>
          <t>Exámenes Ocupacionales Segunda Quincena Agosto (Health Care IPS)</t>
        </is>
      </c>
      <c r="E568" t="n">
        <v>1</v>
      </c>
      <c r="F568" t="n">
        <v>273000</v>
      </c>
      <c r="G568" t="n">
        <v>273000</v>
      </c>
    </row>
    <row r="569">
      <c r="A569" t="n">
        <v>31</v>
      </c>
      <c r="B569" t="inlineStr">
        <is>
          <t>Verduras</t>
        </is>
      </c>
      <c r="C569" t="inlineStr">
        <is>
          <t>Lechuga batavia</t>
        </is>
      </c>
      <c r="D569" t="inlineStr">
        <is>
          <t>LECHUGA BATAVIA*KL</t>
        </is>
      </c>
      <c r="E569" t="n">
        <v>18</v>
      </c>
      <c r="F569" t="n">
        <v>2800</v>
      </c>
      <c r="G569" t="n">
        <v>50400</v>
      </c>
    </row>
    <row r="570">
      <c r="A570" t="n">
        <v>31</v>
      </c>
      <c r="B570" t="inlineStr">
        <is>
          <t>Desechables</t>
        </is>
      </c>
      <c r="C570" t="inlineStr">
        <is>
          <t>Carbon</t>
        </is>
      </c>
      <c r="D570" t="inlineStr">
        <is>
          <t>CAARBON BULTO</t>
        </is>
      </c>
      <c r="E570" t="n">
        <v>2</v>
      </c>
      <c r="F570" t="n">
        <v>43000</v>
      </c>
      <c r="G570" t="n">
        <v>86000</v>
      </c>
    </row>
    <row r="571">
      <c r="A571" t="n">
        <v>31</v>
      </c>
      <c r="B571" t="inlineStr">
        <is>
          <t>Verduras</t>
        </is>
      </c>
      <c r="C571" t="inlineStr">
        <is>
          <t>Limon tahity</t>
        </is>
      </c>
      <c r="D571" t="inlineStr">
        <is>
          <t>LIMON TAHITY*KL</t>
        </is>
      </c>
      <c r="E571" t="n">
        <v>48.8</v>
      </c>
      <c r="F571" t="n">
        <v>3400</v>
      </c>
      <c r="G571" t="n">
        <v>165920</v>
      </c>
    </row>
    <row r="572">
      <c r="A572" t="n">
        <v>31</v>
      </c>
      <c r="B572" t="inlineStr">
        <is>
          <t>Verduras</t>
        </is>
      </c>
      <c r="C572" t="inlineStr">
        <is>
          <t>Platano maduro</t>
        </is>
      </c>
      <c r="D572" t="inlineStr">
        <is>
          <t>PLATANO MADURO*KL</t>
        </is>
      </c>
      <c r="E572" t="n">
        <v>78.40000000000001</v>
      </c>
      <c r="F572" t="n">
        <v>1500</v>
      </c>
      <c r="G572" t="n">
        <v>117600</v>
      </c>
    </row>
    <row r="573">
      <c r="A573" t="n">
        <v>31</v>
      </c>
      <c r="B573" t="inlineStr">
        <is>
          <t>Verduras</t>
        </is>
      </c>
      <c r="C573" t="inlineStr">
        <is>
          <t>Platano verde</t>
        </is>
      </c>
      <c r="D573" t="inlineStr">
        <is>
          <t>PLATANO VERDE*KL</t>
        </is>
      </c>
      <c r="E573" t="n">
        <v>95.40000000000001</v>
      </c>
      <c r="F573" t="n">
        <v>1600</v>
      </c>
      <c r="G573" t="n">
        <v>152640</v>
      </c>
    </row>
    <row r="574">
      <c r="A574" t="n">
        <v>31</v>
      </c>
      <c r="B574" t="inlineStr">
        <is>
          <t>Verduras</t>
        </is>
      </c>
      <c r="C574" t="inlineStr">
        <is>
          <t>Cebolla larga</t>
        </is>
      </c>
      <c r="D574" t="inlineStr">
        <is>
          <t>CEBOLLA LARGA ATADO</t>
        </is>
      </c>
      <c r="E574" t="n">
        <v>0.5</v>
      </c>
      <c r="F574" t="n">
        <v>60000</v>
      </c>
      <c r="G574" t="n">
        <v>30000</v>
      </c>
    </row>
    <row r="575">
      <c r="A575" t="n">
        <v>31</v>
      </c>
      <c r="B575" t="inlineStr">
        <is>
          <t>Bebidas</t>
        </is>
      </c>
      <c r="C575" t="inlineStr">
        <is>
          <t>Coca-cola 400 ml pet (24)</t>
        </is>
      </c>
      <c r="D575" t="inlineStr">
        <is>
          <t>COCA-COLA 400ML PET (12) [24 und c/imp]</t>
        </is>
      </c>
      <c r="E575" t="n">
        <v>24</v>
      </c>
      <c r="F575" t="n">
        <v>2144.291666666667</v>
      </c>
      <c r="G575" t="n">
        <v>51463</v>
      </c>
    </row>
    <row r="576">
      <c r="A576" t="n">
        <v>31</v>
      </c>
      <c r="B576" t="inlineStr">
        <is>
          <t>Bebidas</t>
        </is>
      </c>
      <c r="C576" t="inlineStr">
        <is>
          <t>Coca cola 350</t>
        </is>
      </c>
      <c r="D576" t="inlineStr">
        <is>
          <t>COCA-COLA 350ML VIR(30) [30 und c/imp]</t>
        </is>
      </c>
      <c r="E576" t="n">
        <v>30</v>
      </c>
      <c r="F576" t="n">
        <v>1788.7</v>
      </c>
      <c r="G576" t="n">
        <v>53661</v>
      </c>
    </row>
    <row r="577">
      <c r="A577" t="n">
        <v>31</v>
      </c>
      <c r="B577" t="inlineStr">
        <is>
          <t>Bebidas</t>
        </is>
      </c>
      <c r="C577" t="inlineStr">
        <is>
          <t>Brisa 600 ml</t>
        </is>
      </c>
      <c r="D577" t="inlineStr">
        <is>
          <t>AGUA BRISA PET 600ML (24) [48 und]</t>
        </is>
      </c>
      <c r="E577" t="n">
        <v>48</v>
      </c>
      <c r="F577" t="n">
        <v>1333.333333333333</v>
      </c>
      <c r="G577" t="n">
        <v>64000</v>
      </c>
    </row>
    <row r="578">
      <c r="A578" t="n">
        <v>31</v>
      </c>
      <c r="B578" t="inlineStr">
        <is>
          <t>Bebidas</t>
        </is>
      </c>
      <c r="C578" t="inlineStr">
        <is>
          <t>Coca cola zero 1,5 ltrs</t>
        </is>
      </c>
      <c r="D578" t="inlineStr">
        <is>
          <t>COCA COLA ZERO 1.5LT PET(12)KZ [12 und]</t>
        </is>
      </c>
      <c r="E578" t="n">
        <v>12</v>
      </c>
      <c r="F578" t="n">
        <v>4551.75</v>
      </c>
      <c r="G578" t="n">
        <v>54621</v>
      </c>
    </row>
    <row r="579">
      <c r="A579" t="n">
        <v>31</v>
      </c>
      <c r="B579" t="inlineStr">
        <is>
          <t>Bebidas</t>
        </is>
      </c>
      <c r="C579" t="inlineStr">
        <is>
          <t>Coca cola 1,5 lt pet (12) nvo</t>
        </is>
      </c>
      <c r="D579" t="inlineStr">
        <is>
          <t>COCA COLA 1.5LT PET(12) Nvo [12 und c/imp]</t>
        </is>
      </c>
      <c r="E579" t="n">
        <v>12</v>
      </c>
      <c r="F579" t="n">
        <v>4647.666666666667</v>
      </c>
      <c r="G579" t="n">
        <v>55772</v>
      </c>
    </row>
    <row r="580">
      <c r="A580" t="n">
        <v>28</v>
      </c>
      <c r="B580" t="inlineStr">
        <is>
          <t>Servicios</t>
        </is>
      </c>
      <c r="C580" t="inlineStr">
        <is>
          <t>Servicios Públicos</t>
        </is>
      </c>
      <c r="D580" t="inlineStr">
        <is>
          <t>Factura EMCALI (Acueducto, Alcantarillado, Energía - Agosto 2026)</t>
        </is>
      </c>
      <c r="E580" t="n">
        <v>1</v>
      </c>
      <c r="F580" t="n">
        <v>6502384</v>
      </c>
      <c r="G580" t="n">
        <v>6502384</v>
      </c>
    </row>
    <row r="581">
      <c r="A581" t="n">
        <v>31</v>
      </c>
      <c r="B581" t="inlineStr">
        <is>
          <t>Verduras</t>
        </is>
      </c>
      <c r="C581" t="inlineStr">
        <is>
          <t>Limon tahiti</t>
        </is>
      </c>
      <c r="D581" t="inlineStr">
        <is>
          <t>LIMON TAHITY*KL</t>
        </is>
      </c>
      <c r="E581" t="n">
        <v>66</v>
      </c>
      <c r="F581" t="n">
        <v>2500</v>
      </c>
      <c r="G581" t="n">
        <v>165000</v>
      </c>
    </row>
    <row r="582">
      <c r="A582" t="n">
        <v>31</v>
      </c>
      <c r="B582" t="inlineStr">
        <is>
          <t>Verduras</t>
        </is>
      </c>
      <c r="C582" t="inlineStr">
        <is>
          <t>Platano maduro</t>
        </is>
      </c>
      <c r="D582" t="inlineStr">
        <is>
          <t>PLATANO MADURO*KL</t>
        </is>
      </c>
      <c r="E582" t="n">
        <v>78.3</v>
      </c>
      <c r="F582" t="n">
        <v>1300</v>
      </c>
      <c r="G582" t="n">
        <v>101790</v>
      </c>
    </row>
    <row r="583">
      <c r="A583" t="n">
        <v>31</v>
      </c>
      <c r="B583" t="inlineStr">
        <is>
          <t>Verduras</t>
        </is>
      </c>
      <c r="C583" t="inlineStr">
        <is>
          <t>Lechuga batavia</t>
        </is>
      </c>
      <c r="D583" t="inlineStr">
        <is>
          <t>LECHUGA BATAVIA*KL</t>
        </is>
      </c>
      <c r="E583" t="n">
        <v>47.6</v>
      </c>
      <c r="F583" t="n">
        <v>2800</v>
      </c>
      <c r="G583" t="n">
        <v>133280</v>
      </c>
    </row>
    <row r="584">
      <c r="A584" t="n">
        <v>31</v>
      </c>
      <c r="B584" t="inlineStr">
        <is>
          <t>Verduras</t>
        </is>
      </c>
      <c r="C584" t="inlineStr">
        <is>
          <t>Platano verde</t>
        </is>
      </c>
      <c r="D584" t="inlineStr">
        <is>
          <t>PLATANO VERDE*KL</t>
        </is>
      </c>
      <c r="E584" t="n">
        <v>77.40000000000001</v>
      </c>
      <c r="F584" t="n">
        <v>1300</v>
      </c>
      <c r="G584" t="n">
        <v>100620</v>
      </c>
    </row>
    <row r="585">
      <c r="A585" t="n">
        <v>31</v>
      </c>
      <c r="B585" t="inlineStr">
        <is>
          <t>Verduras</t>
        </is>
      </c>
      <c r="C585" t="inlineStr">
        <is>
          <t>Cebolla Larga Atado</t>
        </is>
      </c>
      <c r="D585" t="inlineStr">
        <is>
          <t>CEBOLLA LARGA ATADO</t>
        </is>
      </c>
      <c r="E585" t="n">
        <v>1</v>
      </c>
      <c r="F585" t="n">
        <v>60000</v>
      </c>
      <c r="G585" t="n">
        <v>60000</v>
      </c>
    </row>
    <row r="586">
      <c r="A586" t="n">
        <v>31</v>
      </c>
      <c r="B586" t="inlineStr">
        <is>
          <t>Verduras</t>
        </is>
      </c>
      <c r="C586" t="inlineStr">
        <is>
          <t>Tomate milano</t>
        </is>
      </c>
      <c r="D586" t="inlineStr">
        <is>
          <t>TOMATE MILANO*KL</t>
        </is>
      </c>
      <c r="E586" t="n">
        <v>5.1</v>
      </c>
      <c r="F586" t="n">
        <v>4500</v>
      </c>
      <c r="G586" t="n">
        <v>22950</v>
      </c>
    </row>
    <row r="587">
      <c r="A587" t="n">
        <v>31</v>
      </c>
      <c r="B587" t="inlineStr">
        <is>
          <t>Verduras</t>
        </is>
      </c>
      <c r="C587" t="inlineStr">
        <is>
          <t>Tomate chonto</t>
        </is>
      </c>
      <c r="D587" t="inlineStr">
        <is>
          <t>TOMATE CHONTO*KL</t>
        </is>
      </c>
      <c r="E587" t="n">
        <v>10.9</v>
      </c>
      <c r="F587" t="n">
        <v>4000</v>
      </c>
      <c r="G587" t="n">
        <v>43600</v>
      </c>
    </row>
    <row r="588">
      <c r="A588" t="n">
        <v>31</v>
      </c>
      <c r="B588" t="inlineStr">
        <is>
          <t>Verduras</t>
        </is>
      </c>
      <c r="C588" t="inlineStr">
        <is>
          <t>Pepino comun</t>
        </is>
      </c>
      <c r="D588" t="inlineStr">
        <is>
          <t>PEPINO COMUN*KL</t>
        </is>
      </c>
      <c r="E588" t="n">
        <v>3.6</v>
      </c>
      <c r="F588" t="n">
        <v>2500</v>
      </c>
      <c r="G588" t="n">
        <v>9000</v>
      </c>
    </row>
    <row r="589">
      <c r="A589" t="n">
        <v>31</v>
      </c>
      <c r="B589" t="inlineStr">
        <is>
          <t>Verduras</t>
        </is>
      </c>
      <c r="C589" t="inlineStr">
        <is>
          <t>Arracacha</t>
        </is>
      </c>
      <c r="D589" t="inlineStr">
        <is>
          <t>ARRACACHA*KL</t>
        </is>
      </c>
      <c r="E589" t="n">
        <v>3.3</v>
      </c>
      <c r="F589" t="n">
        <v>6500</v>
      </c>
      <c r="G589" t="n">
        <v>21450</v>
      </c>
    </row>
    <row r="590">
      <c r="A590" t="n">
        <v>31</v>
      </c>
      <c r="B590" t="inlineStr">
        <is>
          <t>Verduras</t>
        </is>
      </c>
      <c r="C590" t="inlineStr">
        <is>
          <t>Pimenton</t>
        </is>
      </c>
      <c r="D590" t="inlineStr">
        <is>
          <t>PIMENTON*KL</t>
        </is>
      </c>
      <c r="E590" t="n">
        <v>8.4</v>
      </c>
      <c r="F590" t="n">
        <v>2500</v>
      </c>
      <c r="G590" t="n">
        <v>21000</v>
      </c>
    </row>
    <row r="591">
      <c r="A591" t="n">
        <v>31</v>
      </c>
      <c r="B591" t="inlineStr">
        <is>
          <t>Verduras</t>
        </is>
      </c>
      <c r="C591" t="inlineStr">
        <is>
          <t>Papa pollera</t>
        </is>
      </c>
      <c r="D591" t="inlineStr">
        <is>
          <t>PAPA POYERA KI</t>
        </is>
      </c>
      <c r="E591" t="n">
        <v>7.7</v>
      </c>
      <c r="F591" t="n">
        <v>1800</v>
      </c>
      <c r="G591" t="n">
        <v>13860</v>
      </c>
    </row>
    <row r="592">
      <c r="A592" t="n">
        <v>31</v>
      </c>
      <c r="B592" t="inlineStr">
        <is>
          <t>Verduras</t>
        </is>
      </c>
      <c r="C592" t="inlineStr">
        <is>
          <t>Mazorca</t>
        </is>
      </c>
      <c r="D592" t="inlineStr">
        <is>
          <t>MAZORCA*UND</t>
        </is>
      </c>
      <c r="E592" t="n">
        <v>20</v>
      </c>
      <c r="F592" t="n">
        <v>1200</v>
      </c>
      <c r="G592" t="n">
        <v>24000</v>
      </c>
    </row>
    <row r="593">
      <c r="A593" t="n">
        <v>31</v>
      </c>
      <c r="B593" t="inlineStr">
        <is>
          <t>Verduras</t>
        </is>
      </c>
      <c r="C593" t="inlineStr">
        <is>
          <t>Zanahoria</t>
        </is>
      </c>
      <c r="D593" t="inlineStr">
        <is>
          <t>ZANAHORIA*KL</t>
        </is>
      </c>
      <c r="E593" t="n">
        <v>10</v>
      </c>
      <c r="F593" t="n">
        <v>2500</v>
      </c>
      <c r="G593" t="n">
        <v>25000</v>
      </c>
    </row>
    <row r="594">
      <c r="A594" t="n">
        <v>31</v>
      </c>
      <c r="B594" t="inlineStr">
        <is>
          <t>Verduras</t>
        </is>
      </c>
      <c r="C594" t="inlineStr">
        <is>
          <t>Cilantro</t>
        </is>
      </c>
      <c r="D594" t="inlineStr">
        <is>
          <t>CILANTRO</t>
        </is>
      </c>
      <c r="E594" t="n">
        <v>4</v>
      </c>
      <c r="F594" t="n">
        <v>8000</v>
      </c>
      <c r="G594" t="n">
        <v>32000</v>
      </c>
    </row>
    <row r="595">
      <c r="A595" t="n">
        <v>31</v>
      </c>
      <c r="B595" t="inlineStr">
        <is>
          <t>Verduras</t>
        </is>
      </c>
      <c r="C595" t="inlineStr">
        <is>
          <t>Hiervas</t>
        </is>
      </c>
      <c r="D595" t="inlineStr">
        <is>
          <t>HIERVAS</t>
        </is>
      </c>
      <c r="E595" t="n">
        <v>5</v>
      </c>
      <c r="F595" t="n">
        <v>2000</v>
      </c>
      <c r="G595" t="n">
        <v>10000</v>
      </c>
    </row>
    <row r="596">
      <c r="A596" t="n">
        <v>31</v>
      </c>
      <c r="B596" t="inlineStr">
        <is>
          <t>Desechables</t>
        </is>
      </c>
      <c r="C596" t="inlineStr">
        <is>
          <t>Carbon</t>
        </is>
      </c>
      <c r="D596" t="inlineStr">
        <is>
          <t>CAARBON BULTO</t>
        </is>
      </c>
      <c r="E596" t="n">
        <v>1</v>
      </c>
      <c r="F596" t="n">
        <v>40000</v>
      </c>
      <c r="G596" t="n">
        <v>40000</v>
      </c>
    </row>
    <row r="597">
      <c r="A597" t="n">
        <v>31</v>
      </c>
      <c r="B597" t="inlineStr">
        <is>
          <t>Verduras</t>
        </is>
      </c>
      <c r="C597" t="inlineStr">
        <is>
          <t>Papa Capira bulto</t>
        </is>
      </c>
      <c r="D597" t="inlineStr">
        <is>
          <t>PAPA CAPIRA BULTO*UND</t>
        </is>
      </c>
      <c r="E597" t="n">
        <v>1</v>
      </c>
      <c r="F597" t="n">
        <v>110000</v>
      </c>
      <c r="G597" t="n">
        <v>110000</v>
      </c>
    </row>
    <row r="598">
      <c r="A598" t="n">
        <v>31</v>
      </c>
      <c r="B598" t="inlineStr">
        <is>
          <t>Verduras</t>
        </is>
      </c>
      <c r="C598" t="inlineStr">
        <is>
          <t xml:space="preserve">Habichuela </t>
        </is>
      </c>
      <c r="D598" t="inlineStr">
        <is>
          <t>HABICHUELA*KL</t>
        </is>
      </c>
      <c r="E598" t="n">
        <v>4.5</v>
      </c>
      <c r="F598" t="n">
        <v>7000</v>
      </c>
      <c r="G598" t="n">
        <v>31500</v>
      </c>
    </row>
    <row r="599">
      <c r="A599" t="n">
        <v>31</v>
      </c>
      <c r="B599" t="inlineStr">
        <is>
          <t>Verduras</t>
        </is>
      </c>
      <c r="C599" t="inlineStr">
        <is>
          <t>Cebolla larga</t>
        </is>
      </c>
      <c r="D599" t="inlineStr">
        <is>
          <t>CEBOLLA LARGA*KL LIMPIA</t>
        </is>
      </c>
      <c r="E599" t="n">
        <v>13.6</v>
      </c>
      <c r="F599" t="n">
        <v>3500</v>
      </c>
      <c r="G599" t="n">
        <v>47600</v>
      </c>
    </row>
    <row r="600">
      <c r="A600" t="n">
        <v>25</v>
      </c>
      <c r="B600" t="inlineStr">
        <is>
          <t>Bebidas</t>
        </is>
      </c>
      <c r="C600" t="inlineStr">
        <is>
          <t>Bolsa 5kl tubular</t>
        </is>
      </c>
      <c r="D600" t="inlineStr">
        <is>
          <t>BOLSA X 5 KL TUBULAR (Hielo El Nevado)</t>
        </is>
      </c>
      <c r="E600" t="n">
        <v>4</v>
      </c>
      <c r="F600" t="n">
        <v>5000</v>
      </c>
      <c r="G600" t="n">
        <v>20000</v>
      </c>
    </row>
    <row r="601">
      <c r="A601" t="n">
        <v>28</v>
      </c>
      <c r="B601" t="inlineStr">
        <is>
          <t>Servicios</t>
        </is>
      </c>
      <c r="C601" t="inlineStr">
        <is>
          <t>Arreglo Tubos x Materiales</t>
        </is>
      </c>
      <c r="D601" t="inlineStr">
        <is>
          <t>U.EMBR 3/8HP FFU160HAX 134 220V (Compresor Friomaster)</t>
        </is>
      </c>
      <c r="E601" t="n">
        <v>1</v>
      </c>
      <c r="F601" t="n">
        <v>411765</v>
      </c>
      <c r="G601" t="n">
        <v>411765</v>
      </c>
    </row>
    <row r="602">
      <c r="A602" t="n">
        <v>31</v>
      </c>
      <c r="B602" t="inlineStr">
        <is>
          <t>Carnes</t>
        </is>
      </c>
      <c r="C602" t="inlineStr">
        <is>
          <t>Pata de res</t>
        </is>
      </c>
      <c r="D602" t="inlineStr">
        <is>
          <t>Pata de res (MYC)</t>
        </is>
      </c>
      <c r="E602" t="n">
        <v>15.95</v>
      </c>
      <c r="F602" t="n">
        <v>5000</v>
      </c>
      <c r="G602" t="n">
        <v>79750</v>
      </c>
    </row>
    <row r="603">
      <c r="A603" t="n">
        <v>31</v>
      </c>
      <c r="B603" t="inlineStr">
        <is>
          <t>Carnes</t>
        </is>
      </c>
      <c r="C603" t="inlineStr">
        <is>
          <t>Caderita</t>
        </is>
      </c>
      <c r="D603" t="inlineStr">
        <is>
          <t>Caderita de res (MYC)</t>
        </is>
      </c>
      <c r="E603" t="n">
        <v>4</v>
      </c>
      <c r="F603" t="n">
        <v>33000</v>
      </c>
      <c r="G603" t="n">
        <v>132000</v>
      </c>
    </row>
    <row r="604">
      <c r="A604" t="n">
        <v>29</v>
      </c>
      <c r="B604" t="inlineStr">
        <is>
          <t>Bebidas</t>
        </is>
      </c>
      <c r="C604" t="inlineStr">
        <is>
          <t>Piña nacional 350 ml vidrio r x 30</t>
        </is>
      </c>
      <c r="D604" t="inlineStr">
        <is>
          <t>PIÑA NACIONAL 350 ML VIDRIO R X 30 [15 und c/iva]</t>
        </is>
      </c>
      <c r="E604" t="n">
        <v>15</v>
      </c>
      <c r="F604" t="n">
        <v>1450.98</v>
      </c>
      <c r="G604" t="n">
        <v>21764.7</v>
      </c>
    </row>
    <row r="605">
      <c r="A605" t="n">
        <v>29</v>
      </c>
      <c r="B605" t="inlineStr">
        <is>
          <t>Bebidas</t>
        </is>
      </c>
      <c r="C605" t="inlineStr">
        <is>
          <t>Gaseosa 350 ml</t>
        </is>
      </c>
      <c r="D605" t="inlineStr">
        <is>
          <t>COLOMBIANA NACIONAL 350 ML VIDRIO R X 30 [15 und c/iva]</t>
        </is>
      </c>
      <c r="E605" t="n">
        <v>15</v>
      </c>
      <c r="F605" t="n">
        <v>1450.98</v>
      </c>
      <c r="G605" t="n">
        <v>21764.7</v>
      </c>
    </row>
    <row r="606">
      <c r="A606" t="n">
        <v>29</v>
      </c>
      <c r="B606" t="inlineStr">
        <is>
          <t>Bebidas</t>
        </is>
      </c>
      <c r="C606" t="inlineStr">
        <is>
          <t>Itamarindo postobo n 350 ml vidrio r x 30</t>
        </is>
      </c>
      <c r="D606" t="inlineStr">
        <is>
          <t>TAMARINDO POSTOBON 350 ML VIDRIO R X 30 [30 und c/iva]</t>
        </is>
      </c>
      <c r="E606" t="n">
        <v>30</v>
      </c>
      <c r="F606" t="n">
        <v>1260.5</v>
      </c>
      <c r="G606" t="n">
        <v>37815</v>
      </c>
    </row>
    <row r="607">
      <c r="A607" t="n">
        <v>28</v>
      </c>
      <c r="B607" t="inlineStr">
        <is>
          <t>Carnes</t>
        </is>
      </c>
      <c r="C607" t="inlineStr">
        <is>
          <t>Filete de pollo x 350</t>
        </is>
      </c>
      <c r="D607" t="inlineStr">
        <is>
          <t>FILETE DE POLLO X 350G (Alexis Valencia)</t>
        </is>
      </c>
      <c r="E607" t="n">
        <v>28.3</v>
      </c>
      <c r="F607" t="n">
        <v>18500</v>
      </c>
      <c r="G607" t="n">
        <v>523550</v>
      </c>
    </row>
    <row r="608">
      <c r="A608" t="n">
        <v>29</v>
      </c>
      <c r="B608" t="inlineStr">
        <is>
          <t>Carnes</t>
        </is>
      </c>
      <c r="C608" t="inlineStr">
        <is>
          <t>Callo</t>
        </is>
      </c>
      <c r="D608" t="inlineStr">
        <is>
          <t>CALLO DE RES (MYC)</t>
        </is>
      </c>
      <c r="E608" t="n">
        <v>8.85</v>
      </c>
      <c r="F608" t="n">
        <v>18000</v>
      </c>
      <c r="G608" t="n">
        <v>159300</v>
      </c>
    </row>
    <row r="609">
      <c r="A609" t="n">
        <v>29</v>
      </c>
      <c r="B609" t="inlineStr">
        <is>
          <t>Carnes</t>
        </is>
      </c>
      <c r="C609" t="inlineStr">
        <is>
          <t>Lomo viche</t>
        </is>
      </c>
      <c r="D609" t="inlineStr">
        <is>
          <t>LOMO VICHE ESPECIAL DE RES (MYC)</t>
        </is>
      </c>
      <c r="E609" t="n">
        <v>5.16</v>
      </c>
      <c r="F609" t="n">
        <v>53000</v>
      </c>
      <c r="G609" t="n">
        <v>273480</v>
      </c>
    </row>
    <row r="610">
      <c r="A610" t="n">
        <v>31</v>
      </c>
      <c r="B610" t="inlineStr">
        <is>
          <t>Verduras</t>
        </is>
      </c>
      <c r="C610" t="inlineStr">
        <is>
          <t>Papa Capira bulto</t>
        </is>
      </c>
      <c r="D610" t="inlineStr">
        <is>
          <t>PAPA CAPIRA BULTO*UND</t>
        </is>
      </c>
      <c r="E610" t="n">
        <v>1</v>
      </c>
      <c r="F610" t="n">
        <v>100000</v>
      </c>
      <c r="G610" t="n">
        <v>100000</v>
      </c>
    </row>
    <row r="611">
      <c r="A611" t="n">
        <v>31</v>
      </c>
      <c r="B611" t="inlineStr">
        <is>
          <t>Verduras</t>
        </is>
      </c>
      <c r="C611" t="inlineStr">
        <is>
          <t>Mazorca</t>
        </is>
      </c>
      <c r="D611" t="inlineStr">
        <is>
          <t>MAZORCA*UND</t>
        </is>
      </c>
      <c r="E611" t="n">
        <v>40</v>
      </c>
      <c r="F611" t="n">
        <v>1000</v>
      </c>
      <c r="G611" t="n">
        <v>40000</v>
      </c>
    </row>
    <row r="612">
      <c r="A612" t="n">
        <v>31</v>
      </c>
      <c r="B612" t="inlineStr">
        <is>
          <t>Verduras</t>
        </is>
      </c>
      <c r="C612" t="inlineStr">
        <is>
          <t>Ulluco Limpio</t>
        </is>
      </c>
      <c r="D612" t="inlineStr">
        <is>
          <t>ULLUCOS LIMPIO*KL</t>
        </is>
      </c>
      <c r="E612" t="n">
        <v>4.2</v>
      </c>
      <c r="F612" t="n">
        <v>9000</v>
      </c>
      <c r="G612" t="n">
        <v>37800</v>
      </c>
    </row>
    <row r="613">
      <c r="A613" t="n">
        <v>31</v>
      </c>
      <c r="B613" t="inlineStr">
        <is>
          <t>Verduras</t>
        </is>
      </c>
      <c r="C613" t="inlineStr">
        <is>
          <t>Cilantro</t>
        </is>
      </c>
      <c r="D613" t="inlineStr">
        <is>
          <t>CILANTRO</t>
        </is>
      </c>
      <c r="E613" t="n">
        <v>3</v>
      </c>
      <c r="F613" t="n">
        <v>8000</v>
      </c>
      <c r="G613" t="n">
        <v>24000</v>
      </c>
    </row>
    <row r="614">
      <c r="A614" t="n">
        <v>31</v>
      </c>
      <c r="B614" t="inlineStr">
        <is>
          <t>Verduras</t>
        </is>
      </c>
      <c r="C614" t="inlineStr">
        <is>
          <t>Hiervas</t>
        </is>
      </c>
      <c r="D614" t="inlineStr">
        <is>
          <t>HIERVAS</t>
        </is>
      </c>
      <c r="E614" t="n">
        <v>4</v>
      </c>
      <c r="F614" t="n">
        <v>2000</v>
      </c>
      <c r="G614" t="n">
        <v>8000</v>
      </c>
    </row>
    <row r="615">
      <c r="A615" t="n">
        <v>31</v>
      </c>
      <c r="B615" t="inlineStr">
        <is>
          <t>Verduras</t>
        </is>
      </c>
      <c r="C615" t="inlineStr">
        <is>
          <t>Tomillo</t>
        </is>
      </c>
      <c r="D615" t="inlineStr">
        <is>
          <t>TOMILLO</t>
        </is>
      </c>
      <c r="E615" t="n">
        <v>1</v>
      </c>
      <c r="F615" t="n">
        <v>10000</v>
      </c>
      <c r="G615" t="n">
        <v>10000</v>
      </c>
    </row>
    <row r="616">
      <c r="A616" t="n">
        <v>31</v>
      </c>
      <c r="B616" t="inlineStr">
        <is>
          <t>Verduras</t>
        </is>
      </c>
      <c r="C616" t="inlineStr">
        <is>
          <t>Platano verde</t>
        </is>
      </c>
      <c r="D616" t="inlineStr">
        <is>
          <t>PLATANO VERDE*KL</t>
        </is>
      </c>
      <c r="E616" t="n">
        <v>50.9</v>
      </c>
      <c r="F616" t="n">
        <v>1400</v>
      </c>
      <c r="G616" t="n">
        <v>71260</v>
      </c>
    </row>
    <row r="617">
      <c r="A617" t="n">
        <v>31</v>
      </c>
      <c r="B617" t="inlineStr">
        <is>
          <t>Verduras</t>
        </is>
      </c>
      <c r="C617" t="inlineStr">
        <is>
          <t>Pepino comun</t>
        </is>
      </c>
      <c r="D617" t="inlineStr">
        <is>
          <t>PEPINO COMUN*KL</t>
        </is>
      </c>
      <c r="E617" t="n">
        <v>4.4</v>
      </c>
      <c r="F617" t="n">
        <v>2000</v>
      </c>
      <c r="G617" t="n">
        <v>8800</v>
      </c>
    </row>
    <row r="618">
      <c r="A618" t="n">
        <v>31</v>
      </c>
      <c r="B618" t="inlineStr">
        <is>
          <t>Verduras</t>
        </is>
      </c>
      <c r="C618" t="inlineStr">
        <is>
          <t>Cebolla cabezona</t>
        </is>
      </c>
      <c r="D618" t="inlineStr">
        <is>
          <t>CEBOLLA CABEZONA*KL</t>
        </is>
      </c>
      <c r="E618" t="n">
        <v>7.6</v>
      </c>
      <c r="F618" t="n">
        <v>3400</v>
      </c>
      <c r="G618" t="n">
        <v>25840</v>
      </c>
    </row>
    <row r="619">
      <c r="A619" t="n">
        <v>31</v>
      </c>
      <c r="B619" t="inlineStr">
        <is>
          <t>Verduras</t>
        </is>
      </c>
      <c r="C619" t="inlineStr">
        <is>
          <t>Tomate chonto</t>
        </is>
      </c>
      <c r="D619" t="inlineStr">
        <is>
          <t>TOMATE CHONTO*KL</t>
        </is>
      </c>
      <c r="E619" t="n">
        <v>10</v>
      </c>
      <c r="F619" t="n">
        <v>3800</v>
      </c>
      <c r="G619" t="n">
        <v>38000</v>
      </c>
    </row>
    <row r="620">
      <c r="A620" t="n">
        <v>31</v>
      </c>
      <c r="B620" t="inlineStr">
        <is>
          <t>Verduras</t>
        </is>
      </c>
      <c r="C620" t="inlineStr">
        <is>
          <t>Tomate milano</t>
        </is>
      </c>
      <c r="D620" t="inlineStr">
        <is>
          <t>TOMATE MILANO*KL</t>
        </is>
      </c>
      <c r="E620" t="n">
        <v>3</v>
      </c>
      <c r="F620" t="n">
        <v>4500</v>
      </c>
      <c r="G620" t="n">
        <v>13500</v>
      </c>
    </row>
    <row r="621">
      <c r="A621" t="n">
        <v>31</v>
      </c>
      <c r="B621" t="inlineStr">
        <is>
          <t>Verduras</t>
        </is>
      </c>
      <c r="C621" t="inlineStr">
        <is>
          <t xml:space="preserve">Papa manbera </t>
        </is>
      </c>
      <c r="D621" t="inlineStr">
        <is>
          <t>PAPA MAMBERA*KL</t>
        </is>
      </c>
      <c r="E621" t="n">
        <v>7.6</v>
      </c>
      <c r="F621" t="n">
        <v>3500</v>
      </c>
      <c r="G621" t="n">
        <v>26600</v>
      </c>
    </row>
    <row r="622">
      <c r="A622" t="n">
        <v>31</v>
      </c>
      <c r="B622" t="inlineStr">
        <is>
          <t>Verduras</t>
        </is>
      </c>
      <c r="C622" t="inlineStr">
        <is>
          <t xml:space="preserve">Papa amarilla </t>
        </is>
      </c>
      <c r="D622" t="inlineStr">
        <is>
          <t>PAPA AMARILLA CRIOLLA*KL</t>
        </is>
      </c>
      <c r="E622" t="n">
        <v>8.5</v>
      </c>
      <c r="F622" t="n">
        <v>6000</v>
      </c>
      <c r="G622" t="n">
        <v>51000</v>
      </c>
    </row>
    <row r="623">
      <c r="A623" t="n">
        <v>31</v>
      </c>
      <c r="B623" t="inlineStr">
        <is>
          <t>Verduras</t>
        </is>
      </c>
      <c r="C623" t="inlineStr">
        <is>
          <t>Zanahoria</t>
        </is>
      </c>
      <c r="D623" t="inlineStr">
        <is>
          <t>ZANAHORIA*KL</t>
        </is>
      </c>
      <c r="E623" t="n">
        <v>10</v>
      </c>
      <c r="F623" t="n">
        <v>2400</v>
      </c>
      <c r="G623" t="n">
        <v>24000</v>
      </c>
    </row>
    <row r="624">
      <c r="A624" t="n">
        <v>31</v>
      </c>
      <c r="B624" t="inlineStr">
        <is>
          <t>Verduras</t>
        </is>
      </c>
      <c r="C624" t="inlineStr">
        <is>
          <t>Lechuga batavia</t>
        </is>
      </c>
      <c r="D624" t="inlineStr">
        <is>
          <t>LECHUGA BATAVIA*KL</t>
        </is>
      </c>
      <c r="E624" t="n">
        <v>18.5</v>
      </c>
      <c r="F624" t="n">
        <v>2800</v>
      </c>
      <c r="G624" t="n">
        <v>51800</v>
      </c>
    </row>
    <row r="625">
      <c r="A625" t="n">
        <v>31</v>
      </c>
      <c r="B625" t="inlineStr">
        <is>
          <t>Verduras</t>
        </is>
      </c>
      <c r="C625" t="inlineStr">
        <is>
          <t>Cebolla Larga Atado</t>
        </is>
      </c>
      <c r="D625" t="inlineStr">
        <is>
          <t>CEBOLLA LARGA ATADO</t>
        </is>
      </c>
      <c r="E625" t="n">
        <v>1</v>
      </c>
      <c r="F625" t="n">
        <v>60000</v>
      </c>
      <c r="G625" t="n">
        <v>60000</v>
      </c>
    </row>
    <row r="626">
      <c r="A626" t="n">
        <v>31</v>
      </c>
      <c r="B626" t="inlineStr">
        <is>
          <t>Verduras</t>
        </is>
      </c>
      <c r="C626" t="inlineStr">
        <is>
          <t>Platano maduro</t>
        </is>
      </c>
      <c r="D626" t="inlineStr">
        <is>
          <t>PLATANO MADURO*KL</t>
        </is>
      </c>
      <c r="E626" t="n">
        <v>64</v>
      </c>
      <c r="F626" t="n">
        <v>1300</v>
      </c>
      <c r="G626" t="n">
        <v>83200</v>
      </c>
    </row>
    <row r="627">
      <c r="A627" t="n">
        <v>31</v>
      </c>
      <c r="B627" t="inlineStr">
        <is>
          <t>Bebidas</t>
        </is>
      </c>
      <c r="C627" t="inlineStr">
        <is>
          <t>Bloque media</t>
        </is>
      </c>
      <c r="D627" t="inlineStr">
        <is>
          <t>BLOQUE MEDIA (Hielo El Nevado)</t>
        </is>
      </c>
      <c r="E627" t="n">
        <v>2</v>
      </c>
      <c r="F627" t="n">
        <v>9500</v>
      </c>
      <c r="G627" t="n">
        <v>19000</v>
      </c>
    </row>
    <row r="628">
      <c r="A628" t="n">
        <v>31</v>
      </c>
      <c r="B628" t="inlineStr">
        <is>
          <t>Bebidas</t>
        </is>
      </c>
      <c r="C628" t="inlineStr">
        <is>
          <t>Bolsa 5kl tubular</t>
        </is>
      </c>
      <c r="D628" t="inlineStr">
        <is>
          <t>BOLSA X 5 KL TUBULAR (Hielo El Nevado)</t>
        </is>
      </c>
      <c r="E628" t="n">
        <v>3</v>
      </c>
      <c r="F628" t="n">
        <v>5000</v>
      </c>
      <c r="G628" t="n">
        <v>15000</v>
      </c>
    </row>
    <row r="629">
      <c r="A629" t="n">
        <v>31</v>
      </c>
      <c r="B629" t="inlineStr">
        <is>
          <t>Bebidas</t>
        </is>
      </c>
      <c r="C629" t="inlineStr">
        <is>
          <t>Bloque media</t>
        </is>
      </c>
      <c r="D629" t="inlineStr">
        <is>
          <t>BLOQUE MEDIA (Hielo El Nevado)</t>
        </is>
      </c>
      <c r="E629" t="n">
        <v>2</v>
      </c>
      <c r="F629" t="n">
        <v>9500</v>
      </c>
      <c r="G629" t="n">
        <v>19000</v>
      </c>
    </row>
    <row r="630">
      <c r="A630" t="n">
        <v>31</v>
      </c>
      <c r="B630" t="inlineStr">
        <is>
          <t>Bebidas</t>
        </is>
      </c>
      <c r="C630" t="inlineStr">
        <is>
          <t>Bolsa 5kl tubular</t>
        </is>
      </c>
      <c r="D630" t="inlineStr">
        <is>
          <t>BOLSA X 5 KL TUBULAR (Hielo El Nevado)</t>
        </is>
      </c>
      <c r="E630" t="n">
        <v>5</v>
      </c>
      <c r="F630" t="n">
        <v>5000</v>
      </c>
      <c r="G630" t="n">
        <v>25000</v>
      </c>
    </row>
    <row r="631">
      <c r="A631" t="n">
        <v>29</v>
      </c>
      <c r="B631" t="inlineStr">
        <is>
          <t>Bebidas</t>
        </is>
      </c>
      <c r="C631" t="inlineStr">
        <is>
          <t>Bloque media</t>
        </is>
      </c>
      <c r="D631" t="inlineStr">
        <is>
          <t>BLOQUE MEDIA (Hielo El Nevado)</t>
        </is>
      </c>
      <c r="E631" t="n">
        <v>2</v>
      </c>
      <c r="F631" t="n">
        <v>9500</v>
      </c>
      <c r="G631" t="n">
        <v>19000</v>
      </c>
    </row>
    <row r="632">
      <c r="A632" t="n">
        <v>29</v>
      </c>
      <c r="B632" t="inlineStr">
        <is>
          <t>Bebidas</t>
        </is>
      </c>
      <c r="C632" t="inlineStr">
        <is>
          <t>Bolsa 5kl tubular</t>
        </is>
      </c>
      <c r="D632" t="inlineStr">
        <is>
          <t>BOLSA X 5 KL TUBULAR (Hielo El Nevado)</t>
        </is>
      </c>
      <c r="E632" t="n">
        <v>3</v>
      </c>
      <c r="F632" t="n">
        <v>5000</v>
      </c>
      <c r="G632" t="n">
        <v>15000</v>
      </c>
    </row>
    <row r="633">
      <c r="A633" t="n">
        <v>28</v>
      </c>
      <c r="B633" t="inlineStr">
        <is>
          <t>Carnes</t>
        </is>
      </c>
      <c r="C633" t="inlineStr">
        <is>
          <t>Tilapia 350/450</t>
        </is>
      </c>
      <c r="D633" t="inlineStr">
        <is>
          <t>Tilapia Roja (20.15 kg - Frio Sabor)</t>
        </is>
      </c>
      <c r="E633" t="n">
        <v>20.15</v>
      </c>
      <c r="F633" t="n">
        <v>18000</v>
      </c>
      <c r="G633" t="n">
        <v>362700</v>
      </c>
    </row>
    <row r="634">
      <c r="A634" t="n">
        <v>28</v>
      </c>
      <c r="B634" t="inlineStr">
        <is>
          <t>Carnes</t>
        </is>
      </c>
      <c r="C634" t="inlineStr">
        <is>
          <t>Marisco</t>
        </is>
      </c>
      <c r="D634" t="inlineStr">
        <is>
          <t>Mix de Mariscos (5 kg - Frio Sabor)</t>
        </is>
      </c>
      <c r="E634" t="n">
        <v>5</v>
      </c>
      <c r="F634" t="n">
        <v>24000</v>
      </c>
      <c r="G634" t="n">
        <v>120000</v>
      </c>
    </row>
    <row r="635">
      <c r="A635" t="n">
        <v>28</v>
      </c>
      <c r="B635" t="inlineStr">
        <is>
          <t>Bebidas</t>
        </is>
      </c>
      <c r="C635" t="inlineStr">
        <is>
          <t>Bloque media</t>
        </is>
      </c>
      <c r="D635" t="inlineStr">
        <is>
          <t>BLOQUE MEDIA (Hielo El Nevado)</t>
        </is>
      </c>
      <c r="E635" t="n">
        <v>2</v>
      </c>
      <c r="F635" t="n">
        <v>9500</v>
      </c>
      <c r="G635" t="n">
        <v>19000</v>
      </c>
    </row>
    <row r="636">
      <c r="A636" t="n">
        <v>28</v>
      </c>
      <c r="B636" t="inlineStr">
        <is>
          <t>Bebidas</t>
        </is>
      </c>
      <c r="C636" t="inlineStr">
        <is>
          <t>Bolsa 5kl tubular</t>
        </is>
      </c>
      <c r="D636" t="inlineStr">
        <is>
          <t>BOLSA X 5 KL TUBULAR (Hielo El Nevado)</t>
        </is>
      </c>
      <c r="E636" t="n">
        <v>2</v>
      </c>
      <c r="F636" t="n">
        <v>5000</v>
      </c>
      <c r="G636" t="n">
        <v>10000</v>
      </c>
    </row>
    <row r="637">
      <c r="A637" t="n">
        <v>28</v>
      </c>
      <c r="B637" t="inlineStr">
        <is>
          <t>Carnes</t>
        </is>
      </c>
      <c r="C637" t="inlineStr">
        <is>
          <t>Lomo de cerdo</t>
        </is>
      </c>
      <c r="D637" t="inlineStr">
        <is>
          <t>LOMO DE CERDO (Fabian Bonilla)</t>
        </is>
      </c>
      <c r="E637" t="n">
        <v>24.85</v>
      </c>
      <c r="F637" t="n">
        <v>19500</v>
      </c>
      <c r="G637" t="n">
        <v>484575</v>
      </c>
    </row>
    <row r="638">
      <c r="A638" t="n">
        <v>27</v>
      </c>
      <c r="B638" t="inlineStr">
        <is>
          <t>Grano</t>
        </is>
      </c>
      <c r="C638" t="inlineStr">
        <is>
          <t>Knoor</t>
        </is>
      </c>
      <c r="D638" t="inlineStr">
        <is>
          <t>CALDO KNORR*1500g GALLINA (Supertiendas Cañaveral)</t>
        </is>
      </c>
      <c r="E638" t="n">
        <v>1</v>
      </c>
      <c r="F638" t="n">
        <v>47700</v>
      </c>
      <c r="G638" t="n">
        <v>47700</v>
      </c>
    </row>
    <row r="639">
      <c r="A639" t="n">
        <v>27</v>
      </c>
      <c r="B639" t="inlineStr">
        <is>
          <t>Bebidas</t>
        </is>
      </c>
      <c r="C639" t="inlineStr">
        <is>
          <t>Bolsa 5kl tubular</t>
        </is>
      </c>
      <c r="D639" t="inlineStr">
        <is>
          <t>BOLSA X 5 KL TUBULAR (Hielo El Nevado)</t>
        </is>
      </c>
      <c r="E639" t="n">
        <v>4</v>
      </c>
      <c r="F639" t="n">
        <v>5000</v>
      </c>
      <c r="G639" t="n">
        <v>20000</v>
      </c>
    </row>
    <row r="640">
      <c r="A640" t="n">
        <v>27</v>
      </c>
      <c r="B640" t="inlineStr">
        <is>
          <t>Bebidas</t>
        </is>
      </c>
      <c r="C640" t="inlineStr">
        <is>
          <t>Coca cola 1,5 lt pet (12) nvo</t>
        </is>
      </c>
      <c r="D640" t="inlineStr">
        <is>
          <t>COCA COLA 1.5LT PET(12) Nvo (Coca-Cola Femsa)</t>
        </is>
      </c>
      <c r="E640" t="n">
        <v>1</v>
      </c>
      <c r="F640" t="n">
        <v>55772</v>
      </c>
      <c r="G640" t="n">
        <v>55772</v>
      </c>
    </row>
    <row r="641">
      <c r="A641" t="n">
        <v>27</v>
      </c>
      <c r="B641" t="inlineStr">
        <is>
          <t>Bebidas</t>
        </is>
      </c>
      <c r="C641" t="inlineStr">
        <is>
          <t>Coca cola zero 350</t>
        </is>
      </c>
      <c r="D641" t="inlineStr">
        <is>
          <t>COCA COLA ZERO 350ML VR(30)KZ (Coca-Cola Femsa)</t>
        </is>
      </c>
      <c r="E641" t="n">
        <v>1</v>
      </c>
      <c r="F641" t="n">
        <v>52521</v>
      </c>
      <c r="G641" t="n">
        <v>52521</v>
      </c>
    </row>
    <row r="642">
      <c r="A642" t="n">
        <v>27</v>
      </c>
      <c r="B642" t="inlineStr">
        <is>
          <t>Bebidas</t>
        </is>
      </c>
      <c r="C642" t="inlineStr">
        <is>
          <t>Agua con gas</t>
        </is>
      </c>
      <c r="D642" t="inlineStr">
        <is>
          <t>AGUA BRISA GAS PET 600ML (24) (Coca-Cola Femsa)</t>
        </is>
      </c>
      <c r="E642" t="n">
        <v>3</v>
      </c>
      <c r="F642" t="n">
        <v>32000</v>
      </c>
      <c r="G642" t="n">
        <v>96000</v>
      </c>
    </row>
    <row r="643">
      <c r="A643" t="n">
        <v>27</v>
      </c>
      <c r="B643" t="inlineStr">
        <is>
          <t>Bebidas</t>
        </is>
      </c>
      <c r="C643" t="inlineStr">
        <is>
          <t>Brisa 600 ml</t>
        </is>
      </c>
      <c r="D643" t="inlineStr">
        <is>
          <t>AGUA BRISA PET 600ML (24) (Coca-Cola Femsa)</t>
        </is>
      </c>
      <c r="E643" t="n">
        <v>2</v>
      </c>
      <c r="F643" t="n">
        <v>32000</v>
      </c>
      <c r="G643" t="n">
        <v>64000</v>
      </c>
    </row>
    <row r="644">
      <c r="A644" t="n">
        <v>27</v>
      </c>
      <c r="B644" t="inlineStr">
        <is>
          <t>Bebidas</t>
        </is>
      </c>
      <c r="C644" t="inlineStr">
        <is>
          <t>Coca-cola 400 ml pet (24)</t>
        </is>
      </c>
      <c r="D644" t="inlineStr">
        <is>
          <t>COCA-COLA 400ML PET (12) (Coca-Cola Femsa)</t>
        </is>
      </c>
      <c r="E644" t="n">
        <v>5</v>
      </c>
      <c r="F644" t="n">
        <v>25731</v>
      </c>
      <c r="G644" t="n">
        <v>128655</v>
      </c>
    </row>
    <row r="645">
      <c r="A645" t="n">
        <v>26</v>
      </c>
      <c r="B645" t="inlineStr">
        <is>
          <t>Bebidas</t>
        </is>
      </c>
      <c r="C645" t="inlineStr">
        <is>
          <t>Soda bretaña</t>
        </is>
      </c>
      <c r="D645" t="inlineStr">
        <is>
          <t>BRETAÑA 350 ML VIDRIO R X 30 (Postobon)</t>
        </is>
      </c>
      <c r="E645" t="n">
        <v>60</v>
      </c>
      <c r="F645" t="n">
        <v>1916.67</v>
      </c>
      <c r="G645" t="n">
        <v>115000.2</v>
      </c>
    </row>
    <row r="646">
      <c r="A646" t="n">
        <v>28</v>
      </c>
      <c r="B646" t="inlineStr">
        <is>
          <t>Verduras</t>
        </is>
      </c>
      <c r="C646" t="inlineStr">
        <is>
          <t>Platano verde</t>
        </is>
      </c>
      <c r="D646" t="inlineStr">
        <is>
          <t>PLATANO VERDE*KL (Fruver Los Monos)</t>
        </is>
      </c>
      <c r="E646" t="n">
        <v>77</v>
      </c>
      <c r="F646" t="n">
        <v>1600</v>
      </c>
      <c r="G646" t="n">
        <v>123200</v>
      </c>
    </row>
    <row r="647">
      <c r="A647" t="n">
        <v>28</v>
      </c>
      <c r="B647" t="inlineStr">
        <is>
          <t>Verduras</t>
        </is>
      </c>
      <c r="C647" t="inlineStr">
        <is>
          <t>Limon tahiti</t>
        </is>
      </c>
      <c r="D647" t="inlineStr">
        <is>
          <t>LIMON TAHITY*KL (Fruver Los Monos)</t>
        </is>
      </c>
      <c r="E647" t="n">
        <v>70</v>
      </c>
      <c r="F647" t="n">
        <v>2800</v>
      </c>
      <c r="G647" t="n">
        <v>196000</v>
      </c>
    </row>
    <row r="648">
      <c r="A648" t="n">
        <v>28</v>
      </c>
      <c r="B648" t="inlineStr">
        <is>
          <t>Verduras</t>
        </is>
      </c>
      <c r="C648" t="inlineStr">
        <is>
          <t>Lechuga batavia</t>
        </is>
      </c>
      <c r="D648" t="inlineStr">
        <is>
          <t>LECHUGA BATAVIA*KL (Fruver Los Monos)</t>
        </is>
      </c>
      <c r="E648" t="n">
        <v>45</v>
      </c>
      <c r="F648" t="n">
        <v>2500</v>
      </c>
      <c r="G648" t="n">
        <v>112500</v>
      </c>
    </row>
    <row r="649">
      <c r="A649" t="n">
        <v>28</v>
      </c>
      <c r="B649" t="inlineStr">
        <is>
          <t>Verduras</t>
        </is>
      </c>
      <c r="C649" t="inlineStr">
        <is>
          <t>Pimenton</t>
        </is>
      </c>
      <c r="D649" t="inlineStr">
        <is>
          <t>PIMENTON*KL (Fruver Los Monos)</t>
        </is>
      </c>
      <c r="E649" t="n">
        <v>4.6</v>
      </c>
      <c r="F649" t="n">
        <v>2500</v>
      </c>
      <c r="G649" t="n">
        <v>11500</v>
      </c>
    </row>
    <row r="650">
      <c r="A650" t="n">
        <v>28</v>
      </c>
      <c r="B650" t="inlineStr">
        <is>
          <t>Verduras</t>
        </is>
      </c>
      <c r="C650" t="inlineStr">
        <is>
          <t>Pepino comun</t>
        </is>
      </c>
      <c r="D650" t="inlineStr">
        <is>
          <t>PEPINO COMUN*KL (Fruver Los Monos)</t>
        </is>
      </c>
      <c r="E650" t="n">
        <v>4</v>
      </c>
      <c r="F650" t="n">
        <v>3000</v>
      </c>
      <c r="G650" t="n">
        <v>12000</v>
      </c>
    </row>
    <row r="651">
      <c r="A651" t="n">
        <v>28</v>
      </c>
      <c r="B651" t="inlineStr">
        <is>
          <t>Verduras</t>
        </is>
      </c>
      <c r="C651" t="inlineStr">
        <is>
          <t>Tomate milano</t>
        </is>
      </c>
      <c r="D651" t="inlineStr">
        <is>
          <t>TOMATE MILANO*KL (Fruver Los Monos)</t>
        </is>
      </c>
      <c r="E651" t="n">
        <v>3.6</v>
      </c>
      <c r="F651" t="n">
        <v>4500</v>
      </c>
      <c r="G651" t="n">
        <v>16200</v>
      </c>
    </row>
    <row r="652">
      <c r="A652" t="n">
        <v>28</v>
      </c>
      <c r="B652" t="inlineStr">
        <is>
          <t>Verduras</t>
        </is>
      </c>
      <c r="C652" t="inlineStr">
        <is>
          <t>Cebolla cabezona</t>
        </is>
      </c>
      <c r="D652" t="inlineStr">
        <is>
          <t>CEBOLLA CABEZONA*KL (Fruver Los Monos)</t>
        </is>
      </c>
      <c r="E652" t="n">
        <v>7.8</v>
      </c>
      <c r="F652" t="n">
        <v>3000</v>
      </c>
      <c r="G652" t="n">
        <v>23400</v>
      </c>
    </row>
    <row r="653">
      <c r="A653" t="n">
        <v>28</v>
      </c>
      <c r="B653" t="inlineStr">
        <is>
          <t>Verduras</t>
        </is>
      </c>
      <c r="C653" t="inlineStr">
        <is>
          <t>Papa amarilla</t>
        </is>
      </c>
      <c r="D653" t="inlineStr">
        <is>
          <t>PAPA AMARILLA CRIOLLA*KL (Fruver Los Monos)</t>
        </is>
      </c>
      <c r="E653" t="n">
        <v>9.4</v>
      </c>
      <c r="F653" t="n">
        <v>5000</v>
      </c>
      <c r="G653" t="n">
        <v>47000</v>
      </c>
    </row>
    <row r="654">
      <c r="A654" t="n">
        <v>28</v>
      </c>
      <c r="B654" t="inlineStr">
        <is>
          <t>Verduras</t>
        </is>
      </c>
      <c r="C654" t="inlineStr">
        <is>
          <t>Repollo morado</t>
        </is>
      </c>
      <c r="D654" t="inlineStr">
        <is>
          <t>REPOLLO MORADO*KL (Fruver Los Monos)</t>
        </is>
      </c>
      <c r="E654" t="n">
        <v>4.7</v>
      </c>
      <c r="F654" t="n">
        <v>2800</v>
      </c>
      <c r="G654" t="n">
        <v>13160</v>
      </c>
    </row>
    <row r="655">
      <c r="A655" t="n">
        <v>28</v>
      </c>
      <c r="B655" t="inlineStr">
        <is>
          <t>Verduras</t>
        </is>
      </c>
      <c r="C655" t="inlineStr">
        <is>
          <t>Zanahoria</t>
        </is>
      </c>
      <c r="D655" t="inlineStr">
        <is>
          <t>ZANAHORIA*KL (Fruver Los Monos)</t>
        </is>
      </c>
      <c r="E655" t="n">
        <v>9.4</v>
      </c>
      <c r="F655" t="n">
        <v>2500</v>
      </c>
      <c r="G655" t="n">
        <v>23500</v>
      </c>
    </row>
    <row r="656">
      <c r="A656" t="n">
        <v>28</v>
      </c>
      <c r="B656" t="inlineStr">
        <is>
          <t>Verduras</t>
        </is>
      </c>
      <c r="C656" t="inlineStr">
        <is>
          <t>Papa manbera</t>
        </is>
      </c>
      <c r="D656" t="inlineStr">
        <is>
          <t>PAPA MAMBERA*KL (Fruver Los Monos)</t>
        </is>
      </c>
      <c r="E656" t="n">
        <v>9.199999999999999</v>
      </c>
      <c r="F656" t="n">
        <v>3500</v>
      </c>
      <c r="G656" t="n">
        <v>32200</v>
      </c>
    </row>
    <row r="657">
      <c r="A657" t="n">
        <v>28</v>
      </c>
      <c r="B657" t="inlineStr">
        <is>
          <t>Verduras</t>
        </is>
      </c>
      <c r="C657" t="inlineStr">
        <is>
          <t>Platano Promocion</t>
        </is>
      </c>
      <c r="D657" t="inlineStr">
        <is>
          <t>PLATANO PROMOCION*KL (Fruver Los Monos)</t>
        </is>
      </c>
      <c r="E657" t="n">
        <v>56.2</v>
      </c>
      <c r="F657" t="n">
        <v>1000</v>
      </c>
      <c r="G657" t="n">
        <v>56200</v>
      </c>
    </row>
    <row r="658">
      <c r="A658" t="n">
        <v>28</v>
      </c>
      <c r="B658" t="inlineStr">
        <is>
          <t>Verduras</t>
        </is>
      </c>
      <c r="C658" t="inlineStr">
        <is>
          <t>Tomate chonto</t>
        </is>
      </c>
      <c r="D658" t="inlineStr">
        <is>
          <t>TOMATE CHONTO*KL (Fruver Los Monos)</t>
        </is>
      </c>
      <c r="E658" t="n">
        <v>8.800000000000001</v>
      </c>
      <c r="F658" t="n">
        <v>4000</v>
      </c>
      <c r="G658" t="n">
        <v>35200</v>
      </c>
    </row>
    <row r="659">
      <c r="A659" t="n">
        <v>28</v>
      </c>
      <c r="B659" t="inlineStr">
        <is>
          <t>Verduras</t>
        </is>
      </c>
      <c r="C659" t="inlineStr">
        <is>
          <t>Cilantro</t>
        </is>
      </c>
      <c r="D659" t="inlineStr">
        <is>
          <t>CILANTRO (Fruver Los Monos)</t>
        </is>
      </c>
      <c r="E659" t="n">
        <v>4</v>
      </c>
      <c r="F659" t="n">
        <v>9000</v>
      </c>
      <c r="G659" t="n">
        <v>36000</v>
      </c>
    </row>
    <row r="660">
      <c r="A660" t="n">
        <v>28</v>
      </c>
      <c r="B660" t="inlineStr">
        <is>
          <t>Verduras</t>
        </is>
      </c>
      <c r="C660" t="inlineStr">
        <is>
          <t>Papa Capira bulto</t>
        </is>
      </c>
      <c r="D660" t="inlineStr">
        <is>
          <t>PAPA CAPIRA BULTO*UND (Fruver Los Monos)</t>
        </is>
      </c>
      <c r="E660" t="n">
        <v>1</v>
      </c>
      <c r="F660" t="n">
        <v>105000</v>
      </c>
      <c r="G660" t="n">
        <v>105000</v>
      </c>
    </row>
    <row r="661">
      <c r="A661" t="n">
        <v>28</v>
      </c>
      <c r="B661" t="inlineStr">
        <is>
          <t>Verduras</t>
        </is>
      </c>
      <c r="C661" t="inlineStr">
        <is>
          <t>Tomillo</t>
        </is>
      </c>
      <c r="D661" t="inlineStr">
        <is>
          <t>TOMILLO (Fruver Los Monos)</t>
        </is>
      </c>
      <c r="E661" t="n">
        <v>1</v>
      </c>
      <c r="F661" t="n">
        <v>8000</v>
      </c>
      <c r="G661" t="n">
        <v>8000</v>
      </c>
    </row>
    <row r="662">
      <c r="A662" t="n">
        <v>28</v>
      </c>
      <c r="B662" t="inlineStr">
        <is>
          <t>Verduras</t>
        </is>
      </c>
      <c r="C662" t="inlineStr">
        <is>
          <t>Cebolla Larga Atado</t>
        </is>
      </c>
      <c r="D662" t="inlineStr">
        <is>
          <t>CEBOLLA LARGA ATADO (Fruver Los Monos)</t>
        </is>
      </c>
      <c r="E662" t="n">
        <v>1</v>
      </c>
      <c r="F662" t="n">
        <v>70000</v>
      </c>
      <c r="G662" t="n">
        <v>70000</v>
      </c>
    </row>
    <row r="663">
      <c r="A663" t="n">
        <v>28</v>
      </c>
      <c r="B663" t="inlineStr">
        <is>
          <t>Verduras</t>
        </is>
      </c>
      <c r="C663" t="inlineStr">
        <is>
          <t>Zapayo</t>
        </is>
      </c>
      <c r="D663" t="inlineStr">
        <is>
          <t>ZAPAYO*KL (Fruver Los Monos)</t>
        </is>
      </c>
      <c r="E663" t="n">
        <v>18.4</v>
      </c>
      <c r="F663" t="n">
        <v>1400</v>
      </c>
      <c r="G663" t="n">
        <v>25760</v>
      </c>
    </row>
    <row r="664">
      <c r="A664" t="n">
        <v>28</v>
      </c>
      <c r="B664" t="inlineStr">
        <is>
          <t>Verduras</t>
        </is>
      </c>
      <c r="C664" t="inlineStr">
        <is>
          <t>Alverjas verdes</t>
        </is>
      </c>
      <c r="D664" t="inlineStr">
        <is>
          <t>ARVEJA VERDE*KL (Fruver Los Monos)</t>
        </is>
      </c>
      <c r="E664" t="n">
        <v>4.3</v>
      </c>
      <c r="F664" t="n">
        <v>15000</v>
      </c>
      <c r="G664" t="n">
        <v>64500</v>
      </c>
    </row>
    <row r="665">
      <c r="A665" t="n">
        <v>28</v>
      </c>
      <c r="B665" t="inlineStr">
        <is>
          <t>Verduras</t>
        </is>
      </c>
      <c r="C665" t="inlineStr">
        <is>
          <t>Platano maduro</t>
        </is>
      </c>
      <c r="D665" t="inlineStr">
        <is>
          <t>PLATANO MADURO*KL (Fruver Los Monos)</t>
        </is>
      </c>
      <c r="E665" t="n">
        <v>37</v>
      </c>
      <c r="F665" t="n">
        <v>1600</v>
      </c>
      <c r="G665" t="n">
        <v>59200</v>
      </c>
    </row>
    <row r="666">
      <c r="A666" t="n">
        <v>28</v>
      </c>
      <c r="B666" t="inlineStr">
        <is>
          <t>Verduras</t>
        </is>
      </c>
      <c r="C666" t="inlineStr">
        <is>
          <t>Papa pollera</t>
        </is>
      </c>
      <c r="D666" t="inlineStr">
        <is>
          <t>PAPA POYERA KI (Fruver Los Monos)</t>
        </is>
      </c>
      <c r="E666" t="n">
        <v>31</v>
      </c>
      <c r="F666" t="n">
        <v>1800</v>
      </c>
      <c r="G666" t="n">
        <v>55800</v>
      </c>
    </row>
    <row r="667">
      <c r="A667" t="n">
        <v>28</v>
      </c>
      <c r="B667" t="inlineStr">
        <is>
          <t>Verduras</t>
        </is>
      </c>
      <c r="C667" t="inlineStr">
        <is>
          <t>Mazorca</t>
        </is>
      </c>
      <c r="D667" t="inlineStr">
        <is>
          <t>MAZORCA*UND (Fruver Los Monos)</t>
        </is>
      </c>
      <c r="E667" t="n">
        <v>30</v>
      </c>
      <c r="F667" t="n">
        <v>1200</v>
      </c>
      <c r="G667" t="n">
        <v>36000</v>
      </c>
    </row>
    <row r="668">
      <c r="A668" t="n">
        <v>24</v>
      </c>
      <c r="B668" t="inlineStr">
        <is>
          <t>Desechables</t>
        </is>
      </c>
      <c r="C668" t="inlineStr">
        <is>
          <t>Contenedor 8 onz.</t>
        </is>
      </c>
      <c r="D668" t="inlineStr">
        <is>
          <t>CONTENEDOR 8 ONZ X 20X27 TT WAU (Doña Mary)</t>
        </is>
      </c>
      <c r="E668" t="n">
        <v>10</v>
      </c>
      <c r="F668" t="n">
        <v>10000</v>
      </c>
      <c r="G668" t="n">
        <v>100000</v>
      </c>
    </row>
    <row r="669">
      <c r="A669" t="n">
        <v>24</v>
      </c>
      <c r="B669" t="inlineStr">
        <is>
          <t>Desechables</t>
        </is>
      </c>
      <c r="C669" t="inlineStr">
        <is>
          <t>Cubierto grande x 3 cja x 28pq x 50un</t>
        </is>
      </c>
      <c r="D669" t="inlineStr">
        <is>
          <t>CUBIERTO GRANDE X 3 CJA X 28PQ X 50UN (Doña Mary)</t>
        </is>
      </c>
      <c r="E669" t="n">
        <v>200</v>
      </c>
      <c r="F669" t="n">
        <v>390</v>
      </c>
      <c r="G669" t="n">
        <v>78000</v>
      </c>
    </row>
    <row r="670">
      <c r="A670" t="n">
        <v>24</v>
      </c>
      <c r="B670" t="inlineStr">
        <is>
          <t>Desechables</t>
        </is>
      </c>
      <c r="C670" t="inlineStr">
        <is>
          <t>Porta comida j-2</t>
        </is>
      </c>
      <c r="D670" t="inlineStr">
        <is>
          <t>PORTACOMIDA J2 X 200 WAU (Doña Mary)</t>
        </is>
      </c>
      <c r="E670" t="n">
        <v>200</v>
      </c>
      <c r="F670" t="n">
        <v>440</v>
      </c>
      <c r="G670" t="n">
        <v>88000</v>
      </c>
    </row>
    <row r="671">
      <c r="A671" t="n">
        <v>24</v>
      </c>
      <c r="B671" t="inlineStr">
        <is>
          <t>Desechables</t>
        </is>
      </c>
      <c r="C671" t="inlineStr">
        <is>
          <t>Tapa vaso 3.5</t>
        </is>
      </c>
      <c r="D671" t="inlineStr">
        <is>
          <t>TAPA VASO 3,5 Y 7 ONZ WAU X 50 X 90 (Doña Mary)</t>
        </is>
      </c>
      <c r="E671" t="n">
        <v>3</v>
      </c>
      <c r="F671" t="n">
        <v>4850</v>
      </c>
      <c r="G671" t="n">
        <v>14550</v>
      </c>
    </row>
    <row r="672">
      <c r="A672" t="n">
        <v>24</v>
      </c>
      <c r="B672" t="inlineStr">
        <is>
          <t>Desechables</t>
        </is>
      </c>
      <c r="C672" t="inlineStr">
        <is>
          <t>Vasote 3.5 tansl x 50 x 60</t>
        </is>
      </c>
      <c r="D672" t="inlineStr">
        <is>
          <t>VASOTE 3.5 TANSL X 50 X 60 (Doña Mary)</t>
        </is>
      </c>
      <c r="E672" t="n">
        <v>3</v>
      </c>
      <c r="F672" t="n">
        <v>2750</v>
      </c>
      <c r="G672" t="n">
        <v>8250</v>
      </c>
    </row>
    <row r="673">
      <c r="A673" t="n">
        <v>22</v>
      </c>
      <c r="B673" t="inlineStr">
        <is>
          <t>Carnes</t>
        </is>
      </c>
      <c r="C673" t="inlineStr">
        <is>
          <t>Filete de pechuga</t>
        </is>
      </c>
      <c r="D673" t="inlineStr">
        <is>
          <t>FILETE DE POLLO X 350G (Alexis Valencia - Fact 905)</t>
        </is>
      </c>
      <c r="E673" t="n">
        <v>24.5</v>
      </c>
      <c r="F673" t="n">
        <v>18500</v>
      </c>
      <c r="G673" t="n">
        <v>453250</v>
      </c>
    </row>
    <row r="674">
      <c r="A674" t="n">
        <v>26</v>
      </c>
      <c r="B674" t="inlineStr">
        <is>
          <t>Carnes</t>
        </is>
      </c>
      <c r="C674" t="inlineStr">
        <is>
          <t>Pernil con rabadilla</t>
        </is>
      </c>
      <c r="D674" t="inlineStr">
        <is>
          <t>PERNIL DE POLLO CAMPO (Alexis Valencia - Fact 912)</t>
        </is>
      </c>
      <c r="E674" t="n">
        <v>38.7</v>
      </c>
      <c r="F674" t="n">
        <v>7500</v>
      </c>
      <c r="G674" t="n">
        <v>290250</v>
      </c>
    </row>
    <row r="675">
      <c r="A675" t="n">
        <v>25</v>
      </c>
      <c r="B675" t="inlineStr">
        <is>
          <t>Carnes</t>
        </is>
      </c>
      <c r="C675" t="inlineStr">
        <is>
          <t>Filete de pechuga</t>
        </is>
      </c>
      <c r="D675" t="inlineStr">
        <is>
          <t>FILETE DE POLLO X 350G (Alexis Valencia - Fact 911)</t>
        </is>
      </c>
      <c r="E675" t="n">
        <v>14</v>
      </c>
      <c r="F675" t="n">
        <v>18500</v>
      </c>
      <c r="G675" t="n">
        <v>259000</v>
      </c>
    </row>
    <row r="676">
      <c r="A676" t="n">
        <v>25</v>
      </c>
      <c r="B676" t="inlineStr">
        <is>
          <t>Carnes</t>
        </is>
      </c>
      <c r="C676" t="inlineStr">
        <is>
          <t>Pernil con rabadilla</t>
        </is>
      </c>
      <c r="D676" t="inlineStr">
        <is>
          <t>PERNIL DE POLLO CAMPO (Alexis Valencia - Fact 911)</t>
        </is>
      </c>
      <c r="E676" t="n">
        <v>17.9</v>
      </c>
      <c r="F676" t="n">
        <v>7500</v>
      </c>
      <c r="G676" t="n">
        <v>134250</v>
      </c>
    </row>
    <row r="677">
      <c r="A677" t="n">
        <v>19</v>
      </c>
      <c r="B677" t="inlineStr">
        <is>
          <t>Carnes</t>
        </is>
      </c>
      <c r="C677" t="inlineStr">
        <is>
          <t>Filete de pechuga</t>
        </is>
      </c>
      <c r="D677" t="inlineStr">
        <is>
          <t>FILETE DE POLLO X 350G (Alexis Valencia - Fact 902)</t>
        </is>
      </c>
      <c r="E677" t="n">
        <v>14.6</v>
      </c>
      <c r="F677" t="n">
        <v>18500</v>
      </c>
      <c r="G677" t="n">
        <v>270100</v>
      </c>
    </row>
    <row r="678">
      <c r="A678" t="n">
        <v>28</v>
      </c>
      <c r="B678" t="inlineStr">
        <is>
          <t>Carnes</t>
        </is>
      </c>
      <c r="C678" t="inlineStr">
        <is>
          <t>Sobaco</t>
        </is>
      </c>
      <c r="D678" t="inlineStr">
        <is>
          <t>SOBACO (Carnes Los Monos - YP24089)</t>
        </is>
      </c>
      <c r="E678" t="n">
        <v>23.2</v>
      </c>
      <c r="F678" t="n">
        <v>25900</v>
      </c>
      <c r="G678" t="n">
        <v>600880</v>
      </c>
    </row>
    <row r="679">
      <c r="A679" t="n">
        <v>28</v>
      </c>
      <c r="B679" t="inlineStr">
        <is>
          <t>Carnes</t>
        </is>
      </c>
      <c r="C679" t="inlineStr">
        <is>
          <t>Sobrebarriga</t>
        </is>
      </c>
      <c r="D679" t="inlineStr">
        <is>
          <t>SOBREBARRIGA DELGADA (Carnes Los Monos - YP24089)</t>
        </is>
      </c>
      <c r="E679" t="n">
        <v>17.05</v>
      </c>
      <c r="F679" t="n">
        <v>34500</v>
      </c>
      <c r="G679" t="n">
        <v>588225</v>
      </c>
    </row>
    <row r="680">
      <c r="A680" t="n">
        <v>28</v>
      </c>
      <c r="B680" t="inlineStr">
        <is>
          <t>Carnes</t>
        </is>
      </c>
      <c r="C680" t="inlineStr">
        <is>
          <t>Tocino barril</t>
        </is>
      </c>
      <c r="D680" t="inlineStr">
        <is>
          <t>TOCINETA BARRIL (Carnes Los Monos - YP24089)</t>
        </is>
      </c>
      <c r="E680" t="n">
        <v>127.35</v>
      </c>
      <c r="F680" t="n">
        <v>21900</v>
      </c>
      <c r="G680" t="n">
        <v>2788965</v>
      </c>
    </row>
    <row r="681">
      <c r="A681" t="n">
        <v>28</v>
      </c>
      <c r="B681" t="inlineStr">
        <is>
          <t>Carnes</t>
        </is>
      </c>
      <c r="C681" t="inlineStr">
        <is>
          <t>Camaron precocido</t>
        </is>
      </c>
      <c r="D681" t="inlineStr">
        <is>
          <t>CAMARON DE CULTIVO PRECOCIDO 91-110P (Carnes Los Monos - YP24089)</t>
        </is>
      </c>
      <c r="E681" t="n">
        <v>19.7</v>
      </c>
      <c r="F681" t="n">
        <v>22900</v>
      </c>
      <c r="G681" t="n">
        <v>451130</v>
      </c>
    </row>
    <row r="682">
      <c r="A682" t="n">
        <v>28</v>
      </c>
      <c r="B682" t="inlineStr">
        <is>
          <t>Verduras</t>
        </is>
      </c>
      <c r="C682" t="inlineStr">
        <is>
          <t>Zapayo</t>
        </is>
      </c>
      <c r="D682" t="inlineStr">
        <is>
          <t>MIX DE VERDURAS PAQ X 1000G (Carnes Los Monos - YP24089)</t>
        </is>
      </c>
      <c r="E682" t="n">
        <v>10</v>
      </c>
      <c r="F682" t="n">
        <v>10100</v>
      </c>
      <c r="G682" t="n">
        <v>101000</v>
      </c>
    </row>
    <row r="683">
      <c r="A683" t="n">
        <v>28</v>
      </c>
      <c r="B683" t="inlineStr">
        <is>
          <t>Verduras</t>
        </is>
      </c>
      <c r="C683" t="inlineStr">
        <is>
          <t>Papa a la francesa paq 2.5 kl</t>
        </is>
      </c>
      <c r="D683" t="inlineStr">
        <is>
          <t>PAPA A LA FRANCESA PAQ 2.5 KL (Carnes Los Monos - YP24089)</t>
        </is>
      </c>
      <c r="E683" t="n">
        <v>16</v>
      </c>
      <c r="F683" t="n">
        <v>19500</v>
      </c>
      <c r="G683" t="n">
        <v>312000</v>
      </c>
    </row>
    <row r="684">
      <c r="A684" t="n">
        <v>28</v>
      </c>
      <c r="B684" t="inlineStr">
        <is>
          <t>Carnes</t>
        </is>
      </c>
      <c r="C684" t="inlineStr">
        <is>
          <t>Lengua</t>
        </is>
      </c>
      <c r="D684" t="inlineStr">
        <is>
          <t>LENGUA DE RES IMP X KL (Carnes Los Monos - YP24089)</t>
        </is>
      </c>
      <c r="E684" t="n">
        <v>25.15</v>
      </c>
      <c r="F684" t="n">
        <v>23900</v>
      </c>
      <c r="G684" t="n">
        <v>601085</v>
      </c>
    </row>
    <row r="685">
      <c r="A685" t="n">
        <v>28</v>
      </c>
      <c r="B685" t="inlineStr">
        <is>
          <t>Carnes</t>
        </is>
      </c>
      <c r="C685" t="inlineStr">
        <is>
          <t>Morrillo</t>
        </is>
      </c>
      <c r="D685" t="inlineStr">
        <is>
          <t>MORRILLO DE RES (Carnes Los Monos - YP24089)</t>
        </is>
      </c>
      <c r="E685" t="n">
        <v>19.23</v>
      </c>
      <c r="F685" t="n">
        <v>26900</v>
      </c>
      <c r="G685" t="n">
        <v>517287</v>
      </c>
    </row>
    <row r="686">
      <c r="A686" t="n">
        <v>28</v>
      </c>
      <c r="B686" t="inlineStr">
        <is>
          <t>Carnes</t>
        </is>
      </c>
      <c r="C686" t="inlineStr">
        <is>
          <t>Punta de anca</t>
        </is>
      </c>
      <c r="D686" t="inlineStr">
        <is>
          <t>PUNTA DE ANCA IMP PORC. PARRILLA (Carnes Los Monos - YP24089)</t>
        </is>
      </c>
      <c r="E686" t="n">
        <v>20.05</v>
      </c>
      <c r="F686" t="n">
        <v>44000</v>
      </c>
      <c r="G686" t="n">
        <v>882200</v>
      </c>
    </row>
    <row r="687">
      <c r="A687" t="n">
        <v>28</v>
      </c>
      <c r="B687" t="inlineStr">
        <is>
          <t>Carnes</t>
        </is>
      </c>
      <c r="C687" t="inlineStr">
        <is>
          <t>Lomo caracho</t>
        </is>
      </c>
      <c r="D687" t="inlineStr">
        <is>
          <t>LOMO CARACHO PORCIONADO PARRILLA (Carnes Los Monos - YP24089)</t>
        </is>
      </c>
      <c r="E687" t="n">
        <v>22.55</v>
      </c>
      <c r="F687" t="n">
        <v>44000</v>
      </c>
      <c r="G687" t="n">
        <v>992200</v>
      </c>
    </row>
    <row r="688">
      <c r="A688" t="n">
        <v>14</v>
      </c>
      <c r="B688" t="inlineStr">
        <is>
          <t>Verduras</t>
        </is>
      </c>
      <c r="C688" t="inlineStr">
        <is>
          <t>Platano maduro</t>
        </is>
      </c>
      <c r="D688" t="inlineStr">
        <is>
          <t>PLATANO MADURO*KL (Fruver Los Monos - FEFM 5700)</t>
        </is>
      </c>
      <c r="E688" t="n">
        <v>91</v>
      </c>
      <c r="F688" t="n">
        <v>1000</v>
      </c>
      <c r="G688" t="n">
        <v>91000</v>
      </c>
    </row>
    <row r="689">
      <c r="A689" t="n">
        <v>14</v>
      </c>
      <c r="B689" t="inlineStr">
        <is>
          <t>Verduras</t>
        </is>
      </c>
      <c r="C689" t="inlineStr">
        <is>
          <t>Papa Capira bulto</t>
        </is>
      </c>
      <c r="D689" t="inlineStr">
        <is>
          <t>PAPA CAPIRA BULTO*UND (Fruver Los Monos - FEFM 5700)</t>
        </is>
      </c>
      <c r="E689" t="n">
        <v>1</v>
      </c>
      <c r="F689" t="n">
        <v>105000</v>
      </c>
      <c r="G689" t="n">
        <v>105000</v>
      </c>
    </row>
    <row r="690">
      <c r="A690" t="n">
        <v>14</v>
      </c>
      <c r="B690" t="inlineStr">
        <is>
          <t>Verduras</t>
        </is>
      </c>
      <c r="C690" t="inlineStr">
        <is>
          <t>Lechuga batavia</t>
        </is>
      </c>
      <c r="D690" t="inlineStr">
        <is>
          <t>LECHUGA BATAVIA*KL (Fruver Los Monos - FEFM 5700)</t>
        </is>
      </c>
      <c r="E690" t="n">
        <v>27.4</v>
      </c>
      <c r="F690" t="n">
        <v>2800</v>
      </c>
      <c r="G690" t="n">
        <v>76720</v>
      </c>
    </row>
    <row r="691">
      <c r="A691" t="n">
        <v>14</v>
      </c>
      <c r="B691" t="inlineStr">
        <is>
          <t>Verduras</t>
        </is>
      </c>
      <c r="C691" t="inlineStr">
        <is>
          <t>Papa amarilla</t>
        </is>
      </c>
      <c r="D691" t="inlineStr">
        <is>
          <t>PAPA AMARILLA CRIOLLA*KL (Fruver Los Monos - FEFM 5700)</t>
        </is>
      </c>
      <c r="E691" t="n">
        <v>5</v>
      </c>
      <c r="F691" t="n">
        <v>5500</v>
      </c>
      <c r="G691" t="n">
        <v>27500</v>
      </c>
    </row>
    <row r="692">
      <c r="A692" t="n">
        <v>14</v>
      </c>
      <c r="B692" t="inlineStr">
        <is>
          <t>Verduras</t>
        </is>
      </c>
      <c r="C692" t="inlineStr">
        <is>
          <t>Apio</t>
        </is>
      </c>
      <c r="D692" t="inlineStr">
        <is>
          <t>APIO*KL (Fruver Los Monos - FEFM 5700)</t>
        </is>
      </c>
      <c r="E692" t="n">
        <v>3.7</v>
      </c>
      <c r="F692" t="n">
        <v>2500</v>
      </c>
      <c r="G692" t="n">
        <v>9250</v>
      </c>
    </row>
    <row r="693">
      <c r="A693" t="n">
        <v>14</v>
      </c>
      <c r="B693" t="inlineStr">
        <is>
          <t>Verduras</t>
        </is>
      </c>
      <c r="C693" t="inlineStr">
        <is>
          <t>Tomate milano</t>
        </is>
      </c>
      <c r="D693" t="inlineStr">
        <is>
          <t>TOMATE MILANO*KL (Fruver Los Monos - FEFM 5700)</t>
        </is>
      </c>
      <c r="E693" t="n">
        <v>5</v>
      </c>
      <c r="F693" t="n">
        <v>4500</v>
      </c>
      <c r="G693" t="n">
        <v>22500</v>
      </c>
    </row>
    <row r="694">
      <c r="A694" t="n">
        <v>14</v>
      </c>
      <c r="B694" t="inlineStr">
        <is>
          <t>Verduras</t>
        </is>
      </c>
      <c r="C694" t="inlineStr">
        <is>
          <t>Zanahoria</t>
        </is>
      </c>
      <c r="D694" t="inlineStr">
        <is>
          <t>ZANAHORIA*KL (Fruver Los Monos - FEFM 5700)</t>
        </is>
      </c>
      <c r="E694" t="n">
        <v>8.4</v>
      </c>
      <c r="F694" t="n">
        <v>2000</v>
      </c>
      <c r="G694" t="n">
        <v>16800</v>
      </c>
    </row>
    <row r="695">
      <c r="A695" t="n">
        <v>14</v>
      </c>
      <c r="B695" t="inlineStr">
        <is>
          <t>Verduras</t>
        </is>
      </c>
      <c r="C695" t="inlineStr">
        <is>
          <t>Pepino comun</t>
        </is>
      </c>
      <c r="D695" t="inlineStr">
        <is>
          <t>PEPINO COMUN*KL (Fruver Los Monos - FEFM 5700)</t>
        </is>
      </c>
      <c r="E695" t="n">
        <v>4.1</v>
      </c>
      <c r="F695" t="n">
        <v>3000</v>
      </c>
      <c r="G695" t="n">
        <v>12300</v>
      </c>
    </row>
    <row r="696">
      <c r="A696" t="n">
        <v>14</v>
      </c>
      <c r="B696" t="inlineStr">
        <is>
          <t>Verduras</t>
        </is>
      </c>
      <c r="C696" t="inlineStr">
        <is>
          <t>Cebolla cabezona</t>
        </is>
      </c>
      <c r="D696" t="inlineStr">
        <is>
          <t>CEBOLLA CABEZONA*KL (Fruver Los Monos - FEFM 5700)</t>
        </is>
      </c>
      <c r="E696" t="n">
        <v>9</v>
      </c>
      <c r="F696" t="n">
        <v>3000</v>
      </c>
      <c r="G696" t="n">
        <v>27000</v>
      </c>
    </row>
    <row r="697">
      <c r="A697" t="n">
        <v>14</v>
      </c>
      <c r="B697" t="inlineStr">
        <is>
          <t>Verduras</t>
        </is>
      </c>
      <c r="C697" t="inlineStr">
        <is>
          <t>Repollo morado</t>
        </is>
      </c>
      <c r="D697" t="inlineStr">
        <is>
          <t>REPOLLO MORADO*KL (Fruver Los Monos - FEFM 5700)</t>
        </is>
      </c>
      <c r="E697" t="n">
        <v>2.3</v>
      </c>
      <c r="F697" t="n">
        <v>2000</v>
      </c>
      <c r="G697" t="n">
        <v>4600</v>
      </c>
    </row>
    <row r="698">
      <c r="A698" t="n">
        <v>14</v>
      </c>
      <c r="B698" t="inlineStr">
        <is>
          <t>Verduras</t>
        </is>
      </c>
      <c r="C698" t="inlineStr">
        <is>
          <t>Papa parda</t>
        </is>
      </c>
      <c r="D698" t="inlineStr">
        <is>
          <t>PAPA PARDA*KL (Fruver Los Monos - FEFM 5700)</t>
        </is>
      </c>
      <c r="E698" t="n">
        <v>24</v>
      </c>
      <c r="F698" t="n">
        <v>2000</v>
      </c>
      <c r="G698" t="n">
        <v>48000</v>
      </c>
    </row>
    <row r="699">
      <c r="A699" t="n">
        <v>14</v>
      </c>
      <c r="B699" t="inlineStr">
        <is>
          <t>Verduras</t>
        </is>
      </c>
      <c r="C699" t="inlineStr">
        <is>
          <t>Manzana</t>
        </is>
      </c>
      <c r="D699" t="inlineStr">
        <is>
          <t>MANZANA GALA*UND (Fruver Los Monos - FEFM 5700)</t>
        </is>
      </c>
      <c r="E699" t="n">
        <v>30</v>
      </c>
      <c r="F699" t="n">
        <v>1200</v>
      </c>
      <c r="G699" t="n">
        <v>36000</v>
      </c>
    </row>
    <row r="700">
      <c r="A700" t="n">
        <v>14</v>
      </c>
      <c r="B700" t="inlineStr">
        <is>
          <t>Verduras</t>
        </is>
      </c>
      <c r="C700" t="inlineStr">
        <is>
          <t>Perejil</t>
        </is>
      </c>
      <c r="D700" t="inlineStr">
        <is>
          <t>PEREJIL POR ATADO (Fruver Los Monos - FEFM 5700)</t>
        </is>
      </c>
      <c r="E700" t="n">
        <v>1</v>
      </c>
      <c r="F700" t="n">
        <v>10000</v>
      </c>
      <c r="G700" t="n">
        <v>10000</v>
      </c>
    </row>
    <row r="701">
      <c r="A701" t="n">
        <v>14</v>
      </c>
      <c r="B701" t="inlineStr">
        <is>
          <t>Verduras</t>
        </is>
      </c>
      <c r="C701" t="inlineStr">
        <is>
          <t>Cilantro</t>
        </is>
      </c>
      <c r="D701" t="inlineStr">
        <is>
          <t>CILANTRO (Fruver Los Monos - FEFM 5700)</t>
        </is>
      </c>
      <c r="E701" t="n">
        <v>4</v>
      </c>
      <c r="F701" t="n">
        <v>8000</v>
      </c>
      <c r="G701" t="n">
        <v>32000</v>
      </c>
    </row>
    <row r="702">
      <c r="A702" t="n">
        <v>14</v>
      </c>
      <c r="B702" t="inlineStr">
        <is>
          <t>Verduras</t>
        </is>
      </c>
      <c r="C702" t="inlineStr">
        <is>
          <t>Tomillo</t>
        </is>
      </c>
      <c r="D702" t="inlineStr">
        <is>
          <t>TOMILLO (Fruver Los Monos - FEFM 5700)</t>
        </is>
      </c>
      <c r="E702" t="n">
        <v>1</v>
      </c>
      <c r="F702" t="n">
        <v>10000</v>
      </c>
      <c r="G702" t="n">
        <v>10000</v>
      </c>
    </row>
    <row r="703">
      <c r="A703" t="n">
        <v>14</v>
      </c>
      <c r="B703" t="inlineStr">
        <is>
          <t>Verduras</t>
        </is>
      </c>
      <c r="C703" t="inlineStr">
        <is>
          <t>Cebolla Larga Atado</t>
        </is>
      </c>
      <c r="D703" t="inlineStr">
        <is>
          <t>CEBOLLA LARGA ATADO (Fruver Los Monos - FEFM 5700)</t>
        </is>
      </c>
      <c r="E703" t="n">
        <v>1</v>
      </c>
      <c r="F703" t="n">
        <v>60000</v>
      </c>
      <c r="G703" t="n">
        <v>60000</v>
      </c>
    </row>
    <row r="704">
      <c r="A704" t="n">
        <v>14</v>
      </c>
      <c r="B704" t="inlineStr">
        <is>
          <t>Verduras</t>
        </is>
      </c>
      <c r="C704" t="inlineStr">
        <is>
          <t>Limon tahiti</t>
        </is>
      </c>
      <c r="D704" t="inlineStr">
        <is>
          <t>LIMON TAHITY*KL (Fruver Los Monos - FEFM 5700)</t>
        </is>
      </c>
      <c r="E704" t="n">
        <v>60</v>
      </c>
      <c r="F704" t="n">
        <v>2500</v>
      </c>
      <c r="G704" t="n">
        <v>150000</v>
      </c>
    </row>
    <row r="705">
      <c r="A705" t="n">
        <v>14</v>
      </c>
      <c r="B705" t="inlineStr">
        <is>
          <t>Verduras</t>
        </is>
      </c>
      <c r="C705" t="inlineStr">
        <is>
          <t>Carbon</t>
        </is>
      </c>
      <c r="D705" t="inlineStr">
        <is>
          <t>CAARBON BULTO (Fruver Los Monos - FEFM 5700)</t>
        </is>
      </c>
      <c r="E705" t="n">
        <v>1</v>
      </c>
      <c r="F705" t="n">
        <v>43000</v>
      </c>
      <c r="G705" t="n">
        <v>43000</v>
      </c>
    </row>
    <row r="706">
      <c r="A706" t="n">
        <v>14</v>
      </c>
      <c r="B706" t="inlineStr">
        <is>
          <t>Verduras</t>
        </is>
      </c>
      <c r="C706" t="inlineStr">
        <is>
          <t>Platano verde</t>
        </is>
      </c>
      <c r="D706" t="inlineStr">
        <is>
          <t>PLATANO VERDE*KL (Fruver Los Monos - FEFM 5700)</t>
        </is>
      </c>
      <c r="E706" t="n">
        <v>63</v>
      </c>
      <c r="F706" t="n">
        <v>1500</v>
      </c>
      <c r="G706" t="n">
        <v>94500</v>
      </c>
    </row>
    <row r="707">
      <c r="A707" t="n">
        <v>20</v>
      </c>
      <c r="B707" t="inlineStr">
        <is>
          <t>Verduras</t>
        </is>
      </c>
      <c r="C707" t="inlineStr">
        <is>
          <t>Platano maduro</t>
        </is>
      </c>
      <c r="D707" t="inlineStr">
        <is>
          <t>PLATANO MADURO*KL (Fruver Los Monos - FEFM 5701)</t>
        </is>
      </c>
      <c r="E707" t="n">
        <v>38</v>
      </c>
      <c r="F707" t="n">
        <v>1400</v>
      </c>
      <c r="G707" t="n">
        <v>53200</v>
      </c>
    </row>
    <row r="708">
      <c r="A708" t="n">
        <v>20</v>
      </c>
      <c r="B708" t="inlineStr">
        <is>
          <t>Verduras</t>
        </is>
      </c>
      <c r="C708" t="inlineStr">
        <is>
          <t>Platano verde</t>
        </is>
      </c>
      <c r="D708" t="inlineStr">
        <is>
          <t>PLATANO VERDE*KL (Fruver Los Monos - FEFM 5701)</t>
        </is>
      </c>
      <c r="E708" t="n">
        <v>79</v>
      </c>
      <c r="F708" t="n">
        <v>1500</v>
      </c>
      <c r="G708" t="n">
        <v>118500</v>
      </c>
    </row>
    <row r="709">
      <c r="A709" t="n">
        <v>20</v>
      </c>
      <c r="B709" t="inlineStr">
        <is>
          <t>Verduras</t>
        </is>
      </c>
      <c r="C709" t="inlineStr">
        <is>
          <t>Papa Capira bulto</t>
        </is>
      </c>
      <c r="D709" t="inlineStr">
        <is>
          <t>PAPA CAPIRA BULTO*UND (Fruver Los Monos - FEFM 5701)</t>
        </is>
      </c>
      <c r="E709" t="n">
        <v>0.5</v>
      </c>
      <c r="F709" t="n">
        <v>100000</v>
      </c>
      <c r="G709" t="n">
        <v>50000</v>
      </c>
    </row>
    <row r="710">
      <c r="A710" t="n">
        <v>20</v>
      </c>
      <c r="B710" t="inlineStr">
        <is>
          <t>Verduras</t>
        </is>
      </c>
      <c r="C710" t="inlineStr">
        <is>
          <t>Cebolla cabezona</t>
        </is>
      </c>
      <c r="D710" t="inlineStr">
        <is>
          <t>CEBOLLA CABEZONA*KL (Fruver Los Monos - FEFM 5701)</t>
        </is>
      </c>
      <c r="E710" t="n">
        <v>12</v>
      </c>
      <c r="F710" t="n">
        <v>3400</v>
      </c>
      <c r="G710" t="n">
        <v>40800</v>
      </c>
    </row>
    <row r="711">
      <c r="A711" t="n">
        <v>20</v>
      </c>
      <c r="B711" t="inlineStr">
        <is>
          <t>Verduras</t>
        </is>
      </c>
      <c r="C711" t="inlineStr">
        <is>
          <t>Papa amarilla</t>
        </is>
      </c>
      <c r="D711" t="inlineStr">
        <is>
          <t>PAPA AMARILLA CRIOLLA*KL (Fruver Los Monos - FEFM 5701)</t>
        </is>
      </c>
      <c r="E711" t="n">
        <v>8.199999999999999</v>
      </c>
      <c r="F711" t="n">
        <v>5500</v>
      </c>
      <c r="G711" t="n">
        <v>45100</v>
      </c>
    </row>
    <row r="712">
      <c r="A712" t="n">
        <v>20</v>
      </c>
      <c r="B712" t="inlineStr">
        <is>
          <t>Verduras</t>
        </is>
      </c>
      <c r="C712" t="inlineStr">
        <is>
          <t>Zanahoria</t>
        </is>
      </c>
      <c r="D712" t="inlineStr">
        <is>
          <t>ZANAHORIA*KL (Fruver Los Monos - FEFM 5701)</t>
        </is>
      </c>
      <c r="E712" t="n">
        <v>10</v>
      </c>
      <c r="F712" t="n">
        <v>2500</v>
      </c>
      <c r="G712" t="n">
        <v>25000</v>
      </c>
    </row>
    <row r="713">
      <c r="A713" t="n">
        <v>20</v>
      </c>
      <c r="B713" t="inlineStr">
        <is>
          <t>Verduras</t>
        </is>
      </c>
      <c r="C713" t="inlineStr">
        <is>
          <t>Arracacha</t>
        </is>
      </c>
      <c r="D713" t="inlineStr">
        <is>
          <t>ARRACACHA*KL (Fruver Los Monos - FEFM 5701)</t>
        </is>
      </c>
      <c r="E713" t="n">
        <v>3</v>
      </c>
      <c r="F713" t="n">
        <v>6500</v>
      </c>
      <c r="G713" t="n">
        <v>19500</v>
      </c>
    </row>
    <row r="714">
      <c r="A714" t="n">
        <v>20</v>
      </c>
      <c r="B714" t="inlineStr">
        <is>
          <t>Verduras</t>
        </is>
      </c>
      <c r="C714" t="inlineStr">
        <is>
          <t>Pepino comun</t>
        </is>
      </c>
      <c r="D714" t="inlineStr">
        <is>
          <t>PEPINO COMUN*KL (Fruver Los Monos - FEFM 5701)</t>
        </is>
      </c>
      <c r="E714" t="n">
        <v>3.6</v>
      </c>
      <c r="F714" t="n">
        <v>3000</v>
      </c>
      <c r="G714" t="n">
        <v>10800</v>
      </c>
    </row>
    <row r="715">
      <c r="A715" t="n">
        <v>20</v>
      </c>
      <c r="B715" t="inlineStr">
        <is>
          <t>Verduras</t>
        </is>
      </c>
      <c r="C715" t="inlineStr">
        <is>
          <t>Pimenton</t>
        </is>
      </c>
      <c r="D715" t="inlineStr">
        <is>
          <t>PIMENTON*KL (Fruver Los Monos - FEFM 5701)</t>
        </is>
      </c>
      <c r="E715" t="n">
        <v>8.699999999999999</v>
      </c>
      <c r="F715" t="n">
        <v>2500</v>
      </c>
      <c r="G715" t="n">
        <v>21750</v>
      </c>
    </row>
    <row r="716">
      <c r="A716" t="n">
        <v>20</v>
      </c>
      <c r="B716" t="inlineStr">
        <is>
          <t>Verduras</t>
        </is>
      </c>
      <c r="C716" t="inlineStr">
        <is>
          <t>Tomate chonto</t>
        </is>
      </c>
      <c r="D716" t="inlineStr">
        <is>
          <t>TOMATE CHONTO*KL (Fruver Los Monos - FEFM 5701)</t>
        </is>
      </c>
      <c r="E716" t="n">
        <v>5.3</v>
      </c>
      <c r="F716" t="n">
        <v>4000</v>
      </c>
      <c r="G716" t="n">
        <v>21200</v>
      </c>
    </row>
    <row r="717">
      <c r="A717" t="n">
        <v>20</v>
      </c>
      <c r="B717" t="inlineStr">
        <is>
          <t>Verduras</t>
        </is>
      </c>
      <c r="C717" t="inlineStr">
        <is>
          <t>Lechuga batavia x Caja</t>
        </is>
      </c>
      <c r="D717" t="inlineStr">
        <is>
          <t>LECHUGA BATAVIA*CAJA (Fruver Los Monos - FEFM 5701)</t>
        </is>
      </c>
      <c r="E717" t="n">
        <v>1</v>
      </c>
      <c r="F717" t="n">
        <v>20000</v>
      </c>
      <c r="G717" t="n">
        <v>20000</v>
      </c>
    </row>
    <row r="718">
      <c r="A718" t="n">
        <v>20</v>
      </c>
      <c r="B718" t="inlineStr">
        <is>
          <t>Verduras</t>
        </is>
      </c>
      <c r="C718" t="inlineStr">
        <is>
          <t>Limon tahiti</t>
        </is>
      </c>
      <c r="D718" t="inlineStr">
        <is>
          <t>LIMON TAHITY*KL (Fruver Los Monos - FEFM 5701)</t>
        </is>
      </c>
      <c r="E718" t="n">
        <v>45</v>
      </c>
      <c r="F718" t="n">
        <v>3000</v>
      </c>
      <c r="G718" t="n">
        <v>135000</v>
      </c>
    </row>
    <row r="719">
      <c r="A719" t="n">
        <v>20</v>
      </c>
      <c r="B719" t="inlineStr">
        <is>
          <t>Verduras</t>
        </is>
      </c>
      <c r="C719" t="inlineStr">
        <is>
          <t>Hiervas</t>
        </is>
      </c>
      <c r="D719" t="inlineStr">
        <is>
          <t>HIERVAS (Fruver Los Monos - FEFM 5701)</t>
        </is>
      </c>
      <c r="E719" t="n">
        <v>6</v>
      </c>
      <c r="F719" t="n">
        <v>2000</v>
      </c>
      <c r="G719" t="n">
        <v>12000</v>
      </c>
    </row>
    <row r="720">
      <c r="A720" t="n">
        <v>20</v>
      </c>
      <c r="B720" t="inlineStr">
        <is>
          <t>Verduras</t>
        </is>
      </c>
      <c r="C720" t="inlineStr">
        <is>
          <t>Cilantro</t>
        </is>
      </c>
      <c r="D720" t="inlineStr">
        <is>
          <t>CILANTRO (Fruver Los Monos - FEFM 5701)</t>
        </is>
      </c>
      <c r="E720" t="n">
        <v>4</v>
      </c>
      <c r="F720" t="n">
        <v>8000</v>
      </c>
      <c r="G720" t="n">
        <v>32000</v>
      </c>
    </row>
    <row r="721">
      <c r="A721" t="n">
        <v>20</v>
      </c>
      <c r="B721" t="inlineStr">
        <is>
          <t>Verduras</t>
        </is>
      </c>
      <c r="C721" t="inlineStr">
        <is>
          <t>Cebolla Larga Atado</t>
        </is>
      </c>
      <c r="D721" t="inlineStr">
        <is>
          <t>CEBOLLA LARGA ATADO (Fruver Los Monos - FEFM 5701)</t>
        </is>
      </c>
      <c r="E721" t="n">
        <v>1</v>
      </c>
      <c r="F721" t="n">
        <v>60000</v>
      </c>
      <c r="G721" t="n">
        <v>60000</v>
      </c>
    </row>
    <row r="722">
      <c r="A722" t="n">
        <v>21</v>
      </c>
      <c r="B722" t="inlineStr">
        <is>
          <t>Carnes</t>
        </is>
      </c>
      <c r="C722" t="inlineStr">
        <is>
          <t>Tocino barril</t>
        </is>
      </c>
      <c r="D722" t="inlineStr">
        <is>
          <t>TOCINETA BARRIL (Carnes Los Monos - YP23955)</t>
        </is>
      </c>
      <c r="E722" t="n">
        <v>71.55</v>
      </c>
      <c r="F722" t="n">
        <v>21900</v>
      </c>
      <c r="G722" t="n">
        <v>1566945</v>
      </c>
    </row>
    <row r="723">
      <c r="A723" t="n">
        <v>21</v>
      </c>
      <c r="B723" t="inlineStr">
        <is>
          <t>Verduras</t>
        </is>
      </c>
      <c r="C723" t="inlineStr">
        <is>
          <t>Papa a la francesa paq 2.5 kl</t>
        </is>
      </c>
      <c r="D723" t="inlineStr">
        <is>
          <t>PAPA A LA FRANCESA PAQ 2.5 KL (Carnes Los Monos - YP23955)</t>
        </is>
      </c>
      <c r="E723" t="n">
        <v>8</v>
      </c>
      <c r="F723" t="n">
        <v>16900</v>
      </c>
      <c r="G723" t="n">
        <v>135200</v>
      </c>
    </row>
    <row r="724">
      <c r="A724" t="n">
        <v>21</v>
      </c>
      <c r="B724" t="inlineStr">
        <is>
          <t>Carnes</t>
        </is>
      </c>
      <c r="C724" t="inlineStr">
        <is>
          <t>Costilla especial</t>
        </is>
      </c>
      <c r="D724" t="inlineStr">
        <is>
          <t>COSTILLA SAN LUIS JUNIOR T/M (Carnes Los Monos - YP23955)</t>
        </is>
      </c>
      <c r="E724" t="n">
        <v>43.6</v>
      </c>
      <c r="F724" t="n">
        <v>21900</v>
      </c>
      <c r="G724" t="n">
        <v>954840</v>
      </c>
    </row>
    <row r="725">
      <c r="A725" t="n">
        <v>25</v>
      </c>
      <c r="B725" t="inlineStr">
        <is>
          <t>Carnes</t>
        </is>
      </c>
      <c r="C725" t="inlineStr">
        <is>
          <t>Tocino barril</t>
        </is>
      </c>
      <c r="D725" t="inlineStr">
        <is>
          <t>TOCINETA BARRIL (Carnes Los Monos - YP24017)</t>
        </is>
      </c>
      <c r="E725" t="n">
        <v>69.05</v>
      </c>
      <c r="F725" t="n">
        <v>21900</v>
      </c>
      <c r="G725" t="n">
        <v>1512195</v>
      </c>
    </row>
    <row r="726">
      <c r="A726" t="n">
        <v>25</v>
      </c>
      <c r="B726" t="inlineStr">
        <is>
          <t>Carnes</t>
        </is>
      </c>
      <c r="C726" t="inlineStr">
        <is>
          <t>Camaron precocido</t>
        </is>
      </c>
      <c r="D726" t="inlineStr">
        <is>
          <t>CAMARON DE CULTIVO PRECOCIDO 91-110P (Carnes Los Monos - YP24017)</t>
        </is>
      </c>
      <c r="E726" t="n">
        <v>20.2</v>
      </c>
      <c r="F726" t="n">
        <v>22900</v>
      </c>
      <c r="G726" t="n">
        <v>462580</v>
      </c>
    </row>
    <row r="727">
      <c r="A727" t="n">
        <v>25</v>
      </c>
      <c r="B727" t="inlineStr">
        <is>
          <t>Carnes</t>
        </is>
      </c>
      <c r="C727" t="inlineStr">
        <is>
          <t>Sobrebarriga</t>
        </is>
      </c>
      <c r="D727" t="inlineStr">
        <is>
          <t>SOBREBARRIGA DELGADA (Carnes Los Monos - YP24017)</t>
        </is>
      </c>
      <c r="E727" t="n">
        <v>21.3</v>
      </c>
      <c r="F727" t="n">
        <v>34500</v>
      </c>
      <c r="G727" t="n">
        <v>734850</v>
      </c>
    </row>
    <row r="728">
      <c r="A728" t="n">
        <v>25</v>
      </c>
      <c r="B728" t="inlineStr">
        <is>
          <t>Verduras</t>
        </is>
      </c>
      <c r="C728" t="inlineStr">
        <is>
          <t>Papa a la francesa paq 2.5 kl</t>
        </is>
      </c>
      <c r="D728" t="inlineStr">
        <is>
          <t>PAPA A LA FRANCESA PAQ 2.5 KL (Carnes Los Monos - YP24017)</t>
        </is>
      </c>
      <c r="E728" t="n">
        <v>8</v>
      </c>
      <c r="F728" t="n">
        <v>19500</v>
      </c>
      <c r="G728" t="n">
        <v>156000</v>
      </c>
    </row>
    <row r="729">
      <c r="A729" t="n">
        <v>25</v>
      </c>
      <c r="B729" t="inlineStr">
        <is>
          <t>Carnes</t>
        </is>
      </c>
      <c r="C729" t="inlineStr">
        <is>
          <t>Costilla ahumada</t>
        </is>
      </c>
      <c r="D729" t="inlineStr">
        <is>
          <t>COSTILLA DE CERDO IBP 244M (Carnes Los Monos - YP24017)</t>
        </is>
      </c>
      <c r="E729" t="n">
        <v>28.1</v>
      </c>
      <c r="F729" t="n">
        <v>14900</v>
      </c>
      <c r="G729" t="n">
        <v>418690</v>
      </c>
    </row>
    <row r="730">
      <c r="A730" s="135" t="n">
        <v>26</v>
      </c>
      <c r="B730" t="inlineStr">
        <is>
          <t>Bebidas</t>
        </is>
      </c>
      <c r="C730" t="inlineStr">
        <is>
          <t>Bloque media</t>
        </is>
      </c>
      <c r="D730" t="inlineStr">
        <is>
          <t>BLOQUE MEDIA (Hielo El Nevado - NV201468)</t>
        </is>
      </c>
      <c r="E730" s="135" t="n">
        <v>2</v>
      </c>
      <c r="F730" s="136" t="n">
        <v>9500</v>
      </c>
      <c r="G730" s="136" t="n">
        <v>19000</v>
      </c>
    </row>
    <row r="731">
      <c r="A731" s="135" t="n">
        <v>26</v>
      </c>
      <c r="B731" t="inlineStr">
        <is>
          <t>Bebidas</t>
        </is>
      </c>
      <c r="C731" t="inlineStr">
        <is>
          <t>Bolsa 5kl tubular</t>
        </is>
      </c>
      <c r="D731" t="inlineStr">
        <is>
          <t>BOLSA X 5 KL TUBULAR (Hielo El Nevado - NV201468)</t>
        </is>
      </c>
      <c r="E731" s="135" t="n">
        <v>2</v>
      </c>
      <c r="F731" s="136" t="n">
        <v>5000</v>
      </c>
      <c r="G731" s="136" t="n">
        <v>10000</v>
      </c>
    </row>
    <row r="732">
      <c r="A732" s="135" t="n">
        <v>26</v>
      </c>
      <c r="B732" t="inlineStr">
        <is>
          <t>Carnes</t>
        </is>
      </c>
      <c r="C732" t="inlineStr">
        <is>
          <t>Sobaco</t>
        </is>
      </c>
      <c r="D732" t="inlineStr">
        <is>
          <t>SOBACO (Carnes Los Monos - MY8493/Rem 008884)</t>
        </is>
      </c>
      <c r="E732" s="136" t="n">
        <v>13.8</v>
      </c>
      <c r="F732" s="136" t="n">
        <v>25900</v>
      </c>
      <c r="G732" s="136" t="n">
        <v>357420</v>
      </c>
    </row>
    <row r="733">
      <c r="A733" s="135" t="n">
        <v>26</v>
      </c>
      <c r="B733" t="inlineStr">
        <is>
          <t>Verduras</t>
        </is>
      </c>
      <c r="C733" t="inlineStr">
        <is>
          <t>Aguacate común</t>
        </is>
      </c>
      <c r="D733" t="inlineStr">
        <is>
          <t>AGUACATE COMUN*und (Cañaveral - 07FH72332)</t>
        </is>
      </c>
      <c r="E733" s="135" t="n">
        <v>16</v>
      </c>
      <c r="F733" s="136" t="n">
        <v>5440</v>
      </c>
      <c r="G733" s="136" t="n">
        <v>87040</v>
      </c>
    </row>
    <row r="734">
      <c r="A734" s="135" t="n">
        <v>26</v>
      </c>
      <c r="B734" t="inlineStr">
        <is>
          <t>Verduras</t>
        </is>
      </c>
      <c r="C734" t="inlineStr">
        <is>
          <t>Cebolla Larga Atado</t>
        </is>
      </c>
      <c r="D734" t="inlineStr">
        <is>
          <t>CEBOLLA LARGA ATADO (Fruver Los Monos - FEFM 5683)</t>
        </is>
      </c>
      <c r="E734" s="135" t="n">
        <v>1</v>
      </c>
      <c r="F734" s="136" t="n">
        <v>60000</v>
      </c>
      <c r="G734" s="136" t="n">
        <v>60000</v>
      </c>
    </row>
    <row r="735">
      <c r="A735" s="135" t="n">
        <v>26</v>
      </c>
      <c r="B735" t="inlineStr">
        <is>
          <t>Verduras</t>
        </is>
      </c>
      <c r="C735" t="inlineStr">
        <is>
          <t>Cilantro</t>
        </is>
      </c>
      <c r="D735" t="inlineStr">
        <is>
          <t>CILANTRO (Fruver Los Monos - FEFM 5683)</t>
        </is>
      </c>
      <c r="E735" s="135" t="n">
        <v>3</v>
      </c>
      <c r="F735" s="136" t="n">
        <v>8000</v>
      </c>
      <c r="G735" s="136" t="n">
        <v>24000</v>
      </c>
    </row>
    <row r="736">
      <c r="A736" s="135" t="n">
        <v>26</v>
      </c>
      <c r="B736" t="inlineStr">
        <is>
          <t>Verduras</t>
        </is>
      </c>
      <c r="C736" t="inlineStr">
        <is>
          <t>Mazorca</t>
        </is>
      </c>
      <c r="D736" t="inlineStr">
        <is>
          <t>MAZORCA*UND (Fruver Los Monos - FEFM 5683)</t>
        </is>
      </c>
      <c r="E736" s="135" t="n">
        <v>30</v>
      </c>
      <c r="F736" s="136" t="n">
        <v>1200</v>
      </c>
      <c r="G736" s="136" t="n">
        <v>36000</v>
      </c>
    </row>
    <row r="737">
      <c r="A737" s="135" t="n">
        <v>26</v>
      </c>
      <c r="B737" t="inlineStr">
        <is>
          <t>Verduras</t>
        </is>
      </c>
      <c r="C737" t="inlineStr">
        <is>
          <t>Papa Capira bulto</t>
        </is>
      </c>
      <c r="D737" t="inlineStr">
        <is>
          <t>PAPA CAPIRA BULTO*UND (Fruver Los Monos - FEFM 5683)</t>
        </is>
      </c>
      <c r="E737" s="135" t="n">
        <v>1</v>
      </c>
      <c r="F737" s="136" t="n">
        <v>100000</v>
      </c>
      <c r="G737" s="136" t="n">
        <v>100000</v>
      </c>
    </row>
    <row r="738">
      <c r="A738" s="135" t="n">
        <v>26</v>
      </c>
      <c r="B738" t="inlineStr">
        <is>
          <t>Verduras</t>
        </is>
      </c>
      <c r="C738" t="inlineStr">
        <is>
          <t>Arracacha</t>
        </is>
      </c>
      <c r="D738" t="inlineStr">
        <is>
          <t>ARRACACHA*KL (Fruver Los Monos - FEFM 5683)</t>
        </is>
      </c>
      <c r="E738" s="136" t="n">
        <v>4.3</v>
      </c>
      <c r="F738" s="136" t="n">
        <v>6500</v>
      </c>
      <c r="G738" s="136" t="n">
        <v>27950</v>
      </c>
    </row>
    <row r="739">
      <c r="A739" s="135" t="n">
        <v>26</v>
      </c>
      <c r="B739" t="inlineStr">
        <is>
          <t>Verduras</t>
        </is>
      </c>
      <c r="C739" t="inlineStr">
        <is>
          <t>Lechuga batavia</t>
        </is>
      </c>
      <c r="D739" t="inlineStr">
        <is>
          <t>LECHUGA BATAVIA*KL (Fruver Los Monos - FEFM 5683)</t>
        </is>
      </c>
      <c r="E739" s="136" t="n">
        <v>40.6</v>
      </c>
      <c r="F739" s="136" t="n">
        <v>2800</v>
      </c>
      <c r="G739" s="136" t="n">
        <v>113680</v>
      </c>
    </row>
    <row r="740">
      <c r="A740" s="135" t="n">
        <v>26</v>
      </c>
      <c r="B740" t="inlineStr">
        <is>
          <t>Verduras</t>
        </is>
      </c>
      <c r="C740" t="inlineStr">
        <is>
          <t>Platano maduro</t>
        </is>
      </c>
      <c r="D740" t="inlineStr">
        <is>
          <t>PLATANO MADURO*KL (Fruver Los Monos - FEFM 5683)</t>
        </is>
      </c>
      <c r="E740" s="135" t="n">
        <v>80</v>
      </c>
      <c r="F740" s="136" t="n">
        <v>1500</v>
      </c>
      <c r="G740" s="136" t="n">
        <v>120000</v>
      </c>
    </row>
    <row r="741">
      <c r="A741" s="135" t="n">
        <v>26</v>
      </c>
      <c r="B741" t="inlineStr">
        <is>
          <t>Verduras</t>
        </is>
      </c>
      <c r="C741" t="inlineStr">
        <is>
          <t>Cebolla cabezona</t>
        </is>
      </c>
      <c r="D741" t="inlineStr">
        <is>
          <t>CEBOLLA CABEZONA*KL (Fruver Los Monos - FEFM 5683)</t>
        </is>
      </c>
      <c r="E741" s="136" t="n">
        <v>9.9</v>
      </c>
      <c r="F741" s="136" t="n">
        <v>3000</v>
      </c>
      <c r="G741" s="136" t="n">
        <v>29700</v>
      </c>
    </row>
    <row r="742">
      <c r="A742" s="135" t="n">
        <v>26</v>
      </c>
      <c r="B742" t="inlineStr">
        <is>
          <t>Verduras</t>
        </is>
      </c>
      <c r="C742" t="inlineStr">
        <is>
          <t>Habichuela</t>
        </is>
      </c>
      <c r="D742" t="inlineStr">
        <is>
          <t>HABICHUELA*KL (Fruver Los Monos - FEFM 5683)</t>
        </is>
      </c>
      <c r="E742" s="136" t="n">
        <v>5.4</v>
      </c>
      <c r="F742" s="136" t="n">
        <v>6500</v>
      </c>
      <c r="G742" s="136" t="n">
        <v>35100</v>
      </c>
    </row>
    <row r="743">
      <c r="A743" s="135" t="n">
        <v>26</v>
      </c>
      <c r="B743" t="inlineStr">
        <is>
          <t>Verduras</t>
        </is>
      </c>
      <c r="C743" t="inlineStr">
        <is>
          <t>Alverjas verdes</t>
        </is>
      </c>
      <c r="D743" t="inlineStr">
        <is>
          <t>ARVEJA VERDE*KL (Fruver Los Monos - FEFM 5683)</t>
        </is>
      </c>
      <c r="E743" s="135" t="n">
        <v>3</v>
      </c>
      <c r="F743" s="136" t="n">
        <v>15000</v>
      </c>
      <c r="G743" s="136" t="n">
        <v>45000</v>
      </c>
    </row>
    <row r="744">
      <c r="A744" s="135" t="n">
        <v>26</v>
      </c>
      <c r="B744" t="inlineStr">
        <is>
          <t>Verduras</t>
        </is>
      </c>
      <c r="C744" t="inlineStr">
        <is>
          <t>Pimenton</t>
        </is>
      </c>
      <c r="D744" t="inlineStr">
        <is>
          <t>PIMENTON*KL (Fruver Los Monos - FEFM 5683)</t>
        </is>
      </c>
      <c r="E744" s="136" t="n">
        <v>9.5</v>
      </c>
      <c r="F744" s="136" t="n">
        <v>3000</v>
      </c>
      <c r="G744" s="136" t="n">
        <v>28500</v>
      </c>
    </row>
    <row r="745">
      <c r="A745" s="135" t="n">
        <v>26</v>
      </c>
      <c r="B745" t="inlineStr">
        <is>
          <t>Verduras</t>
        </is>
      </c>
      <c r="C745" t="inlineStr">
        <is>
          <t>Zanahoria</t>
        </is>
      </c>
      <c r="D745" t="inlineStr">
        <is>
          <t>ZANAHORIA*KL (Fruver Los Monos - FEFM 5683)</t>
        </is>
      </c>
      <c r="E745" s="136" t="n">
        <v>9.9</v>
      </c>
      <c r="F745" s="136" t="n">
        <v>2500</v>
      </c>
      <c r="G745" s="136" t="n">
        <v>24750</v>
      </c>
    </row>
    <row r="746">
      <c r="A746" s="135" t="n">
        <v>26</v>
      </c>
      <c r="B746" t="inlineStr">
        <is>
          <t>Verduras</t>
        </is>
      </c>
      <c r="C746" t="inlineStr">
        <is>
          <t>Tomate milano</t>
        </is>
      </c>
      <c r="D746" t="inlineStr">
        <is>
          <t>TOMATE MILANO*KL (Fruver Los Monos - FEFM 5683)</t>
        </is>
      </c>
      <c r="E746" s="136" t="n">
        <v>3.5</v>
      </c>
      <c r="F746" s="136" t="n">
        <v>4500</v>
      </c>
      <c r="G746" s="136" t="n">
        <v>15750</v>
      </c>
    </row>
    <row r="747">
      <c r="A747" s="135" t="n">
        <v>26</v>
      </c>
      <c r="B747" t="inlineStr">
        <is>
          <t>Verduras</t>
        </is>
      </c>
      <c r="C747" t="inlineStr">
        <is>
          <t>Pepino comun</t>
        </is>
      </c>
      <c r="D747" t="inlineStr">
        <is>
          <t>PEPINO COMUN*KL (Fruver Los Monos - FEFM 5683)</t>
        </is>
      </c>
      <c r="E747" s="136" t="n">
        <v>4.7</v>
      </c>
      <c r="F747" s="136" t="n">
        <v>3000</v>
      </c>
      <c r="G747" s="136" t="n">
        <v>14100</v>
      </c>
    </row>
    <row r="748">
      <c r="A748" s="135" t="n">
        <v>26</v>
      </c>
      <c r="B748" t="inlineStr">
        <is>
          <t>Verduras</t>
        </is>
      </c>
      <c r="C748" t="inlineStr">
        <is>
          <t>Papa amarilla</t>
        </is>
      </c>
      <c r="D748" t="inlineStr">
        <is>
          <t>PAPA AMARILLA CRIOLLA*KL (Fruver Los Monos - FEFM 5683)</t>
        </is>
      </c>
      <c r="E748" s="136" t="n">
        <v>8.300000000000001</v>
      </c>
      <c r="F748" s="136" t="n">
        <v>5800</v>
      </c>
      <c r="G748" s="136" t="n">
        <v>48140</v>
      </c>
    </row>
    <row r="749">
      <c r="A749" s="135" t="n">
        <v>26</v>
      </c>
      <c r="B749" t="inlineStr">
        <is>
          <t>Verduras</t>
        </is>
      </c>
      <c r="C749" t="inlineStr">
        <is>
          <t>Limon tahiti</t>
        </is>
      </c>
      <c r="D749" t="inlineStr">
        <is>
          <t>LIMON TAHITY*KL (Fruver Los Monos - FEFM 5683)</t>
        </is>
      </c>
      <c r="E749" s="135" t="n">
        <v>62</v>
      </c>
      <c r="F749" s="136" t="n">
        <v>2400</v>
      </c>
      <c r="G749" s="136" t="n">
        <v>148800</v>
      </c>
    </row>
    <row r="750">
      <c r="A750" s="135" t="n">
        <v>26</v>
      </c>
      <c r="B750" t="inlineStr">
        <is>
          <t>Verduras</t>
        </is>
      </c>
      <c r="C750" t="inlineStr">
        <is>
          <t>Tomate chonto</t>
        </is>
      </c>
      <c r="D750" t="inlineStr">
        <is>
          <t>TOMATE CHONTO*KL (Fruver Los Monos - FEFM 5683)</t>
        </is>
      </c>
      <c r="E750" s="135" t="n">
        <v>18</v>
      </c>
      <c r="F750" s="136" t="n">
        <v>4500</v>
      </c>
      <c r="G750" s="136" t="n">
        <v>81000</v>
      </c>
    </row>
    <row r="751">
      <c r="A751" s="135" t="n">
        <v>26</v>
      </c>
      <c r="B751" t="inlineStr">
        <is>
          <t>Verduras</t>
        </is>
      </c>
      <c r="C751" t="inlineStr">
        <is>
          <t>Hiervas</t>
        </is>
      </c>
      <c r="D751" t="inlineStr">
        <is>
          <t>HIERVAS (Fruver Los Monos - FEFM 5683)</t>
        </is>
      </c>
      <c r="E751" s="135" t="n">
        <v>4</v>
      </c>
      <c r="F751" s="136" t="n">
        <v>2000</v>
      </c>
      <c r="G751" s="136" t="n">
        <v>8000</v>
      </c>
    </row>
    <row r="752">
      <c r="A752" s="135" t="n">
        <v>26</v>
      </c>
      <c r="B752" t="inlineStr">
        <is>
          <t>Bebidas</t>
        </is>
      </c>
      <c r="C752" t="inlineStr">
        <is>
          <t>Club colombia</t>
        </is>
      </c>
      <c r="D752" t="inlineStr">
        <is>
          <t>CERV.CLUB DOR LATA*330 (Los Monos - VC240085)</t>
        </is>
      </c>
      <c r="E752" s="135" t="n">
        <v>1</v>
      </c>
      <c r="F752" s="136" t="n">
        <v>77500</v>
      </c>
      <c r="G752" s="136" t="n">
        <v>77500</v>
      </c>
    </row>
    <row r="753">
      <c r="A753" s="135" t="n">
        <v>26</v>
      </c>
      <c r="B753" t="inlineStr">
        <is>
          <t>Bebidas</t>
        </is>
      </c>
      <c r="C753" t="inlineStr">
        <is>
          <t>Poker</t>
        </is>
      </c>
      <c r="D753" t="inlineStr">
        <is>
          <t>CERV.POKER*330 LATA (Los Monos - VC240085)</t>
        </is>
      </c>
      <c r="E753" s="135" t="n">
        <v>1</v>
      </c>
      <c r="F753" s="136" t="n">
        <v>74500</v>
      </c>
      <c r="G753" s="136" t="n">
        <v>74500</v>
      </c>
    </row>
    <row r="754">
      <c r="A754" s="135" t="n">
        <v>26</v>
      </c>
      <c r="B754" t="inlineStr">
        <is>
          <t>Bebidas</t>
        </is>
      </c>
      <c r="C754" t="inlineStr">
        <is>
          <t>Cerveza Light</t>
        </is>
      </c>
      <c r="D754" t="inlineStr">
        <is>
          <t>CERV.LIGH*330 LATA (Los Monos - VC240085)</t>
        </is>
      </c>
      <c r="E754" s="135" t="n">
        <v>1</v>
      </c>
      <c r="F754" s="136" t="n">
        <v>75500</v>
      </c>
      <c r="G754" s="136" t="n">
        <v>75500</v>
      </c>
    </row>
    <row r="755">
      <c r="A755" s="135" t="n">
        <v>26</v>
      </c>
      <c r="B755" t="inlineStr">
        <is>
          <t>Bebidas</t>
        </is>
      </c>
      <c r="C755" t="inlineStr">
        <is>
          <t>Corona</t>
        </is>
      </c>
      <c r="D755" t="inlineStr">
        <is>
          <t>CERV.CORONA*330ml (Los Monos - VC240085)</t>
        </is>
      </c>
      <c r="E755" s="135" t="n">
        <v>1</v>
      </c>
      <c r="F755" s="136" t="n">
        <v>93000</v>
      </c>
      <c r="G755" s="136" t="n">
        <v>93000</v>
      </c>
    </row>
    <row r="756">
      <c r="A756" s="135" t="n">
        <v>26</v>
      </c>
      <c r="B756" t="inlineStr">
        <is>
          <t>Bebidas</t>
        </is>
      </c>
      <c r="C756" t="inlineStr">
        <is>
          <t>Cerv Stel Artois</t>
        </is>
      </c>
      <c r="D756" t="inlineStr">
        <is>
          <t>CERV.STEL ARTOIS*300ml BOT (Los Monos - VC240085)</t>
        </is>
      </c>
      <c r="E756" s="135" t="n">
        <v>1</v>
      </c>
      <c r="F756" s="136" t="n">
        <v>92200</v>
      </c>
      <c r="G756" s="136" t="n">
        <v>92200</v>
      </c>
    </row>
    <row r="757">
      <c r="A757" s="135" t="n">
        <v>26</v>
      </c>
      <c r="B757" t="inlineStr">
        <is>
          <t>Bebidas</t>
        </is>
      </c>
      <c r="C757" t="inlineStr">
        <is>
          <t xml:space="preserve">Limonada coco </t>
        </is>
      </c>
      <c r="D757" t="inlineStr">
        <is>
          <t>LIMONADA DE COCO FUSIONADA X 10 (Henry Castaño - FEC 2918)</t>
        </is>
      </c>
      <c r="E757" s="135" t="n">
        <v>3</v>
      </c>
      <c r="F757" s="136" t="n">
        <v>26000</v>
      </c>
      <c r="G757" s="136" t="n">
        <v>78000</v>
      </c>
    </row>
    <row r="758">
      <c r="A758" s="135" t="n">
        <v>26</v>
      </c>
      <c r="B758" t="inlineStr">
        <is>
          <t>Desechables</t>
        </is>
      </c>
      <c r="C758" t="inlineStr">
        <is>
          <t>Crema de leche</t>
        </is>
      </c>
      <c r="D758" t="inlineStr">
        <is>
          <t>CREMA DE LECHE 1000G (Alquería - FEPL-3148181)</t>
        </is>
      </c>
      <c r="E758" s="135" t="n">
        <v>2</v>
      </c>
      <c r="F758" s="136" t="n">
        <v>18200</v>
      </c>
      <c r="G758" s="136" t="n">
        <v>36400</v>
      </c>
    </row>
    <row r="759">
      <c r="A759" s="135" t="n">
        <v>26</v>
      </c>
      <c r="B759" t="inlineStr">
        <is>
          <t>Grano</t>
        </is>
      </c>
      <c r="C759" t="inlineStr">
        <is>
          <t>Sabor original</t>
        </is>
      </c>
      <c r="D759" t="inlineStr">
        <is>
          <t>SABOR ORIGINAL INSTITUCIONAL 1100ML (Alquería - FEPL-3148181)</t>
        </is>
      </c>
      <c r="E759" s="135" t="n">
        <v>60</v>
      </c>
      <c r="F759" s="136" t="n">
        <v>4180</v>
      </c>
      <c r="G759" s="136" t="n">
        <v>250800</v>
      </c>
    </row>
    <row r="760">
      <c r="A760" s="135" t="n">
        <v>25</v>
      </c>
      <c r="B760" t="inlineStr">
        <is>
          <t>Carnes</t>
        </is>
      </c>
      <c r="C760" t="inlineStr">
        <is>
          <t>Lomo de cerdo</t>
        </is>
      </c>
      <c r="D760" t="inlineStr">
        <is>
          <t>LOMO DE CERDO (Fabian Bonilla - 25/08/2026)</t>
        </is>
      </c>
      <c r="E760" s="136" t="n">
        <v>16.5</v>
      </c>
      <c r="F760" s="136" t="n">
        <v>19500</v>
      </c>
      <c r="G760" s="136" t="n">
        <v>321750</v>
      </c>
    </row>
    <row r="761">
      <c r="A761" s="135" t="n">
        <v>25</v>
      </c>
      <c r="B761" t="inlineStr">
        <is>
          <t>Carnes</t>
        </is>
      </c>
      <c r="C761" t="inlineStr">
        <is>
          <t>Bagre de mar</t>
        </is>
      </c>
      <c r="D761" t="inlineStr">
        <is>
          <t>BAGRE DE MAR (Gabriel Ramirez)</t>
        </is>
      </c>
      <c r="E761" s="135" t="n">
        <v>20</v>
      </c>
      <c r="F761" s="136" t="n">
        <v>16500</v>
      </c>
      <c r="G761" s="136" t="n">
        <v>330000</v>
      </c>
    </row>
    <row r="762">
      <c r="A762" s="135" t="n">
        <v>24</v>
      </c>
      <c r="B762" t="inlineStr">
        <is>
          <t>Bebidas</t>
        </is>
      </c>
      <c r="C762" t="inlineStr">
        <is>
          <t xml:space="preserve">Agua con gas </t>
        </is>
      </c>
      <c r="D762" t="inlineStr">
        <is>
          <t>AGUA CRISTAL CON GAS 600 ML PET X 24 (Postobon)</t>
        </is>
      </c>
      <c r="E762" s="135" t="n">
        <v>96</v>
      </c>
      <c r="F762" s="136" t="n">
        <v>1500</v>
      </c>
      <c r="G762" s="136" t="n">
        <v>144000</v>
      </c>
    </row>
    <row r="763">
      <c r="A763" s="135" t="n">
        <v>24</v>
      </c>
      <c r="B763" t="inlineStr">
        <is>
          <t>Bebidas</t>
        </is>
      </c>
      <c r="C763" t="inlineStr">
        <is>
          <t>Gaseosa 350 ml</t>
        </is>
      </c>
      <c r="D763" t="inlineStr">
        <is>
          <t>NARANJA POSTOBON 350 ML VIDRIO R X 30 (Postobon)</t>
        </is>
      </c>
      <c r="E763" s="135" t="n">
        <v>15</v>
      </c>
      <c r="F763" s="136" t="n">
        <v>1450.98</v>
      </c>
      <c r="G763" s="136" t="n">
        <v>21764.7</v>
      </c>
    </row>
    <row r="764">
      <c r="A764" s="135" t="n">
        <v>24</v>
      </c>
      <c r="B764" t="inlineStr">
        <is>
          <t>Bebidas</t>
        </is>
      </c>
      <c r="C764" t="inlineStr">
        <is>
          <t>Gaseosa 350 ml</t>
        </is>
      </c>
      <c r="D764" t="inlineStr">
        <is>
          <t>COLOMBIANA NACIONAL 350 ML VIDRIO R X 30 (Postobon)</t>
        </is>
      </c>
      <c r="E764" s="135" t="n">
        <v>30</v>
      </c>
      <c r="F764" s="136" t="n">
        <v>1450.98</v>
      </c>
      <c r="G764" s="136" t="n">
        <v>43529.4</v>
      </c>
    </row>
    <row r="765">
      <c r="A765" s="135" t="n">
        <v>24</v>
      </c>
      <c r="B765" t="inlineStr">
        <is>
          <t>Bebidas</t>
        </is>
      </c>
      <c r="C765" t="inlineStr">
        <is>
          <t>Gaseosa 350 ml</t>
        </is>
      </c>
      <c r="D765" t="inlineStr">
        <is>
          <t>POPULAR 350 ML VIDRIO R X 30 (Postobon)</t>
        </is>
      </c>
      <c r="E765" s="135" t="n">
        <v>30</v>
      </c>
      <c r="F765" s="136" t="n">
        <v>1450.98</v>
      </c>
      <c r="G765" s="136" t="n">
        <v>43529.4</v>
      </c>
    </row>
    <row r="766">
      <c r="A766" s="135" t="n">
        <v>24</v>
      </c>
      <c r="B766" t="inlineStr">
        <is>
          <t>Bebidas</t>
        </is>
      </c>
      <c r="C766" t="inlineStr">
        <is>
          <t>Manzana postobo n 350 ml vidrio r x 30</t>
        </is>
      </c>
      <c r="D766" t="inlineStr">
        <is>
          <t>MANZANA POSTOBON 350 ML VIDRIO R X 30 (Postobon)</t>
        </is>
      </c>
      <c r="E766" s="135" t="n">
        <v>30</v>
      </c>
      <c r="F766" s="136" t="n">
        <v>1450.98</v>
      </c>
      <c r="G766" s="136" t="n">
        <v>43529.4</v>
      </c>
    </row>
    <row r="767">
      <c r="A767" s="135" t="n">
        <v>20</v>
      </c>
      <c r="B767" t="inlineStr">
        <is>
          <t>Carnes</t>
        </is>
      </c>
      <c r="C767" t="inlineStr">
        <is>
          <t>Costilla de cerdo especial</t>
        </is>
      </c>
      <c r="D767" t="inlineStr">
        <is>
          <t>COSTILLA CERDO ESP CR (BS) X 4 KG (Armar - FE1-49212)</t>
        </is>
      </c>
      <c r="E767" s="135" t="n">
        <v>20</v>
      </c>
      <c r="F767" s="136" t="n">
        <v>18200</v>
      </c>
      <c r="G767" s="136" t="n">
        <v>364000</v>
      </c>
    </row>
    <row r="768">
      <c r="A768" s="135" t="n">
        <v>25</v>
      </c>
      <c r="B768" t="inlineStr">
        <is>
          <t>Carnes</t>
        </is>
      </c>
      <c r="C768" t="inlineStr">
        <is>
          <t>Marisco</t>
        </is>
      </c>
      <c r="D768" t="inlineStr">
        <is>
          <t>Mix de Mariscos (5 kg - Frio Sabor FVE 126)</t>
        </is>
      </c>
      <c r="E768" s="135" t="n">
        <v>5</v>
      </c>
      <c r="F768" s="136" t="n">
        <v>24000</v>
      </c>
      <c r="G768" s="136" t="n">
        <v>120000</v>
      </c>
    </row>
    <row r="769">
      <c r="A769" s="135" t="n">
        <v>24</v>
      </c>
      <c r="B769" t="inlineStr">
        <is>
          <t>Bebidas</t>
        </is>
      </c>
      <c r="C769" t="inlineStr">
        <is>
          <t>Coca cola 1,5 lt pet (12) nvo</t>
        </is>
      </c>
      <c r="D769" t="inlineStr">
        <is>
          <t>COCA COLA 1.5LT PET(12) Nvo (Coca-Cola FEMSA - FVCL 5193460)</t>
        </is>
      </c>
      <c r="E769" s="135" t="n">
        <v>2</v>
      </c>
      <c r="F769" s="136" t="n">
        <v>48571.5</v>
      </c>
      <c r="G769" s="136" t="n">
        <v>97143</v>
      </c>
    </row>
    <row r="770">
      <c r="A770" s="135" t="n">
        <v>24</v>
      </c>
      <c r="B770" t="inlineStr">
        <is>
          <t>Bebidas</t>
        </is>
      </c>
      <c r="C770" t="inlineStr">
        <is>
          <t>Coca cola 3 litros</t>
        </is>
      </c>
      <c r="D770" t="inlineStr">
        <is>
          <t>COCA COLA 3LT PET(6) Nvo (Coca-Cola FEMSA - FVCL 5193460)</t>
        </is>
      </c>
      <c r="E770" s="135" t="n">
        <v>1</v>
      </c>
      <c r="F770" s="136" t="n">
        <v>42269</v>
      </c>
      <c r="G770" s="136" t="n">
        <v>42269</v>
      </c>
    </row>
    <row r="771">
      <c r="A771" s="135" t="n">
        <v>24</v>
      </c>
      <c r="B771" t="inlineStr">
        <is>
          <t>Bebidas</t>
        </is>
      </c>
      <c r="C771" t="inlineStr">
        <is>
          <t>Bloque media</t>
        </is>
      </c>
      <c r="D771" t="inlineStr">
        <is>
          <t>BLOQUE MEDIA (Hielo El Nevado - NV201158)</t>
        </is>
      </c>
      <c r="E771" s="135" t="n">
        <v>2</v>
      </c>
      <c r="F771" s="136" t="n">
        <v>9500</v>
      </c>
      <c r="G771" s="136" t="n">
        <v>19000</v>
      </c>
    </row>
    <row r="772">
      <c r="A772" s="135" t="n">
        <v>24</v>
      </c>
      <c r="B772" t="inlineStr">
        <is>
          <t>Bebidas</t>
        </is>
      </c>
      <c r="C772" t="inlineStr">
        <is>
          <t>Bolsa 5kl tubular</t>
        </is>
      </c>
      <c r="D772" t="inlineStr">
        <is>
          <t>BOLSA X 5 KL TUBULAR (Hielo El Nevado - NV201158)</t>
        </is>
      </c>
      <c r="E772" s="135" t="n">
        <v>4</v>
      </c>
      <c r="F772" s="136" t="n">
        <v>5000</v>
      </c>
      <c r="G772" s="136" t="n">
        <v>20000</v>
      </c>
    </row>
    <row r="773">
      <c r="A773" s="135" t="n">
        <v>24</v>
      </c>
      <c r="B773" t="inlineStr">
        <is>
          <t>Bebidas</t>
        </is>
      </c>
      <c r="C773" t="inlineStr">
        <is>
          <t>Bloque media</t>
        </is>
      </c>
      <c r="D773" t="inlineStr">
        <is>
          <t>BLOQUE MEDIA (Hielo El Nevado - NV201248)</t>
        </is>
      </c>
      <c r="E773" s="135" t="n">
        <v>2</v>
      </c>
      <c r="F773" s="136" t="n">
        <v>9500</v>
      </c>
      <c r="G773" s="136" t="n">
        <v>19000</v>
      </c>
    </row>
    <row r="774">
      <c r="A774" s="135" t="n">
        <v>24</v>
      </c>
      <c r="B774" t="inlineStr">
        <is>
          <t>Bebidas</t>
        </is>
      </c>
      <c r="C774" t="inlineStr">
        <is>
          <t>Bolsa 5kl tubular</t>
        </is>
      </c>
      <c r="D774" t="inlineStr">
        <is>
          <t>BOLSA X 5 KL TUBULAR (Hielo El Nevado - NV201248)</t>
        </is>
      </c>
      <c r="E774" s="135" t="n">
        <v>2</v>
      </c>
      <c r="F774" s="136" t="n">
        <v>5000</v>
      </c>
      <c r="G774" s="136" t="n">
        <v>10000</v>
      </c>
    </row>
    <row r="775">
      <c r="A775" s="135" t="n">
        <v>24</v>
      </c>
      <c r="B775" t="inlineStr">
        <is>
          <t>Carnes</t>
        </is>
      </c>
      <c r="C775" t="inlineStr">
        <is>
          <t>Sobrebarriga delgada</t>
        </is>
      </c>
      <c r="D775" t="inlineStr">
        <is>
          <t>SOBREBARRIGA DE RES (MYC - FE01534)</t>
        </is>
      </c>
      <c r="E775" s="136" t="n">
        <v>10.6</v>
      </c>
      <c r="F775" s="136" t="n">
        <v>30000</v>
      </c>
      <c r="G775" s="136" t="n">
        <v>318000</v>
      </c>
    </row>
    <row r="776">
      <c r="A776" s="135" t="n">
        <v>24</v>
      </c>
      <c r="B776" t="inlineStr">
        <is>
          <t>Carnes</t>
        </is>
      </c>
      <c r="C776" t="inlineStr">
        <is>
          <t>Caderita</t>
        </is>
      </c>
      <c r="D776" t="inlineStr">
        <is>
          <t>CADERITA DE RES (MYC - FE01534)</t>
        </is>
      </c>
      <c r="E776" s="136" t="n">
        <v>4.3</v>
      </c>
      <c r="F776" s="136" t="n">
        <v>33000</v>
      </c>
      <c r="G776" s="136" t="n">
        <v>141900</v>
      </c>
    </row>
    <row r="777">
      <c r="A777" s="135" t="n">
        <v>22</v>
      </c>
      <c r="B777" t="inlineStr">
        <is>
          <t>Bebidas</t>
        </is>
      </c>
      <c r="C777" t="inlineStr">
        <is>
          <t>Bloque media</t>
        </is>
      </c>
      <c r="D777" t="inlineStr">
        <is>
          <t>BLOQUE MEDIA (Hielo El Nevado - NV201059)</t>
        </is>
      </c>
      <c r="E777" s="135" t="n">
        <v>2</v>
      </c>
      <c r="F777" s="136" t="n">
        <v>9500</v>
      </c>
      <c r="G777" s="136" t="n">
        <v>19000</v>
      </c>
    </row>
    <row r="778">
      <c r="A778" s="135" t="n">
        <v>22</v>
      </c>
      <c r="B778" t="inlineStr">
        <is>
          <t>Bebidas</t>
        </is>
      </c>
      <c r="C778" t="inlineStr">
        <is>
          <t>Bolsa 5kl tubular</t>
        </is>
      </c>
      <c r="D778" t="inlineStr">
        <is>
          <t>BOLSA X 5 KL TUBULAR (Hielo El Nevado - NV201059)</t>
        </is>
      </c>
      <c r="E778" s="135" t="n">
        <v>2</v>
      </c>
      <c r="F778" s="136" t="n">
        <v>5000</v>
      </c>
      <c r="G778" s="136" t="n">
        <v>10000</v>
      </c>
    </row>
    <row r="779">
      <c r="A779" s="135" t="n">
        <v>22</v>
      </c>
      <c r="B779" t="inlineStr">
        <is>
          <t>Verduras</t>
        </is>
      </c>
      <c r="C779" t="inlineStr">
        <is>
          <t>Platano maduro</t>
        </is>
      </c>
      <c r="D779" t="inlineStr">
        <is>
          <t>PLATANO MADURO*KL (Fruver Los Monos - FEFM 5645)</t>
        </is>
      </c>
      <c r="E779" s="135" t="n">
        <v>62</v>
      </c>
      <c r="F779" s="136" t="n">
        <v>1400</v>
      </c>
      <c r="G779" s="136" t="n">
        <v>86800</v>
      </c>
    </row>
    <row r="780">
      <c r="A780" s="135" t="n">
        <v>22</v>
      </c>
      <c r="B780" t="inlineStr">
        <is>
          <t>Verduras</t>
        </is>
      </c>
      <c r="C780" t="inlineStr">
        <is>
          <t>Platano verde</t>
        </is>
      </c>
      <c r="D780" t="inlineStr">
        <is>
          <t>PLATANO VERDE*KL (Fruver Los Monos - FEFM 5645)</t>
        </is>
      </c>
      <c r="E780" s="136" t="n">
        <v>72.90000000000001</v>
      </c>
      <c r="F780" s="136" t="n">
        <v>1500</v>
      </c>
      <c r="G780" s="136" t="n">
        <v>109350</v>
      </c>
    </row>
    <row r="781">
      <c r="A781" s="135" t="n">
        <v>22</v>
      </c>
      <c r="B781" t="inlineStr">
        <is>
          <t>Verduras</t>
        </is>
      </c>
      <c r="C781" t="inlineStr">
        <is>
          <t>Cilantro</t>
        </is>
      </c>
      <c r="D781" t="inlineStr">
        <is>
          <t>CILANTRO (Fruver Los Monos - FEFM 5645)</t>
        </is>
      </c>
      <c r="E781" s="135" t="n">
        <v>4</v>
      </c>
      <c r="F781" s="136" t="n">
        <v>9000</v>
      </c>
      <c r="G781" s="136" t="n">
        <v>36000</v>
      </c>
    </row>
    <row r="782">
      <c r="A782" s="135" t="n">
        <v>22</v>
      </c>
      <c r="B782" t="inlineStr">
        <is>
          <t>Verduras</t>
        </is>
      </c>
      <c r="C782" t="inlineStr">
        <is>
          <t>Zanahoria</t>
        </is>
      </c>
      <c r="D782" t="inlineStr">
        <is>
          <t>ZANAHORIA*KL (Fruver Los Monos - FEFM 5645)</t>
        </is>
      </c>
      <c r="E782" s="136" t="n">
        <v>7.9</v>
      </c>
      <c r="F782" s="136" t="n">
        <v>2500</v>
      </c>
      <c r="G782" s="136" t="n">
        <v>19750</v>
      </c>
    </row>
    <row r="783">
      <c r="A783" s="135" t="n">
        <v>22</v>
      </c>
      <c r="B783" t="inlineStr">
        <is>
          <t>Verduras</t>
        </is>
      </c>
      <c r="C783" t="inlineStr">
        <is>
          <t>Tomate chonto</t>
        </is>
      </c>
      <c r="D783" t="inlineStr">
        <is>
          <t>TOMATE CHONTO*KL (Fruver Los Monos - FEFM 5645)</t>
        </is>
      </c>
      <c r="E783" s="136" t="n">
        <v>8.1</v>
      </c>
      <c r="F783" s="136" t="n">
        <v>4800</v>
      </c>
      <c r="G783" s="136" t="n">
        <v>38880</v>
      </c>
    </row>
    <row r="784">
      <c r="A784" s="135" t="n">
        <v>22</v>
      </c>
      <c r="B784" t="inlineStr">
        <is>
          <t>Verduras</t>
        </is>
      </c>
      <c r="C784" t="inlineStr">
        <is>
          <t>Papa amarilla</t>
        </is>
      </c>
      <c r="D784" t="inlineStr">
        <is>
          <t>PAPA AMARILLA CRIOLLA*KL (Fruver Los Monos - FEFM 5645)</t>
        </is>
      </c>
      <c r="E784" s="136" t="n">
        <v>7.2</v>
      </c>
      <c r="F784" s="136" t="n">
        <v>5800</v>
      </c>
      <c r="G784" s="136" t="n">
        <v>41760</v>
      </c>
    </row>
    <row r="785">
      <c r="A785" s="135" t="n">
        <v>22</v>
      </c>
      <c r="B785" t="inlineStr">
        <is>
          <t>Verduras</t>
        </is>
      </c>
      <c r="C785" t="inlineStr">
        <is>
          <t>Ulluco Limpio</t>
        </is>
      </c>
      <c r="D785" t="inlineStr">
        <is>
          <t>ULLUCOS LIMPIO*KL (Fruver Los Monos - FEFM 5645)</t>
        </is>
      </c>
      <c r="E785" s="136" t="n">
        <v>4.2</v>
      </c>
      <c r="F785" s="136" t="n">
        <v>9000</v>
      </c>
      <c r="G785" s="136" t="n">
        <v>37800</v>
      </c>
    </row>
    <row r="786">
      <c r="A786" s="135" t="n">
        <v>22</v>
      </c>
      <c r="B786" t="inlineStr">
        <is>
          <t>Verduras</t>
        </is>
      </c>
      <c r="C786" t="inlineStr">
        <is>
          <t>Habichuela</t>
        </is>
      </c>
      <c r="D786" t="inlineStr">
        <is>
          <t>HABICHUELA*KL (Fruver Los Monos - FEFM 5645)</t>
        </is>
      </c>
      <c r="E786" s="135" t="n">
        <v>4</v>
      </c>
      <c r="F786" s="136" t="n">
        <v>5500</v>
      </c>
      <c r="G786" s="136" t="n">
        <v>22000</v>
      </c>
    </row>
    <row r="787">
      <c r="A787" s="135" t="n">
        <v>22</v>
      </c>
      <c r="B787" t="inlineStr">
        <is>
          <t>Verduras</t>
        </is>
      </c>
      <c r="C787" t="inlineStr">
        <is>
          <t>Pimenton</t>
        </is>
      </c>
      <c r="D787" t="inlineStr">
        <is>
          <t>PIMENTON*KL (Fruver Los Monos - FEFM 5645)</t>
        </is>
      </c>
      <c r="E787" s="136" t="n">
        <v>3.3</v>
      </c>
      <c r="F787" s="136" t="n">
        <v>3500</v>
      </c>
      <c r="G787" s="136" t="n">
        <v>11550</v>
      </c>
    </row>
    <row r="788">
      <c r="A788" s="135" t="n">
        <v>22</v>
      </c>
      <c r="B788" t="inlineStr">
        <is>
          <t>Verduras</t>
        </is>
      </c>
      <c r="C788" t="inlineStr">
        <is>
          <t>Pepino comun</t>
        </is>
      </c>
      <c r="D788" t="inlineStr">
        <is>
          <t>PEPINO COMUN*KL (Fruver Los Monos - FEFM 5645)</t>
        </is>
      </c>
      <c r="E788" s="136" t="n">
        <v>3.8</v>
      </c>
      <c r="F788" s="136" t="n">
        <v>3000</v>
      </c>
      <c r="G788" s="136" t="n">
        <v>11400</v>
      </c>
    </row>
    <row r="789">
      <c r="A789" s="135" t="n">
        <v>22</v>
      </c>
      <c r="B789" t="inlineStr">
        <is>
          <t>Verduras</t>
        </is>
      </c>
      <c r="C789" t="inlineStr">
        <is>
          <t>Repollo morado</t>
        </is>
      </c>
      <c r="D789" t="inlineStr">
        <is>
          <t>REPOLLO MORADO*KL (Fruver Los Monos - FEFM 5645)</t>
        </is>
      </c>
      <c r="E789" s="136" t="n">
        <v>3.1</v>
      </c>
      <c r="F789" s="136" t="n">
        <v>2800</v>
      </c>
      <c r="G789" s="136" t="n">
        <v>8680</v>
      </c>
    </row>
    <row r="790">
      <c r="A790" s="135" t="n">
        <v>22</v>
      </c>
      <c r="B790" t="inlineStr">
        <is>
          <t>Verduras</t>
        </is>
      </c>
      <c r="C790" t="inlineStr">
        <is>
          <t>Cebolla cabezona</t>
        </is>
      </c>
      <c r="D790" t="inlineStr">
        <is>
          <t>CEBOLLA CABEZONA*KL (Fruver Los Monos - FEFM 5645)</t>
        </is>
      </c>
      <c r="E790" s="136" t="n">
        <v>9.5</v>
      </c>
      <c r="F790" s="136" t="n">
        <v>3000</v>
      </c>
      <c r="G790" s="136" t="n">
        <v>28500</v>
      </c>
    </row>
    <row r="791">
      <c r="A791" s="135" t="n">
        <v>22</v>
      </c>
      <c r="B791" t="inlineStr">
        <is>
          <t>Verduras</t>
        </is>
      </c>
      <c r="C791" t="inlineStr">
        <is>
          <t>Lechuga batavia</t>
        </is>
      </c>
      <c r="D791" t="inlineStr">
        <is>
          <t>LECHUGA BATAVIA*KL (Fruver Los Monos - FEFM 5645)</t>
        </is>
      </c>
      <c r="E791" s="135" t="n">
        <v>32</v>
      </c>
      <c r="F791" s="136" t="n">
        <v>2800</v>
      </c>
      <c r="G791" s="136" t="n">
        <v>89600</v>
      </c>
    </row>
    <row r="792">
      <c r="A792" s="135" t="n">
        <v>22</v>
      </c>
      <c r="B792" t="inlineStr">
        <is>
          <t>Verduras</t>
        </is>
      </c>
      <c r="C792" t="inlineStr">
        <is>
          <t>Cebolla Larga Atado</t>
        </is>
      </c>
      <c r="D792" t="inlineStr">
        <is>
          <t>CEBOLLA LARGA ATADO (Fruver Los Monos - FEFM 5645)</t>
        </is>
      </c>
      <c r="E792" s="135" t="n">
        <v>1</v>
      </c>
      <c r="F792" s="136" t="n">
        <v>70000</v>
      </c>
      <c r="G792" s="136" t="n">
        <v>70000</v>
      </c>
    </row>
    <row r="793">
      <c r="A793" s="135" t="n">
        <v>22</v>
      </c>
      <c r="B793" t="inlineStr">
        <is>
          <t>Verduras</t>
        </is>
      </c>
      <c r="C793" t="inlineStr">
        <is>
          <t>Limon tahiti</t>
        </is>
      </c>
      <c r="D793" t="inlineStr">
        <is>
          <t>LIMON TAHITY*KL (Fruver Los Monos - FEFM 5645)</t>
        </is>
      </c>
      <c r="E793" s="135" t="n">
        <v>63</v>
      </c>
      <c r="F793" s="136" t="n">
        <v>2500</v>
      </c>
      <c r="G793" s="136" t="n">
        <v>157500</v>
      </c>
    </row>
    <row r="794">
      <c r="A794" s="135" t="n">
        <v>23</v>
      </c>
      <c r="B794" t="inlineStr">
        <is>
          <t>Carnes</t>
        </is>
      </c>
      <c r="C794" t="inlineStr">
        <is>
          <t>Caderita</t>
        </is>
      </c>
      <c r="D794" t="inlineStr">
        <is>
          <t>CADERITA DE RES (MYC - FE01533)</t>
        </is>
      </c>
      <c r="E794" s="136" t="n">
        <v>5.25</v>
      </c>
      <c r="F794" s="136" t="n">
        <v>33000</v>
      </c>
      <c r="G794" s="136" t="n">
        <v>173250</v>
      </c>
    </row>
    <row r="795">
      <c r="A795" s="135" t="n">
        <v>23</v>
      </c>
      <c r="B795" t="inlineStr">
        <is>
          <t>Carnes</t>
        </is>
      </c>
      <c r="C795" t="inlineStr">
        <is>
          <t xml:space="preserve">Higado </t>
        </is>
      </c>
      <c r="D795" t="inlineStr">
        <is>
          <t>HIGADO DE RES (MYC - FE01533)</t>
        </is>
      </c>
      <c r="E795" s="136" t="n">
        <v>5.35</v>
      </c>
      <c r="F795" s="136" t="n">
        <v>21500</v>
      </c>
      <c r="G795" s="136" t="n">
        <v>115025</v>
      </c>
    </row>
    <row r="796">
      <c r="A796" s="135" t="n">
        <v>22</v>
      </c>
      <c r="B796" t="inlineStr">
        <is>
          <t>Carnes</t>
        </is>
      </c>
      <c r="C796" t="inlineStr">
        <is>
          <t>Sobrebarriga delgada</t>
        </is>
      </c>
      <c r="D796" t="inlineStr">
        <is>
          <t>SOBREBARRIGA DE RES (MYC - FE01532)</t>
        </is>
      </c>
      <c r="E796" s="136" t="n">
        <v>16.15</v>
      </c>
      <c r="F796" s="136" t="n">
        <v>30000</v>
      </c>
      <c r="G796" s="136" t="n">
        <v>484500</v>
      </c>
    </row>
    <row r="797">
      <c r="A797" s="135" t="n">
        <v>24</v>
      </c>
      <c r="B797" t="inlineStr">
        <is>
          <t>Servicios</t>
        </is>
      </c>
      <c r="C797" t="inlineStr">
        <is>
          <t>Otros servicios de salud</t>
        </is>
      </c>
      <c r="D797" t="inlineStr">
        <is>
          <t>Otros servicios de salud - SG-SST AGOSTO 2026 (Health Care IPS FE2494)</t>
        </is>
      </c>
      <c r="E797" s="135" t="n">
        <v>1</v>
      </c>
      <c r="F797" s="136" t="n">
        <v>506000</v>
      </c>
      <c r="G797" s="136" t="n">
        <v>506000</v>
      </c>
    </row>
    <row r="798">
      <c r="A798" s="135" t="n">
        <v>24</v>
      </c>
      <c r="B798" t="inlineStr">
        <is>
          <t>Servicios</t>
        </is>
      </c>
      <c r="C798" t="inlineStr">
        <is>
          <t>Arreglo Tubos x Materiales</t>
        </is>
      </c>
      <c r="D798" t="inlineStr">
        <is>
          <t>YW042 LLAVE DE PUSH LAVAMANOS BAJA BOCCHERINI (Electroventas PE34473)</t>
        </is>
      </c>
      <c r="E798" s="135" t="n">
        <v>1</v>
      </c>
      <c r="F798" s="136" t="n">
        <v>90000</v>
      </c>
      <c r="G798" s="136" t="n">
        <v>90000</v>
      </c>
    </row>
    <row r="799">
      <c r="A799" s="135" t="n">
        <v>24</v>
      </c>
      <c r="B799" t="inlineStr">
        <is>
          <t>Servicios</t>
        </is>
      </c>
      <c r="C799" t="inlineStr">
        <is>
          <t>Arreglo Tubos x Materiales</t>
        </is>
      </c>
      <c r="D799" t="inlineStr">
        <is>
          <t>ACOPLE LAVAMANOS Y LAVAPLATOS 40 CM GRIVAL (Electroventas PE34473)</t>
        </is>
      </c>
      <c r="E799" s="135" t="n">
        <v>1</v>
      </c>
      <c r="F799" s="136" t="n">
        <v>4800</v>
      </c>
      <c r="G799" s="136" t="n">
        <v>4800</v>
      </c>
    </row>
    <row r="800">
      <c r="A800" t="n">
        <v>4</v>
      </c>
      <c r="B800" t="inlineStr">
        <is>
          <t>Grano</t>
        </is>
      </c>
      <c r="C800" t="inlineStr">
        <is>
          <t>Garbanzo</t>
        </is>
      </c>
      <c r="D800" t="inlineStr">
        <is>
          <t>GARBANZO BLANQUITA*500g (Supertiendas Cañaveral)</t>
        </is>
      </c>
      <c r="E800" t="n">
        <v>1</v>
      </c>
      <c r="F800" t="n">
        <v>2900</v>
      </c>
      <c r="G800" t="n">
        <v>2900</v>
      </c>
    </row>
    <row r="801">
      <c r="A801" t="n">
        <v>3</v>
      </c>
      <c r="B801" t="inlineStr">
        <is>
          <t>Servicios</t>
        </is>
      </c>
      <c r="C801" t="inlineStr">
        <is>
          <t>Pago turnos</t>
        </is>
      </c>
      <c r="D801" t="inlineStr">
        <is>
          <t>Kelly cocina - Turno (Recibo Caja Menor)</t>
        </is>
      </c>
      <c r="E801" t="n">
        <v>1</v>
      </c>
      <c r="F801" t="n">
        <v>68000</v>
      </c>
      <c r="G801" t="n">
        <v>68000</v>
      </c>
    </row>
    <row r="802">
      <c r="A802" t="n">
        <v>11</v>
      </c>
      <c r="B802" t="inlineStr">
        <is>
          <t>Carnes</t>
        </is>
      </c>
      <c r="C802" t="inlineStr">
        <is>
          <t>Pezua</t>
        </is>
      </c>
      <c r="D802" t="inlineStr">
        <is>
          <t>PEZUNA CERDO A GRANEL 4.010kg (Supertiendas Cañaveral)</t>
        </is>
      </c>
      <c r="E802" t="n">
        <v>4.01</v>
      </c>
      <c r="F802" t="n">
        <v>9700</v>
      </c>
      <c r="G802" t="n">
        <v>38897</v>
      </c>
    </row>
    <row r="803">
      <c r="A803" t="n">
        <v>11</v>
      </c>
      <c r="B803" t="inlineStr">
        <is>
          <t>Carnes</t>
        </is>
      </c>
      <c r="C803" t="inlineStr">
        <is>
          <t>Pezua</t>
        </is>
      </c>
      <c r="D803" t="inlineStr">
        <is>
          <t>PEZUNA CERDO A GRANEL 3.105kg (Supertiendas Cañaveral)</t>
        </is>
      </c>
      <c r="E803" t="n">
        <v>3.105</v>
      </c>
      <c r="F803" t="n">
        <v>9700</v>
      </c>
      <c r="G803" t="n">
        <v>30119</v>
      </c>
    </row>
    <row r="804">
      <c r="A804" t="n">
        <v>11</v>
      </c>
      <c r="B804" t="inlineStr">
        <is>
          <t>Bebidas</t>
        </is>
      </c>
      <c r="C804" t="inlineStr">
        <is>
          <t>Bloque media</t>
        </is>
      </c>
      <c r="D804" t="inlineStr">
        <is>
          <t>BLOQUE MEDIA (Hielo El Nevado SF44291)</t>
        </is>
      </c>
      <c r="E804" t="n">
        <v>2</v>
      </c>
      <c r="F804" t="n">
        <v>9500</v>
      </c>
      <c r="G804" t="n">
        <v>19000</v>
      </c>
    </row>
    <row r="805">
      <c r="A805" t="n">
        <v>11</v>
      </c>
      <c r="B805" t="inlineStr">
        <is>
          <t>Bebidas</t>
        </is>
      </c>
      <c r="C805" t="inlineStr">
        <is>
          <t>Bolsa 5kl tubular</t>
        </is>
      </c>
      <c r="D805" t="inlineStr">
        <is>
          <t>BOLSA X 5 KL TUBULAR (Hielo El Nevado SF44291)</t>
        </is>
      </c>
      <c r="E805" t="n">
        <v>6</v>
      </c>
      <c r="F805" t="n">
        <v>5000</v>
      </c>
      <c r="G805" t="n">
        <v>30000</v>
      </c>
    </row>
    <row r="806">
      <c r="A806" t="n">
        <v>8</v>
      </c>
      <c r="B806" t="inlineStr">
        <is>
          <t>Desechables</t>
        </is>
      </c>
      <c r="C806" t="inlineStr">
        <is>
          <t>Mercancias Varias Excentas</t>
        </is>
      </c>
      <c r="D806" t="inlineStr">
        <is>
          <t>Wilson - Cuchillos (Recibo Caja Menor)</t>
        </is>
      </c>
      <c r="E806" t="n">
        <v>1</v>
      </c>
      <c r="F806" t="n">
        <v>168000</v>
      </c>
      <c r="G806" t="n">
        <v>168000</v>
      </c>
    </row>
    <row r="807">
      <c r="A807" t="n">
        <v>8</v>
      </c>
      <c r="B807" t="inlineStr">
        <is>
          <t>Desechables</t>
        </is>
      </c>
      <c r="C807" t="inlineStr">
        <is>
          <t>Resma de papel</t>
        </is>
      </c>
      <c r="D807" t="inlineStr">
        <is>
          <t>Wilson - 2 cuadernos (Recibo Caja Menor)</t>
        </is>
      </c>
      <c r="E807" t="n">
        <v>2</v>
      </c>
      <c r="F807" t="n">
        <v>3500</v>
      </c>
      <c r="G807" t="n">
        <v>7000</v>
      </c>
    </row>
    <row r="808">
      <c r="A808" t="n">
        <v>8</v>
      </c>
      <c r="B808" t="inlineStr">
        <is>
          <t>Carnes</t>
        </is>
      </c>
      <c r="C808" t="inlineStr">
        <is>
          <t>Bagre de mar</t>
        </is>
      </c>
      <c r="D808" t="inlineStr">
        <is>
          <t>CABEZAS DE PESCADO A GRANEL 4.698kg (Supertiendas Cañaveral)</t>
        </is>
      </c>
      <c r="E808" t="n">
        <v>4.698</v>
      </c>
      <c r="F808" t="n">
        <v>6700</v>
      </c>
      <c r="G808" t="n">
        <v>31477</v>
      </c>
    </row>
    <row r="809">
      <c r="A809" t="n">
        <v>16</v>
      </c>
      <c r="B809" t="inlineStr">
        <is>
          <t>Verduras</t>
        </is>
      </c>
      <c r="C809" t="inlineStr">
        <is>
          <t>Platano verde</t>
        </is>
      </c>
      <c r="D809" t="inlineStr">
        <is>
          <t>Plátano Verde (Monica Molina)</t>
        </is>
      </c>
      <c r="E809" t="n">
        <v>25</v>
      </c>
      <c r="F809" t="n">
        <v>2200</v>
      </c>
      <c r="G809" t="n">
        <v>55000</v>
      </c>
    </row>
    <row r="810">
      <c r="A810" t="n">
        <v>17</v>
      </c>
      <c r="B810" t="inlineStr">
        <is>
          <t>Verduras</t>
        </is>
      </c>
      <c r="C810" t="inlineStr">
        <is>
          <t>Platano verde</t>
        </is>
      </c>
      <c r="D810" t="inlineStr">
        <is>
          <t>Plátano Verde (Monica Molina)</t>
        </is>
      </c>
      <c r="E810" t="n">
        <v>25.8</v>
      </c>
      <c r="F810" t="n">
        <v>2200</v>
      </c>
      <c r="G810" t="n">
        <v>56800</v>
      </c>
    </row>
    <row r="811">
      <c r="A811" t="n">
        <v>17</v>
      </c>
      <c r="B811" t="inlineStr">
        <is>
          <t>Verduras</t>
        </is>
      </c>
      <c r="C811" t="inlineStr">
        <is>
          <t>Platano maduro</t>
        </is>
      </c>
      <c r="D811" t="inlineStr">
        <is>
          <t>Plátano Maduro (Monica Molina)</t>
        </is>
      </c>
      <c r="E811" t="n">
        <v>25.7</v>
      </c>
      <c r="F811" t="n">
        <v>2200</v>
      </c>
      <c r="G811" t="n">
        <v>56500</v>
      </c>
    </row>
    <row r="812">
      <c r="A812" t="n">
        <v>28</v>
      </c>
      <c r="B812" t="inlineStr">
        <is>
          <t>Bebidas</t>
        </is>
      </c>
      <c r="C812" t="inlineStr">
        <is>
          <t>Bloque media</t>
        </is>
      </c>
      <c r="D812" t="inlineStr">
        <is>
          <t>BLOQUE MEDIA (Hielo El Nevado SF44732)</t>
        </is>
      </c>
      <c r="E812" t="n">
        <v>2</v>
      </c>
      <c r="F812" t="n">
        <v>9500</v>
      </c>
      <c r="G812" t="n">
        <v>19000</v>
      </c>
    </row>
    <row r="813">
      <c r="A813" t="n">
        <v>28</v>
      </c>
      <c r="B813" t="inlineStr">
        <is>
          <t>Bebidas</t>
        </is>
      </c>
      <c r="C813" t="inlineStr">
        <is>
          <t>Bolsa 5kl tubular</t>
        </is>
      </c>
      <c r="D813" t="inlineStr">
        <is>
          <t>BOLSA X 5 KL TUBULAR (Hielo El Nevado SF44732)</t>
        </is>
      </c>
      <c r="E813" t="n">
        <v>3</v>
      </c>
      <c r="F813" t="n">
        <v>5000</v>
      </c>
      <c r="G813" t="n">
        <v>15000</v>
      </c>
    </row>
    <row r="814">
      <c r="A814" t="n">
        <v>28</v>
      </c>
      <c r="B814" t="inlineStr">
        <is>
          <t>Desechables</t>
        </is>
      </c>
      <c r="C814" t="inlineStr">
        <is>
          <t>Mazamorra</t>
        </is>
      </c>
      <c r="D814" t="inlineStr">
        <is>
          <t>Franco Bravo - Mazamorra (Recibo Caja Menor)</t>
        </is>
      </c>
      <c r="E814" t="n">
        <v>1</v>
      </c>
      <c r="F814" t="n">
        <v>20000</v>
      </c>
      <c r="G814" t="n">
        <v>20000</v>
      </c>
    </row>
    <row r="815">
      <c r="A815" t="n">
        <v>28</v>
      </c>
      <c r="B815" t="inlineStr">
        <is>
          <t>Servicios</t>
        </is>
      </c>
      <c r="C815" t="inlineStr">
        <is>
          <t>Acopi</t>
        </is>
      </c>
      <c r="D815" t="inlineStr">
        <is>
          <t>Acopi (Recibo Caja Menor)</t>
        </is>
      </c>
      <c r="E815" t="n">
        <v>1</v>
      </c>
      <c r="F815" t="n">
        <v>30000</v>
      </c>
      <c r="G815" t="n">
        <v>30000</v>
      </c>
    </row>
    <row r="816">
      <c r="A816" t="n">
        <v>30</v>
      </c>
      <c r="B816" t="inlineStr">
        <is>
          <t>Bebidas</t>
        </is>
      </c>
      <c r="C816" t="inlineStr">
        <is>
          <t>Bloque media</t>
        </is>
      </c>
      <c r="D816" t="inlineStr">
        <is>
          <t>BLOQUE MEDIA (Hielo El Nevado SF44793)</t>
        </is>
      </c>
      <c r="E816" t="n">
        <v>2</v>
      </c>
      <c r="F816" t="n">
        <v>9500</v>
      </c>
      <c r="G816" t="n">
        <v>19000</v>
      </c>
    </row>
    <row r="817">
      <c r="A817" t="n">
        <v>30</v>
      </c>
      <c r="B817" t="inlineStr">
        <is>
          <t>Bebidas</t>
        </is>
      </c>
      <c r="C817" t="inlineStr">
        <is>
          <t>Bolsa 5kl tubular</t>
        </is>
      </c>
      <c r="D817" t="inlineStr">
        <is>
          <t>BOLSA X 5 KL TUBULAR (Hielo El Nevado SF44793)</t>
        </is>
      </c>
      <c r="E817" t="n">
        <v>5</v>
      </c>
      <c r="F817" t="n">
        <v>5000</v>
      </c>
      <c r="G817" t="n">
        <v>25000</v>
      </c>
    </row>
    <row r="818">
      <c r="A818" t="n">
        <v>30</v>
      </c>
      <c r="B818" t="inlineStr">
        <is>
          <t>Grano</t>
        </is>
      </c>
      <c r="C818" t="inlineStr">
        <is>
          <t>Aceite de soya</t>
        </is>
      </c>
      <c r="D818" t="inlineStr">
        <is>
          <t>ACEITE DE SOY (Supertiendas Cañaveral)</t>
        </is>
      </c>
      <c r="E818" t="n">
        <v>1</v>
      </c>
      <c r="F818" t="n">
        <v>22950</v>
      </c>
      <c r="G818" t="n">
        <v>22950</v>
      </c>
    </row>
    <row r="819">
      <c r="A819" t="n">
        <v>30</v>
      </c>
      <c r="B819" t="inlineStr">
        <is>
          <t>Carnes</t>
        </is>
      </c>
      <c r="C819" t="inlineStr">
        <is>
          <t>Rellena</t>
        </is>
      </c>
      <c r="D819" t="inlineStr">
        <is>
          <t>Rellena (Rellenitas Gourmet FE1560)</t>
        </is>
      </c>
      <c r="E819" t="n">
        <v>5</v>
      </c>
      <c r="F819" t="n">
        <v>19500</v>
      </c>
      <c r="G819" t="n">
        <v>97500</v>
      </c>
    </row>
    <row r="820">
      <c r="A820" t="n">
        <v>29</v>
      </c>
      <c r="B820" t="inlineStr">
        <is>
          <t>Servicios</t>
        </is>
      </c>
      <c r="C820" t="inlineStr">
        <is>
          <t>Arreglo Tubos x Materiales</t>
        </is>
      </c>
      <c r="D820" t="inlineStr">
        <is>
          <t>Jhon F - Mano de obra Nevera (Recibo Caja Menor)</t>
        </is>
      </c>
      <c r="E820" t="n">
        <v>1</v>
      </c>
      <c r="F820" t="n">
        <v>320000</v>
      </c>
      <c r="G820" t="n">
        <v>320000</v>
      </c>
    </row>
    <row r="821">
      <c r="A821" t="n">
        <v>29</v>
      </c>
      <c r="B821" t="inlineStr">
        <is>
          <t>Verduras</t>
        </is>
      </c>
      <c r="C821" t="inlineStr">
        <is>
          <t>Yuca pelada</t>
        </is>
      </c>
      <c r="D821" t="inlineStr">
        <is>
          <t>10 kl Yuca pelada (Cuenta de Cobro)</t>
        </is>
      </c>
      <c r="E821" t="n">
        <v>10</v>
      </c>
      <c r="F821" t="n">
        <v>4500</v>
      </c>
      <c r="G821" t="n">
        <v>45000</v>
      </c>
    </row>
    <row r="822">
      <c r="A822" t="n">
        <v>29</v>
      </c>
      <c r="B822" t="inlineStr">
        <is>
          <t>Verduras</t>
        </is>
      </c>
      <c r="C822" t="inlineStr">
        <is>
          <t>Aguacate</t>
        </is>
      </c>
      <c r="D822" t="inlineStr">
        <is>
          <t>20 Aguacates (Recibo Caja Menor)</t>
        </is>
      </c>
      <c r="E822" t="n">
        <v>20</v>
      </c>
      <c r="F822" t="n">
        <v>8000</v>
      </c>
      <c r="G822" t="n">
        <v>160000</v>
      </c>
    </row>
    <row r="823">
      <c r="A823" t="n">
        <v>29</v>
      </c>
      <c r="B823" t="inlineStr">
        <is>
          <t>Servicios</t>
        </is>
      </c>
      <c r="C823" t="inlineStr">
        <is>
          <t>Servicios temporales</t>
        </is>
      </c>
      <c r="D823" t="inlineStr">
        <is>
          <t>Botada Escombros (Recibo Caja Menor)</t>
        </is>
      </c>
      <c r="E823" t="n">
        <v>1</v>
      </c>
      <c r="F823" t="n">
        <v>10000</v>
      </c>
      <c r="G823" t="n">
        <v>10000</v>
      </c>
    </row>
    <row r="824">
      <c r="A824" t="n">
        <v>29</v>
      </c>
      <c r="B824" t="inlineStr">
        <is>
          <t>Desechables</t>
        </is>
      </c>
      <c r="C824" t="inlineStr">
        <is>
          <t>Mercancias Varias Excentas</t>
        </is>
      </c>
      <c r="D824" t="inlineStr">
        <is>
          <t>Una Pera Exprimidor (Recibo Caja Menor)</t>
        </is>
      </c>
      <c r="E824" t="n">
        <v>1</v>
      </c>
      <c r="F824" t="n">
        <v>15000</v>
      </c>
      <c r="G824" t="n">
        <v>15000</v>
      </c>
    </row>
    <row r="825">
      <c r="A825" t="n">
        <v>29</v>
      </c>
      <c r="B825" t="inlineStr">
        <is>
          <t>Desechables</t>
        </is>
      </c>
      <c r="C825" t="inlineStr">
        <is>
          <t>Mazamorra</t>
        </is>
      </c>
      <c r="D825" t="inlineStr">
        <is>
          <t>Franco Bravo - Mazamorra (Recibo Caja Menor)</t>
        </is>
      </c>
      <c r="E825" t="n">
        <v>1</v>
      </c>
      <c r="F825" t="n">
        <v>25000</v>
      </c>
      <c r="G825" t="n">
        <v>25000</v>
      </c>
    </row>
    <row r="826">
      <c r="A826" t="n">
        <v>29</v>
      </c>
      <c r="B826" t="inlineStr">
        <is>
          <t>Bebidas</t>
        </is>
      </c>
      <c r="C826" t="inlineStr">
        <is>
          <t>Bolsa 5kl tubular</t>
        </is>
      </c>
      <c r="D826" t="inlineStr">
        <is>
          <t>2 Hielo (Licores Zafiro)</t>
        </is>
      </c>
      <c r="E826" t="n">
        <v>2</v>
      </c>
      <c r="F826" t="n">
        <v>5000</v>
      </c>
      <c r="G826" t="n">
        <v>10000</v>
      </c>
    </row>
    <row r="827">
      <c r="A827" t="n">
        <v>29</v>
      </c>
      <c r="B827" t="inlineStr">
        <is>
          <t>Desechables</t>
        </is>
      </c>
      <c r="C827" t="inlineStr">
        <is>
          <t>Detergente dersax 1000</t>
        </is>
      </c>
      <c r="D827" t="inlineStr">
        <is>
          <t>DETER DERSA*2000g VINAGRE+LIMON (Supertiendas Cañaveral)</t>
        </is>
      </c>
      <c r="E827" t="n">
        <v>1</v>
      </c>
      <c r="F827" t="n">
        <v>21200</v>
      </c>
      <c r="G827" t="n">
        <v>21200</v>
      </c>
    </row>
    <row r="828">
      <c r="A828" t="n">
        <v>20</v>
      </c>
      <c r="B828" t="inlineStr">
        <is>
          <t>Bebidas</t>
        </is>
      </c>
      <c r="C828" t="inlineStr">
        <is>
          <t>Lulo 100 gr</t>
        </is>
      </c>
      <c r="D828" t="inlineStr">
        <is>
          <t>B Lulo 125 gr (Fruitty Frezze FE21343)</t>
        </is>
      </c>
      <c r="E828" t="n">
        <v>5</v>
      </c>
      <c r="F828" t="n">
        <v>12600</v>
      </c>
      <c r="G828" t="n">
        <v>63000</v>
      </c>
    </row>
    <row r="829">
      <c r="A829" t="n">
        <v>20</v>
      </c>
      <c r="B829" t="inlineStr">
        <is>
          <t>Bebidas</t>
        </is>
      </c>
      <c r="C829" t="inlineStr">
        <is>
          <t>Maracuya 100gr</t>
        </is>
      </c>
      <c r="D829" t="inlineStr">
        <is>
          <t>G Maracuya 125 gr (Fruitty Frezze FE21343)</t>
        </is>
      </c>
      <c r="E829" t="n">
        <v>5</v>
      </c>
      <c r="F829" t="n">
        <v>17950</v>
      </c>
      <c r="G829" t="n">
        <v>89750</v>
      </c>
    </row>
    <row r="830">
      <c r="A830" t="n">
        <v>20</v>
      </c>
      <c r="B830" t="inlineStr">
        <is>
          <t>Bebidas</t>
        </is>
      </c>
      <c r="C830" t="inlineStr">
        <is>
          <t>Mango 100gr</t>
        </is>
      </c>
      <c r="D830" t="inlineStr">
        <is>
          <t>A Mango 125 gr (Fruitty Frezze FE21343)</t>
        </is>
      </c>
      <c r="E830" t="n">
        <v>5</v>
      </c>
      <c r="F830" t="n">
        <v>12900</v>
      </c>
      <c r="G830" t="n">
        <v>64500</v>
      </c>
    </row>
    <row r="831">
      <c r="A831" t="n">
        <v>20</v>
      </c>
      <c r="B831" t="inlineStr">
        <is>
          <t>Bebidas</t>
        </is>
      </c>
      <c r="C831" t="inlineStr">
        <is>
          <t>Mora 100gr</t>
        </is>
      </c>
      <c r="D831" t="inlineStr">
        <is>
          <t>C Mora 125 gr (Fruitty Frezze FE21343)</t>
        </is>
      </c>
      <c r="E831" t="n">
        <v>3</v>
      </c>
      <c r="F831" t="n">
        <v>12700</v>
      </c>
      <c r="G831" t="n">
        <v>38100</v>
      </c>
    </row>
    <row r="832">
      <c r="A832" t="n">
        <v>20</v>
      </c>
      <c r="B832" t="inlineStr">
        <is>
          <t>Bebidas</t>
        </is>
      </c>
      <c r="C832" t="inlineStr">
        <is>
          <t>Limonada coco</t>
        </is>
      </c>
      <c r="D832" t="inlineStr">
        <is>
          <t>F Guanabana 125 gr (Fruitty Frezze FE21343)</t>
        </is>
      </c>
      <c r="E832" t="n">
        <v>3</v>
      </c>
      <c r="F832" t="n">
        <v>15500</v>
      </c>
      <c r="G832" t="n">
        <v>46500</v>
      </c>
    </row>
    <row r="833">
      <c r="A833" t="n">
        <v>20</v>
      </c>
      <c r="B833" t="inlineStr">
        <is>
          <t>Bebidas</t>
        </is>
      </c>
      <c r="C833" t="inlineStr">
        <is>
          <t>Cerezada</t>
        </is>
      </c>
      <c r="D833" t="inlineStr">
        <is>
          <t>ZE Limonada Cerezada 143 gr (Fruitty Frezze FE21343)</t>
        </is>
      </c>
      <c r="E833" t="n">
        <v>3</v>
      </c>
      <c r="F833" t="n">
        <v>16800</v>
      </c>
      <c r="G833" t="n">
        <v>50400</v>
      </c>
    </row>
    <row r="834">
      <c r="A834" t="n">
        <v>25</v>
      </c>
      <c r="B834" t="inlineStr">
        <is>
          <t>Carnes</t>
        </is>
      </c>
      <c r="C834" t="inlineStr">
        <is>
          <t>Bagre de mar</t>
        </is>
      </c>
      <c r="D834" t="inlineStr">
        <is>
          <t>CABEZAS DE PESCADO A GRANEL 1.680kg (Supertiendas Cañaveral)</t>
        </is>
      </c>
      <c r="E834" t="n">
        <v>1.68</v>
      </c>
      <c r="F834" t="n">
        <v>6700</v>
      </c>
      <c r="G834" t="n">
        <v>11256</v>
      </c>
    </row>
    <row r="835">
      <c r="A835" t="n">
        <v>25</v>
      </c>
      <c r="B835" t="inlineStr">
        <is>
          <t>Carnes</t>
        </is>
      </c>
      <c r="C835" t="inlineStr">
        <is>
          <t>Mortadela</t>
        </is>
      </c>
      <c r="D835" t="inlineStr">
        <is>
          <t>MORTADELA RICA*450g (Supertiendas Cañaveral)</t>
        </is>
      </c>
      <c r="E835" t="n">
        <v>1</v>
      </c>
      <c r="F835" t="n">
        <v>10600</v>
      </c>
      <c r="G835" t="n">
        <v>10600</v>
      </c>
    </row>
    <row r="836">
      <c r="A836" t="n">
        <v>25</v>
      </c>
      <c r="B836" t="inlineStr">
        <is>
          <t>Grano</t>
        </is>
      </c>
      <c r="C836" t="inlineStr">
        <is>
          <t>Margarina la buena*125g barra</t>
        </is>
      </c>
      <c r="D836" t="inlineStr">
        <is>
          <t>ESPARCIBLE RAMA*125g BARRA (Supertiendas Cañaveral)</t>
        </is>
      </c>
      <c r="E836" t="n">
        <v>1</v>
      </c>
      <c r="F836" t="n">
        <v>3100</v>
      </c>
      <c r="G836" t="n">
        <v>3100</v>
      </c>
    </row>
    <row r="837">
      <c r="A837" t="n">
        <v>25</v>
      </c>
      <c r="B837" t="inlineStr">
        <is>
          <t>Verduras</t>
        </is>
      </c>
      <c r="C837" t="inlineStr">
        <is>
          <t>Aguacate comn</t>
        </is>
      </c>
      <c r="D837" t="inlineStr">
        <is>
          <t>AGUACATE COMUN*und x 5 (Supertiendas Cañaveral)</t>
        </is>
      </c>
      <c r="E837" t="n">
        <v>5</v>
      </c>
      <c r="F837" t="n">
        <v>6800</v>
      </c>
      <c r="G837" t="n">
        <v>34000</v>
      </c>
    </row>
    <row r="838">
      <c r="A838" t="n">
        <v>25</v>
      </c>
      <c r="B838" t="inlineStr">
        <is>
          <t>Bebidas</t>
        </is>
      </c>
      <c r="C838" t="inlineStr">
        <is>
          <t>Bloque media</t>
        </is>
      </c>
      <c r="D838" t="inlineStr">
        <is>
          <t>BLOQUE MEDIA (Hielo El Nevado SF44664)</t>
        </is>
      </c>
      <c r="E838" t="n">
        <v>2</v>
      </c>
      <c r="F838" t="n">
        <v>9500</v>
      </c>
      <c r="G838" t="n">
        <v>19000</v>
      </c>
    </row>
    <row r="839">
      <c r="A839" t="n">
        <v>25</v>
      </c>
      <c r="B839" t="inlineStr">
        <is>
          <t>Bebidas</t>
        </is>
      </c>
      <c r="C839" t="inlineStr">
        <is>
          <t>Bolsa 5kl tubular</t>
        </is>
      </c>
      <c r="D839" t="inlineStr">
        <is>
          <t>BOLSA X 5 KL TUBULAR (Hielo El Nevado SF44664)</t>
        </is>
      </c>
      <c r="E839" t="n">
        <v>2</v>
      </c>
      <c r="F839" t="n">
        <v>5000</v>
      </c>
      <c r="G839" t="n">
        <v>10000</v>
      </c>
    </row>
    <row r="840">
      <c r="A840" t="n">
        <v>25</v>
      </c>
      <c r="B840" t="inlineStr">
        <is>
          <t>Servicios</t>
        </is>
      </c>
      <c r="C840" t="inlineStr">
        <is>
          <t>Acopi</t>
        </is>
      </c>
      <c r="D840" t="inlineStr">
        <is>
          <t>Acopi (Recibo Caja Menor)</t>
        </is>
      </c>
      <c r="E840" t="n">
        <v>1</v>
      </c>
      <c r="F840" t="n">
        <v>30000</v>
      </c>
      <c r="G840" t="n">
        <v>30000</v>
      </c>
    </row>
    <row r="841">
      <c r="A841" t="n">
        <v>30</v>
      </c>
      <c r="B841" t="inlineStr">
        <is>
          <t>Carnes</t>
        </is>
      </c>
      <c r="C841" t="inlineStr">
        <is>
          <t>Pezua</t>
        </is>
      </c>
      <c r="D841" t="inlineStr">
        <is>
          <t>PEZUNA CERDO A GRANEL 6.980kg (Supertiendas Cañaveral)</t>
        </is>
      </c>
      <c r="E841" t="n">
        <v>6.98</v>
      </c>
      <c r="F841" t="n">
        <v>9700</v>
      </c>
      <c r="G841" t="n">
        <v>67706</v>
      </c>
    </row>
    <row r="842">
      <c r="A842" t="n">
        <v>30</v>
      </c>
      <c r="B842" t="inlineStr">
        <is>
          <t>Carnes</t>
        </is>
      </c>
      <c r="C842" t="inlineStr">
        <is>
          <t>Espinazo de cerdo</t>
        </is>
      </c>
      <c r="D842" t="inlineStr">
        <is>
          <t>ESPINAZO CERDO A GRANEL 6.150kg (Supertiendas Cañaveral)</t>
        </is>
      </c>
      <c r="E842" t="n">
        <v>6.15</v>
      </c>
      <c r="F842" t="n">
        <v>7200</v>
      </c>
      <c r="G842" t="n">
        <v>44280</v>
      </c>
    </row>
    <row r="843">
      <c r="A843" t="n">
        <v>30</v>
      </c>
      <c r="B843" t="inlineStr">
        <is>
          <t>Desechables</t>
        </is>
      </c>
      <c r="C843" t="inlineStr">
        <is>
          <t>Bolsa canaveral 100% material recicl f</t>
        </is>
      </c>
      <c r="D843" t="inlineStr">
        <is>
          <t>BOLSA CANAVERAL 100% MATERIAL RECICL P x 2 (Supertiendas Cañaveral)</t>
        </is>
      </c>
      <c r="E843" t="n">
        <v>2</v>
      </c>
      <c r="F843" t="n">
        <v>300</v>
      </c>
      <c r="G843" t="n">
        <v>600</v>
      </c>
    </row>
    <row r="844">
      <c r="A844" t="n">
        <v>28</v>
      </c>
      <c r="B844" t="inlineStr">
        <is>
          <t>Grano</t>
        </is>
      </c>
      <c r="C844" t="inlineStr">
        <is>
          <t>Aceite de soya</t>
        </is>
      </c>
      <c r="D844" t="inlineStr">
        <is>
          <t>ACEITE DE SOY (3 UN) (Factura L1S110253)</t>
        </is>
      </c>
      <c r="E844" t="n">
        <v>3</v>
      </c>
      <c r="F844" t="n">
        <v>22983.3333</v>
      </c>
      <c r="G844" t="n">
        <v>68950</v>
      </c>
    </row>
    <row r="845">
      <c r="A845" t="n">
        <v>31</v>
      </c>
      <c r="B845" t="inlineStr">
        <is>
          <t>Bebidas</t>
        </is>
      </c>
      <c r="C845" t="inlineStr">
        <is>
          <t>Bloque media</t>
        </is>
      </c>
      <c r="D845" t="inlineStr">
        <is>
          <t>BLOQUE MEDIA (Hielo El Nevado SF44825)</t>
        </is>
      </c>
      <c r="E845" t="n">
        <v>2</v>
      </c>
      <c r="F845" t="n">
        <v>9500</v>
      </c>
      <c r="G845" t="n">
        <v>19000</v>
      </c>
    </row>
    <row r="846">
      <c r="A846" t="n">
        <v>31</v>
      </c>
      <c r="B846" t="inlineStr">
        <is>
          <t>Bebidas</t>
        </is>
      </c>
      <c r="C846" t="inlineStr">
        <is>
          <t>Bolsa 5kl tubular</t>
        </is>
      </c>
      <c r="D846" t="inlineStr">
        <is>
          <t>BOLSA X 5 KL TUBULAR (Hielo El Nevado SF44825)</t>
        </is>
      </c>
      <c r="E846" t="n">
        <v>3</v>
      </c>
      <c r="F846" t="n">
        <v>5000</v>
      </c>
      <c r="G846" t="n">
        <v>15000</v>
      </c>
    </row>
    <row r="847">
      <c r="A847" t="n">
        <v>31</v>
      </c>
      <c r="B847" t="inlineStr">
        <is>
          <t>Carnes</t>
        </is>
      </c>
      <c r="C847" t="inlineStr">
        <is>
          <t>Atunes Und</t>
        </is>
      </c>
      <c r="D847" t="inlineStr">
        <is>
          <t>ATUN EN ACEIT 4 UN (D1 FE L1R9188290)</t>
        </is>
      </c>
      <c r="E847" t="n">
        <v>4</v>
      </c>
      <c r="F847" t="n">
        <v>5400</v>
      </c>
      <c r="G847" t="n">
        <v>21600</v>
      </c>
    </row>
    <row r="848">
      <c r="A848" t="n">
        <v>31</v>
      </c>
      <c r="B848" t="inlineStr">
        <is>
          <t>Verduras</t>
        </is>
      </c>
      <c r="C848" t="inlineStr">
        <is>
          <t>Aguacate</t>
        </is>
      </c>
      <c r="D848" t="inlineStr">
        <is>
          <t>28 Aguacates (Recibo Caja Menor)</t>
        </is>
      </c>
      <c r="E848" t="n">
        <v>28</v>
      </c>
      <c r="F848" t="n">
        <v>7000</v>
      </c>
      <c r="G848" t="n">
        <v>196000</v>
      </c>
    </row>
    <row r="849">
      <c r="A849" t="n">
        <v>31</v>
      </c>
      <c r="B849" t="inlineStr">
        <is>
          <t>Desechables</t>
        </is>
      </c>
      <c r="C849" t="inlineStr">
        <is>
          <t>Mercancias Varias Excentas</t>
        </is>
      </c>
      <c r="D849" t="inlineStr">
        <is>
          <t>10 soperas (Artesanias Margoth Factura 4392)</t>
        </is>
      </c>
      <c r="E849" t="n">
        <v>10</v>
      </c>
      <c r="F849" t="n">
        <v>6000</v>
      </c>
      <c r="G849" t="n">
        <v>60000</v>
      </c>
    </row>
    <row r="850">
      <c r="A850" t="n">
        <v>31</v>
      </c>
      <c r="B850" t="inlineStr">
        <is>
          <t>Desechables</t>
        </is>
      </c>
      <c r="C850" t="inlineStr">
        <is>
          <t>Mercancias Varias Excentas</t>
        </is>
      </c>
      <c r="D850" t="inlineStr">
        <is>
          <t>1 lamina churrasquera (Artesanias Margoth Factura 4392)</t>
        </is>
      </c>
      <c r="E850" t="n">
        <v>1</v>
      </c>
      <c r="F850" t="n">
        <v>28000</v>
      </c>
      <c r="G850" t="n">
        <v>28000</v>
      </c>
    </row>
    <row r="851">
      <c r="A851" t="n">
        <v>31</v>
      </c>
      <c r="B851" t="inlineStr">
        <is>
          <t>Desechables</t>
        </is>
      </c>
      <c r="C851" t="inlineStr">
        <is>
          <t>Mercancias Varias Excentas</t>
        </is>
      </c>
      <c r="D851" t="inlineStr">
        <is>
          <t>2 portacazuelas (Artesanias Margoth Factura 4392)</t>
        </is>
      </c>
      <c r="E851" t="n">
        <v>2</v>
      </c>
      <c r="F851" t="n">
        <v>9000</v>
      </c>
      <c r="G851" t="n">
        <v>18000</v>
      </c>
    </row>
    <row r="852">
      <c r="A852" t="n">
        <v>31</v>
      </c>
      <c r="B852" t="inlineStr">
        <is>
          <t>Verduras</t>
        </is>
      </c>
      <c r="C852" t="inlineStr">
        <is>
          <t>Perejil</t>
        </is>
      </c>
      <c r="D852" t="inlineStr">
        <is>
          <t>Perejil Crespo 4 un (Almacenes Exito)</t>
        </is>
      </c>
      <c r="E852" t="n">
        <v>4</v>
      </c>
      <c r="F852" t="n">
        <v>1480</v>
      </c>
      <c r="G852" t="n">
        <v>5920</v>
      </c>
    </row>
    <row r="853">
      <c r="A853" t="n">
        <v>31</v>
      </c>
      <c r="B853" t="inlineStr">
        <is>
          <t>Desechables</t>
        </is>
      </c>
      <c r="C853" t="inlineStr">
        <is>
          <t>Crema de leche</t>
        </is>
      </c>
      <c r="D853" t="inlineStr">
        <is>
          <t>CREMA DE LECH ALQUERIA*400g (Supertiendas Canaveral)</t>
        </is>
      </c>
      <c r="E853" t="n">
        <v>2</v>
      </c>
      <c r="F853" t="n">
        <v>11800</v>
      </c>
      <c r="G853" t="n">
        <v>23600</v>
      </c>
    </row>
    <row r="854">
      <c r="A854" t="n">
        <v>31</v>
      </c>
      <c r="B854" t="inlineStr">
        <is>
          <t>Grano</t>
        </is>
      </c>
      <c r="C854" t="inlineStr">
        <is>
          <t>Pasta la muñeca</t>
        </is>
      </c>
      <c r="D854" t="inlineStr">
        <is>
          <t>PASTA LA MUNECA*1000g ESPAGUETI (Supertiendas Canaveral)</t>
        </is>
      </c>
      <c r="E854" t="n">
        <v>1</v>
      </c>
      <c r="F854" t="n">
        <v>4950</v>
      </c>
      <c r="G854" t="n">
        <v>4950</v>
      </c>
    </row>
    <row r="855">
      <c r="A855" t="n">
        <v>21</v>
      </c>
      <c r="B855" t="inlineStr">
        <is>
          <t>Grano</t>
        </is>
      </c>
      <c r="C855" t="inlineStr">
        <is>
          <t>Panela</t>
        </is>
      </c>
      <c r="D855" t="inlineStr">
        <is>
          <t>15 Panela (Cuenta de Cobro)</t>
        </is>
      </c>
      <c r="E855" t="n">
        <v>15</v>
      </c>
      <c r="F855" t="n">
        <v>13000</v>
      </c>
      <c r="G855" t="n">
        <v>195000</v>
      </c>
    </row>
    <row r="856">
      <c r="A856" t="n">
        <v>21</v>
      </c>
      <c r="B856" t="inlineStr">
        <is>
          <t>Carnes</t>
        </is>
      </c>
      <c r="C856" t="inlineStr">
        <is>
          <t>Chorizo coctelero x 40</t>
        </is>
      </c>
      <c r="D856" t="inlineStr">
        <is>
          <t>CHORIZO PREMIUM COCTELERO PAQ. X 40 UND. (MONTERO FAC 6592)</t>
        </is>
      </c>
      <c r="E856" t="n">
        <v>5</v>
      </c>
      <c r="F856" t="n">
        <v>48000</v>
      </c>
      <c r="G856" t="n">
        <v>240000</v>
      </c>
    </row>
    <row r="857">
      <c r="A857" t="n">
        <v>23</v>
      </c>
      <c r="B857" t="inlineStr">
        <is>
          <t>Grano</t>
        </is>
      </c>
      <c r="C857" t="inlineStr">
        <is>
          <t>Aceite de soya</t>
        </is>
      </c>
      <c r="D857" t="inlineStr">
        <is>
          <t>ACEITE DE SOY 6 UN (D1 FE L1R9184599)</t>
        </is>
      </c>
      <c r="E857" t="n">
        <v>6</v>
      </c>
      <c r="F857" t="n">
        <v>22983.33333333333</v>
      </c>
      <c r="G857" t="n">
        <v>137900</v>
      </c>
    </row>
    <row r="858">
      <c r="A858" t="n">
        <v>23</v>
      </c>
      <c r="B858" t="inlineStr">
        <is>
          <t>Verduras</t>
        </is>
      </c>
      <c r="C858" t="inlineStr">
        <is>
          <t>Aguacate</t>
        </is>
      </c>
      <c r="D858" t="inlineStr">
        <is>
          <t>20 Aguacates (Recibo Caja Menor)</t>
        </is>
      </c>
      <c r="E858" t="n">
        <v>20</v>
      </c>
      <c r="F858" t="n">
        <v>7000</v>
      </c>
      <c r="G858" t="n">
        <v>140000</v>
      </c>
    </row>
    <row r="859">
      <c r="A859" t="n">
        <v>22</v>
      </c>
      <c r="B859" t="inlineStr">
        <is>
          <t>Verduras</t>
        </is>
      </c>
      <c r="C859" t="inlineStr">
        <is>
          <t>Aguacate</t>
        </is>
      </c>
      <c r="D859" t="inlineStr">
        <is>
          <t>Aguacates 30 * 5000 (Recibo Caja Menor)</t>
        </is>
      </c>
      <c r="E859" t="n">
        <v>30</v>
      </c>
      <c r="F859" t="n">
        <v>5000</v>
      </c>
      <c r="G859" t="n">
        <v>150000</v>
      </c>
    </row>
    <row r="860">
      <c r="A860" t="n">
        <v>21</v>
      </c>
      <c r="B860" t="inlineStr">
        <is>
          <t>Verduras</t>
        </is>
      </c>
      <c r="C860" t="inlineStr">
        <is>
          <t>Mezcla liquida de limon</t>
        </is>
      </c>
      <c r="D860" t="inlineStr">
        <is>
          <t>12 Mezcla Liquida de Limon x 2.000ml JF (Remision 0251)</t>
        </is>
      </c>
      <c r="E860" t="n">
        <v>12</v>
      </c>
      <c r="F860" t="n">
        <v>12000</v>
      </c>
      <c r="G860" t="n">
        <v>144000</v>
      </c>
    </row>
    <row r="861">
      <c r="A861" t="n">
        <v>20</v>
      </c>
      <c r="B861" t="inlineStr">
        <is>
          <t>Verduras</t>
        </is>
      </c>
      <c r="C861" t="inlineStr">
        <is>
          <t>Aguacate</t>
        </is>
      </c>
      <c r="D861" t="inlineStr">
        <is>
          <t>20 Aguacates (Recibo Caja Menor)</t>
        </is>
      </c>
      <c r="E861" t="n">
        <v>20</v>
      </c>
      <c r="F861" t="n">
        <v>7000</v>
      </c>
      <c r="G861" t="n">
        <v>140000</v>
      </c>
    </row>
    <row r="862">
      <c r="A862" t="n">
        <v>20</v>
      </c>
      <c r="B862" t="inlineStr">
        <is>
          <t>Verduras</t>
        </is>
      </c>
      <c r="C862" t="inlineStr">
        <is>
          <t>Atados hojas</t>
        </is>
      </c>
      <c r="D862" t="inlineStr">
        <is>
          <t>25 Atados Hoja (Recibo Caja Menor)</t>
        </is>
      </c>
      <c r="E862" t="n">
        <v>25</v>
      </c>
      <c r="F862" t="n">
        <v>2480</v>
      </c>
      <c r="G862" t="n">
        <v>62000</v>
      </c>
    </row>
    <row r="863">
      <c r="A863" t="n">
        <v>20</v>
      </c>
      <c r="B863" t="inlineStr">
        <is>
          <t>Verduras</t>
        </is>
      </c>
      <c r="C863" t="inlineStr">
        <is>
          <t>Cocos</t>
        </is>
      </c>
      <c r="D863" t="inlineStr">
        <is>
          <t>5 Cocos (Recibo Caja Menor)</t>
        </is>
      </c>
      <c r="E863" t="n">
        <v>5</v>
      </c>
      <c r="F863" t="n">
        <v>8000</v>
      </c>
      <c r="G863" t="n">
        <v>40000</v>
      </c>
    </row>
    <row r="864">
      <c r="A864" t="n">
        <v>20</v>
      </c>
      <c r="B864" t="inlineStr">
        <is>
          <t>Verduras</t>
        </is>
      </c>
      <c r="C864" t="inlineStr">
        <is>
          <t>Masa t</t>
        </is>
      </c>
      <c r="D864" t="inlineStr">
        <is>
          <t>9 lbs Masa (Recibo Caja Menor)</t>
        </is>
      </c>
      <c r="E864" t="n">
        <v>9</v>
      </c>
      <c r="F864" t="n">
        <v>3500</v>
      </c>
      <c r="G864" t="n">
        <v>31500</v>
      </c>
    </row>
    <row r="865">
      <c r="A865" t="n">
        <v>20</v>
      </c>
      <c r="B865" t="inlineStr">
        <is>
          <t>Verduras</t>
        </is>
      </c>
      <c r="C865" t="inlineStr">
        <is>
          <t>Tortillas</t>
        </is>
      </c>
      <c r="D865" t="inlineStr">
        <is>
          <t>20 Tortillas (Recibo Caja Menor)</t>
        </is>
      </c>
      <c r="E865" t="n">
        <v>20</v>
      </c>
      <c r="F865" t="n">
        <v>900</v>
      </c>
      <c r="G865" t="n">
        <v>18000</v>
      </c>
    </row>
    <row r="866">
      <c r="A866" t="n">
        <v>20</v>
      </c>
      <c r="B866" t="inlineStr">
        <is>
          <t>Verduras</t>
        </is>
      </c>
      <c r="C866" t="inlineStr">
        <is>
          <t>Naranjo</t>
        </is>
      </c>
      <c r="D866" t="inlineStr">
        <is>
          <t>6 lbs Naranja (Recibo Caja Menor)</t>
        </is>
      </c>
      <c r="E866" t="n">
        <v>6</v>
      </c>
      <c r="F866" t="n">
        <v>1750</v>
      </c>
      <c r="G866" t="n">
        <v>10500</v>
      </c>
    </row>
    <row r="867">
      <c r="A867" t="n">
        <v>20</v>
      </c>
      <c r="B867" t="inlineStr">
        <is>
          <t>Verduras</t>
        </is>
      </c>
      <c r="C867" t="inlineStr">
        <is>
          <t>Guasca</t>
        </is>
      </c>
      <c r="D867" t="inlineStr">
        <is>
          <t>Guasca y bore (Recibo Caja Menor)</t>
        </is>
      </c>
      <c r="E867" t="n">
        <v>1</v>
      </c>
      <c r="F867" t="n">
        <v>8000</v>
      </c>
      <c r="G867" t="n">
        <v>8000</v>
      </c>
    </row>
    <row r="868">
      <c r="A868" t="n">
        <v>23</v>
      </c>
      <c r="B868" t="inlineStr">
        <is>
          <t>Bebidas</t>
        </is>
      </c>
      <c r="C868" t="inlineStr">
        <is>
          <t>Bloque media</t>
        </is>
      </c>
      <c r="D868" t="inlineStr">
        <is>
          <t>BLOQUE MEDIA (Hielo El Nevado SF44594)</t>
        </is>
      </c>
      <c r="E868" t="n">
        <v>2</v>
      </c>
      <c r="F868" t="n">
        <v>9500</v>
      </c>
      <c r="G868" t="n">
        <v>19000</v>
      </c>
    </row>
    <row r="869">
      <c r="A869" t="n">
        <v>23</v>
      </c>
      <c r="B869" t="inlineStr">
        <is>
          <t>Bebidas</t>
        </is>
      </c>
      <c r="C869" t="inlineStr">
        <is>
          <t>Bolsa 5kl tubular</t>
        </is>
      </c>
      <c r="D869" t="inlineStr">
        <is>
          <t>BOLSA X 5 KL TUBULAR (Hielo El Nevado SF44594)</t>
        </is>
      </c>
      <c r="E869" t="n">
        <v>4</v>
      </c>
      <c r="F869" t="n">
        <v>5000</v>
      </c>
      <c r="G869" t="n">
        <v>20000</v>
      </c>
    </row>
    <row r="870">
      <c r="A870" t="n">
        <v>23</v>
      </c>
      <c r="B870" t="inlineStr">
        <is>
          <t>Desechables</t>
        </is>
      </c>
      <c r="C870" t="inlineStr">
        <is>
          <t>Mazamorra</t>
        </is>
      </c>
      <c r="D870" t="inlineStr">
        <is>
          <t>Franco Bravo - Mazamorra (Recibo Caja Menor)</t>
        </is>
      </c>
      <c r="E870" t="n">
        <v>1</v>
      </c>
      <c r="F870" t="n">
        <v>30000</v>
      </c>
      <c r="G870" t="n">
        <v>30000</v>
      </c>
    </row>
    <row r="871">
      <c r="A871" t="n">
        <v>21</v>
      </c>
      <c r="B871" t="inlineStr">
        <is>
          <t>Desechables</t>
        </is>
      </c>
      <c r="C871" t="inlineStr">
        <is>
          <t>Mercancias Varias Excentas</t>
        </is>
      </c>
      <c r="D871" t="inlineStr">
        <is>
          <t>EMTOP ESPATULA 6" MANGO ENCAUCHETADO (Ferre Express FV-10952)</t>
        </is>
      </c>
      <c r="E871" t="n">
        <v>1</v>
      </c>
      <c r="F871" t="n">
        <v>16500</v>
      </c>
      <c r="G871" t="n">
        <v>16500</v>
      </c>
    </row>
    <row r="872">
      <c r="A872" t="n">
        <v>21</v>
      </c>
      <c r="B872" t="inlineStr">
        <is>
          <t>Carnes</t>
        </is>
      </c>
      <c r="C872" t="inlineStr">
        <is>
          <t>Morcilla</t>
        </is>
      </c>
      <c r="D872" t="inlineStr">
        <is>
          <t>5 Kilos Morcilla (Rellenitas Gourmet Factura 991)</t>
        </is>
      </c>
      <c r="E872" t="n">
        <v>5</v>
      </c>
      <c r="F872" t="n">
        <v>19500</v>
      </c>
      <c r="G872" t="n">
        <v>97500</v>
      </c>
    </row>
    <row r="873">
      <c r="A873" t="n">
        <v>21</v>
      </c>
      <c r="B873" t="inlineStr">
        <is>
          <t>Servicios</t>
        </is>
      </c>
      <c r="C873" t="inlineStr">
        <is>
          <t>Pago turnos</t>
        </is>
      </c>
      <c r="D873" t="inlineStr">
        <is>
          <t>Pago Eliecer Lunes A Viernes (Recibo Caja Menor)</t>
        </is>
      </c>
      <c r="E873" t="n">
        <v>1</v>
      </c>
      <c r="F873" t="n">
        <v>330000</v>
      </c>
      <c r="G873" t="n">
        <v>330000</v>
      </c>
    </row>
    <row r="874">
      <c r="A874" t="n">
        <v>23</v>
      </c>
      <c r="B874" t="inlineStr">
        <is>
          <t>Grano</t>
        </is>
      </c>
      <c r="C874" t="inlineStr">
        <is>
          <t>Maizena</t>
        </is>
      </c>
      <c r="D874" t="inlineStr">
        <is>
          <t>FECULA MAIZENA*720g MAIZ x 2 (Supertiendas Canaveral 03FZ39792)</t>
        </is>
      </c>
      <c r="E874" t="n">
        <v>2</v>
      </c>
      <c r="F874" t="n">
        <v>23600</v>
      </c>
      <c r="G874" t="n">
        <v>47200</v>
      </c>
    </row>
    <row r="875">
      <c r="A875" t="n">
        <v>23</v>
      </c>
      <c r="B875" t="inlineStr">
        <is>
          <t>Carnes</t>
        </is>
      </c>
      <c r="C875" t="inlineStr">
        <is>
          <t>Espinazo de cerdo</t>
        </is>
      </c>
      <c r="D875" t="inlineStr">
        <is>
          <t>ESPINAZO CERDO A GRANEL 3.256kg (Supertiendas Canaveral 08FH331909)</t>
        </is>
      </c>
      <c r="E875" t="n">
        <v>3.256</v>
      </c>
      <c r="F875" t="n">
        <v>9800</v>
      </c>
      <c r="G875" t="n">
        <v>31908.8</v>
      </c>
    </row>
    <row r="876">
      <c r="A876" t="n">
        <v>23</v>
      </c>
      <c r="B876" t="inlineStr">
        <is>
          <t>Carnes</t>
        </is>
      </c>
      <c r="C876" t="inlineStr">
        <is>
          <t>Pezua</t>
        </is>
      </c>
      <c r="D876" t="inlineStr">
        <is>
          <t>PEZUNA CERDO A GRANEL 7.955kg (Supertiendas Canaveral 08FH331909)</t>
        </is>
      </c>
      <c r="E876" t="n">
        <v>7.955</v>
      </c>
      <c r="F876" t="n">
        <v>9700</v>
      </c>
      <c r="G876" t="n">
        <v>77163.5</v>
      </c>
    </row>
    <row r="877">
      <c r="A877" t="n">
        <v>23</v>
      </c>
      <c r="B877" t="inlineStr">
        <is>
          <t>Bebidas</t>
        </is>
      </c>
      <c r="C877" t="inlineStr">
        <is>
          <t>Bolsa 5kl tubular</t>
        </is>
      </c>
      <c r="D877" t="inlineStr">
        <is>
          <t>HIELO KOLBITOS*5000g BOLSA x 2 (Supertiendas Canaveral 08FH331974)</t>
        </is>
      </c>
      <c r="E877" t="n">
        <v>2</v>
      </c>
      <c r="F877" t="n">
        <v>7100</v>
      </c>
      <c r="G877" t="n">
        <v>14200</v>
      </c>
    </row>
    <row r="878">
      <c r="A878" t="n">
        <v>23</v>
      </c>
      <c r="B878" t="inlineStr">
        <is>
          <t>Desechables</t>
        </is>
      </c>
      <c r="C878" t="inlineStr">
        <is>
          <t>Bolsa canaveral 100% material recicl f</t>
        </is>
      </c>
      <c r="D878" t="inlineStr">
        <is>
          <t>BOLSA CANAVERAL TIPO COSTAL (Supertiendas Canaveral 08FH331974)</t>
        </is>
      </c>
      <c r="E878" t="n">
        <v>1</v>
      </c>
      <c r="F878" t="n">
        <v>2200</v>
      </c>
      <c r="G878" t="n">
        <v>2200</v>
      </c>
    </row>
    <row r="879">
      <c r="A879" t="n">
        <v>21</v>
      </c>
      <c r="B879" t="inlineStr">
        <is>
          <t>Bebidas</t>
        </is>
      </c>
      <c r="C879" t="inlineStr">
        <is>
          <t>Bloque media</t>
        </is>
      </c>
      <c r="D879" t="inlineStr">
        <is>
          <t>BLOQUE MEDIA (Hielo El Nevado SF44533)</t>
        </is>
      </c>
      <c r="E879" t="n">
        <v>2</v>
      </c>
      <c r="F879" t="n">
        <v>9500</v>
      </c>
      <c r="G879" t="n">
        <v>19000</v>
      </c>
    </row>
    <row r="880">
      <c r="A880" t="n">
        <v>21</v>
      </c>
      <c r="B880" t="inlineStr">
        <is>
          <t>Bebidas</t>
        </is>
      </c>
      <c r="C880" t="inlineStr">
        <is>
          <t>Bolsa 5kl tubular</t>
        </is>
      </c>
      <c r="D880" t="inlineStr">
        <is>
          <t>BOLSA X 5 KL TUBULAR (Hielo El Nevado SF44533)</t>
        </is>
      </c>
      <c r="E880" t="n">
        <v>2</v>
      </c>
      <c r="F880" t="n">
        <v>5000</v>
      </c>
      <c r="G880" t="n">
        <v>10000</v>
      </c>
    </row>
    <row r="881">
      <c r="A881" t="n">
        <v>21</v>
      </c>
      <c r="B881" t="inlineStr">
        <is>
          <t>Carnes</t>
        </is>
      </c>
      <c r="C881" t="inlineStr">
        <is>
          <t>Morcilla</t>
        </is>
      </c>
      <c r="D881" t="inlineStr">
        <is>
          <t>Morcilla 3kl (Recibo Caja Menor)</t>
        </is>
      </c>
      <c r="E881" t="n">
        <v>3</v>
      </c>
      <c r="F881" t="n">
        <v>20000</v>
      </c>
      <c r="G881" t="n">
        <v>60000</v>
      </c>
    </row>
    <row r="882">
      <c r="A882" t="n">
        <v>21</v>
      </c>
      <c r="B882" t="inlineStr">
        <is>
          <t>Servicios</t>
        </is>
      </c>
      <c r="C882" t="inlineStr">
        <is>
          <t>Acopi</t>
        </is>
      </c>
      <c r="D882" t="inlineStr">
        <is>
          <t>Acopi (Recibo Caja Menor)</t>
        </is>
      </c>
      <c r="E882" t="n">
        <v>1</v>
      </c>
      <c r="F882" t="n">
        <v>30000</v>
      </c>
      <c r="G882" t="n">
        <v>30000</v>
      </c>
    </row>
    <row r="883">
      <c r="A883" t="n">
        <v>22</v>
      </c>
      <c r="B883" t="inlineStr">
        <is>
          <t>Grano</t>
        </is>
      </c>
      <c r="C883" t="inlineStr">
        <is>
          <t>Leche de coco</t>
        </is>
      </c>
      <c r="D883" t="inlineStr">
        <is>
          <t>5 litros leche de coco (Recibo Caja Menor)</t>
        </is>
      </c>
      <c r="E883" t="n">
        <v>5</v>
      </c>
      <c r="F883" t="n">
        <v>24400</v>
      </c>
      <c r="G883" t="n">
        <v>122000</v>
      </c>
    </row>
    <row r="884">
      <c r="A884" t="n">
        <v>22</v>
      </c>
      <c r="B884" t="inlineStr">
        <is>
          <t>Bebidas</t>
        </is>
      </c>
      <c r="C884" t="inlineStr">
        <is>
          <t>Club colombia</t>
        </is>
      </c>
      <c r="D884" t="inlineStr">
        <is>
          <t>CERV.CLUB DOR LATA*330 (Global Liquors VC238672)</t>
        </is>
      </c>
      <c r="E884" t="n">
        <v>2</v>
      </c>
      <c r="F884" t="n">
        <v>77500</v>
      </c>
      <c r="G884" t="n">
        <v>155000</v>
      </c>
    </row>
    <row r="885">
      <c r="A885" t="n">
        <v>22</v>
      </c>
      <c r="B885" t="inlineStr">
        <is>
          <t>Bebidas</t>
        </is>
      </c>
      <c r="C885" t="inlineStr">
        <is>
          <t>Pony malta x caja</t>
        </is>
      </c>
      <c r="D885" t="inlineStr">
        <is>
          <t>PONY MALTA*330ml PET (Global Liquors VC238672)</t>
        </is>
      </c>
      <c r="E885" t="n">
        <v>1</v>
      </c>
      <c r="F885" t="n">
        <v>60900</v>
      </c>
      <c r="G885" t="n">
        <v>60900</v>
      </c>
    </row>
    <row r="886">
      <c r="A886" t="n">
        <v>22</v>
      </c>
      <c r="B886" t="inlineStr">
        <is>
          <t>Bebidas</t>
        </is>
      </c>
      <c r="C886" t="inlineStr">
        <is>
          <t>Cerv Stel Artois</t>
        </is>
      </c>
      <c r="D886" t="inlineStr">
        <is>
          <t>CERV.STEL ARTOIS*300ml BOT (Global Liquors VC238672)</t>
        </is>
      </c>
      <c r="E886" t="n">
        <v>1</v>
      </c>
      <c r="F886" t="n">
        <v>92200</v>
      </c>
      <c r="G886" t="n">
        <v>92200</v>
      </c>
    </row>
    <row r="887">
      <c r="A887" t="n">
        <v>22</v>
      </c>
      <c r="B887" t="inlineStr">
        <is>
          <t>Bebidas</t>
        </is>
      </c>
      <c r="C887" t="inlineStr">
        <is>
          <t>Soda bretaña</t>
        </is>
      </c>
      <c r="D887" t="inlineStr">
        <is>
          <t>GAS.BRETANA*300 VID (Global Liquors VC238672)</t>
        </is>
      </c>
      <c r="E887" t="n">
        <v>24</v>
      </c>
      <c r="F887" t="n">
        <v>2250</v>
      </c>
      <c r="G887" t="n">
        <v>54000</v>
      </c>
    </row>
    <row r="888">
      <c r="A888" t="n">
        <v>20</v>
      </c>
      <c r="B888" t="inlineStr">
        <is>
          <t>Verduras</t>
        </is>
      </c>
      <c r="C888" t="inlineStr">
        <is>
          <t>Yuca pelada</t>
        </is>
      </c>
      <c r="D888" t="inlineStr">
        <is>
          <t>12 Kl Yuca pelada (Remision Pasoancho)</t>
        </is>
      </c>
      <c r="E888" t="n">
        <v>12</v>
      </c>
      <c r="F888" t="n">
        <v>4500</v>
      </c>
      <c r="G888" t="n">
        <v>54000</v>
      </c>
    </row>
    <row r="889">
      <c r="A889" t="n">
        <v>22</v>
      </c>
      <c r="B889" t="inlineStr">
        <is>
          <t>Bebidas</t>
        </is>
      </c>
      <c r="C889" t="inlineStr">
        <is>
          <t>Bloque media</t>
        </is>
      </c>
      <c r="D889" t="inlineStr">
        <is>
          <t>BLOQUE MEDIA (Hielo El Nevado SF44565)</t>
        </is>
      </c>
      <c r="E889" t="n">
        <v>2</v>
      </c>
      <c r="F889" t="n">
        <v>9500</v>
      </c>
      <c r="G889" t="n">
        <v>19000</v>
      </c>
    </row>
    <row r="890">
      <c r="A890" t="n">
        <v>22</v>
      </c>
      <c r="B890" t="inlineStr">
        <is>
          <t>Bebidas</t>
        </is>
      </c>
      <c r="C890" t="inlineStr">
        <is>
          <t>Bolsa 5kl tubular</t>
        </is>
      </c>
      <c r="D890" t="inlineStr">
        <is>
          <t>BOLSA X 5 KL TUBULAR (Hielo El Nevado SF44565)</t>
        </is>
      </c>
      <c r="E890" t="n">
        <v>2</v>
      </c>
      <c r="F890" t="n">
        <v>5000</v>
      </c>
      <c r="G890" t="n">
        <v>10000</v>
      </c>
    </row>
    <row r="891">
      <c r="A891" t="n">
        <v>22</v>
      </c>
      <c r="B891" t="inlineStr">
        <is>
          <t>Grano</t>
        </is>
      </c>
      <c r="C891" t="inlineStr">
        <is>
          <t>Arepas</t>
        </is>
      </c>
      <c r="D891" t="inlineStr">
        <is>
          <t>950 arepas (Arepas a Diario Ventas 0801)</t>
        </is>
      </c>
      <c r="E891" t="n">
        <v>950</v>
      </c>
      <c r="F891" t="n">
        <v>150</v>
      </c>
      <c r="G891" t="n">
        <v>142500</v>
      </c>
    </row>
    <row r="892">
      <c r="A892" t="n">
        <v>24</v>
      </c>
      <c r="B892" t="inlineStr">
        <is>
          <t>Grano</t>
        </is>
      </c>
      <c r="C892" t="inlineStr">
        <is>
          <t>Arepas</t>
        </is>
      </c>
      <c r="D892" t="inlineStr">
        <is>
          <t>150 arepas (Remision Arepas a Diario)</t>
        </is>
      </c>
      <c r="E892" t="n">
        <v>150</v>
      </c>
      <c r="F892" t="n">
        <v>150</v>
      </c>
      <c r="G892" t="n">
        <v>22500</v>
      </c>
    </row>
    <row r="893">
      <c r="A893" t="n">
        <v>25</v>
      </c>
      <c r="B893" t="inlineStr">
        <is>
          <t>Grano</t>
        </is>
      </c>
      <c r="C893" t="inlineStr">
        <is>
          <t>Arepas</t>
        </is>
      </c>
      <c r="D893" t="inlineStr">
        <is>
          <t>200 arepas (Remision Arepas a Diario)</t>
        </is>
      </c>
      <c r="E893" t="n">
        <v>200</v>
      </c>
      <c r="F893" t="n">
        <v>150</v>
      </c>
      <c r="G893" t="n">
        <v>30000</v>
      </c>
    </row>
    <row r="894">
      <c r="A894" t="n">
        <v>26</v>
      </c>
      <c r="B894" t="inlineStr">
        <is>
          <t>Grano</t>
        </is>
      </c>
      <c r="C894" t="inlineStr">
        <is>
          <t>Arepas</t>
        </is>
      </c>
      <c r="D894" t="inlineStr">
        <is>
          <t>200 arepas (Remision Arepas a Diario)</t>
        </is>
      </c>
      <c r="E894" t="n">
        <v>200</v>
      </c>
      <c r="F894" t="n">
        <v>150</v>
      </c>
      <c r="G894" t="n">
        <v>30000</v>
      </c>
    </row>
    <row r="895">
      <c r="A895" t="n">
        <v>27</v>
      </c>
      <c r="B895" t="inlineStr">
        <is>
          <t>Grano</t>
        </is>
      </c>
      <c r="C895" t="inlineStr">
        <is>
          <t>Arepas</t>
        </is>
      </c>
      <c r="D895" t="inlineStr">
        <is>
          <t>400 arepas (Remision Arepas a Diario)</t>
        </is>
      </c>
      <c r="E895" t="n">
        <v>400</v>
      </c>
      <c r="F895" t="n">
        <v>150</v>
      </c>
      <c r="G895" t="n">
        <v>60000</v>
      </c>
    </row>
    <row r="896">
      <c r="A896" t="n">
        <v>19</v>
      </c>
      <c r="B896" t="inlineStr">
        <is>
          <t>Carnes</t>
        </is>
      </c>
      <c r="C896" t="inlineStr">
        <is>
          <t>Gallina gigante</t>
        </is>
      </c>
      <c r="D896" t="inlineStr">
        <is>
          <t>10 Gallinas gigantes 45.3 Kilos (Remision)</t>
        </is>
      </c>
      <c r="E896" t="n">
        <v>45.3</v>
      </c>
      <c r="F896" t="n">
        <v>10993.3774834437</v>
      </c>
      <c r="G896" t="n">
        <v>498000</v>
      </c>
    </row>
    <row r="897">
      <c r="A897" t="n">
        <v>24</v>
      </c>
      <c r="B897" t="inlineStr">
        <is>
          <t>Servicios</t>
        </is>
      </c>
      <c r="C897" t="inlineStr">
        <is>
          <t>Acopi</t>
        </is>
      </c>
      <c r="D897" t="inlineStr">
        <is>
          <t>Acopi (Recibo Caja Menor)</t>
        </is>
      </c>
      <c r="E897" t="n">
        <v>1</v>
      </c>
      <c r="F897" t="n">
        <v>30000</v>
      </c>
      <c r="G897" t="n">
        <v>30000</v>
      </c>
    </row>
    <row r="898">
      <c r="A898" t="n">
        <v>24</v>
      </c>
      <c r="B898" t="inlineStr">
        <is>
          <t>Bebidas</t>
        </is>
      </c>
      <c r="C898" t="inlineStr">
        <is>
          <t>Bolsa 5kl tubular</t>
        </is>
      </c>
      <c r="D898" t="inlineStr">
        <is>
          <t>BOLSA X 5 KL TUBULAR (Hielo El Nevado SF44628)</t>
        </is>
      </c>
      <c r="E898" t="n">
        <v>4</v>
      </c>
      <c r="F898" t="n">
        <v>5000</v>
      </c>
      <c r="G898" t="n">
        <v>20000</v>
      </c>
    </row>
    <row r="899">
      <c r="A899" t="n">
        <v>24</v>
      </c>
      <c r="B899" t="inlineStr">
        <is>
          <t>Grano</t>
        </is>
      </c>
      <c r="C899" t="inlineStr">
        <is>
          <t>Comino molido</t>
        </is>
      </c>
      <c r="D899" t="inlineStr">
        <is>
          <t>Condimentos alinos guisason pimienta molida (Ahorra Mas Fac SIMP-000229545)</t>
        </is>
      </c>
      <c r="E899" t="n">
        <v>4</v>
      </c>
      <c r="F899" t="n">
        <v>2400</v>
      </c>
      <c r="G899" t="n">
        <v>9600</v>
      </c>
    </row>
    <row r="900">
      <c r="A900" t="n">
        <v>24</v>
      </c>
      <c r="B900" t="inlineStr">
        <is>
          <t>Grano</t>
        </is>
      </c>
      <c r="C900" t="inlineStr">
        <is>
          <t>Sal marina</t>
        </is>
      </c>
      <c r="D900" t="inlineStr">
        <is>
          <t>Sal Refisal marina x 400 gr (Ahorra Mas Fac SIMP-000229545)</t>
        </is>
      </c>
      <c r="E900" t="n">
        <v>2</v>
      </c>
      <c r="F900" t="n">
        <v>3500</v>
      </c>
      <c r="G900" t="n">
        <v>7000</v>
      </c>
    </row>
    <row r="901">
      <c r="A901" t="n">
        <v>24</v>
      </c>
      <c r="B901" t="inlineStr">
        <is>
          <t>Verduras</t>
        </is>
      </c>
      <c r="C901" t="inlineStr">
        <is>
          <t>Tomate chonto</t>
        </is>
      </c>
      <c r="D901" t="inlineStr">
        <is>
          <t>6 Lb Tomate (Surplaza Remision 24/08)</t>
        </is>
      </c>
      <c r="E901" t="n">
        <v>6</v>
      </c>
      <c r="F901" t="n">
        <v>3450</v>
      </c>
      <c r="G901" t="n">
        <v>20700</v>
      </c>
    </row>
    <row r="902">
      <c r="A902" t="n">
        <v>30</v>
      </c>
      <c r="B902" t="inlineStr">
        <is>
          <t>Verduras</t>
        </is>
      </c>
      <c r="C902" t="inlineStr">
        <is>
          <t>Platano verde</t>
        </is>
      </c>
      <c r="D902" t="inlineStr">
        <is>
          <t>Platano Verde 30 kg (Monica Molina Tarazona)</t>
        </is>
      </c>
      <c r="E902" t="n">
        <v>30</v>
      </c>
      <c r="F902" t="n">
        <v>2200</v>
      </c>
      <c r="G902" t="n">
        <v>66000</v>
      </c>
    </row>
  </sheetData>
  <autoFilter ref="A1:G333">
    <sortState ref="A2:G498">
      <sortCondition ref="A1:A333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Jose</dc:creator>
  <dc:language xmlns:dc="http://purl.org/dc/elements/1.1/">en-US</dc:language>
  <dcterms:created xmlns:dcterms="http://purl.org/dc/terms/" xmlns:xsi="http://www.w3.org/2001/XMLSchema-instance" xsi:type="dcterms:W3CDTF">2025-12-01T20:32:20Z</dcterms:created>
  <dcterms:modified xmlns:dcterms="http://purl.org/dc/terms/" xmlns:xsi="http://www.w3.org/2001/XMLSchema-instance" xsi:type="dcterms:W3CDTF">2026-09-10T21:11:14Z</dcterms:modified>
  <cp:lastModifiedBy>César Arango</cp:lastModifiedBy>
  <cp:revision>0</cp:revision>
  <cp:lastPrinted>2025-12-04T16:02:23Z</cp:lastPrinted>
</cp:coreProperties>
</file>